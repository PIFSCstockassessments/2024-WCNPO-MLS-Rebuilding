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USA Catch\AS LL\"/>
    </mc:Choice>
  </mc:AlternateContent>
  <xr:revisionPtr revIDLastSave="0" documentId="13_ncr:1_{28B77EAF-5EB7-4853-8746-1CF286F49CD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 1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 a="1"/>
  <c r="E18" i="1" s="1"/>
  <c r="H6" i="1"/>
  <c r="H5" i="1"/>
  <c r="H4" i="1"/>
  <c r="H3" i="1"/>
  <c r="H2" i="1"/>
  <c r="D18" i="1" l="1"/>
  <c r="G18" i="1"/>
  <c r="F18" i="1"/>
  <c r="H18" i="1"/>
  <c r="D7" i="1" l="1" a="1"/>
  <c r="E12" i="1" s="1"/>
  <c r="F12" i="1"/>
  <c r="G12" i="1" l="1"/>
  <c r="H12" i="1"/>
  <c r="D7" i="1"/>
  <c r="D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<sst xmlns="http://schemas.openxmlformats.org/spreadsheetml/2006/main" count="40" uniqueCount="23">
  <si>
    <t>LANDING_YEAR</t>
  </si>
  <si>
    <t>BEGIN_SET_QUADRANT</t>
  </si>
  <si>
    <t>SPECIES</t>
  </si>
  <si>
    <t>ENGLISH_NAME</t>
  </si>
  <si>
    <t>NUMBER_RETAINED</t>
  </si>
  <si>
    <t>RETAINED_LBS</t>
  </si>
  <si>
    <t>RETAINED_KG</t>
  </si>
  <si>
    <t>FROM_FILE</t>
  </si>
  <si>
    <t>2020</t>
  </si>
  <si>
    <t>WCPFC-S</t>
  </si>
  <si>
    <t xml:space="preserve"> 2</t>
  </si>
  <si>
    <t>STRIPED MARLIN</t>
  </si>
  <si>
    <t>LLDS.LLDS_DETAIL_20250315AS</t>
  </si>
  <si>
    <t>2021</t>
  </si>
  <si>
    <t>2022</t>
  </si>
  <si>
    <t>2023</t>
  </si>
  <si>
    <t>2024</t>
  </si>
  <si>
    <t>SQL Statement</t>
  </si>
  <si>
    <t>SELECT HDR_LANDYR LANDING_YEAR,
BS_QUAD BEGIN_SET_QUADRANT,
SPECIES,
ENGLISH_NAME,
SUM(NVL(NUMKEPT,0)) NUMBER_RETAINED,
SUM(NVL(KEPT_LBS,0)) RETAINED_LBS,
SUM(NVL(KEPT_LBS,0)*0.4535923) RETAINED_KG,
--'LLDS.LLDS_DETAIL_20250224AS' FROM_FILE
--FROM LLDS.LLDS_DETAIL_20250224AS
'LLDS.LLDS_DETAIL_20250315AS' FROM_FILE
FROM LLDS.LLDS_DETAIL_20250315AS
WHERE
HDR_LANDYR BETWEEN '2020' AND '2024'
 AND SPECIES = ' 2'
-- AND BS_LON &lt;= -150.0
-- AND BS_LAT &gt; 0.0
-- AND BS_QUAD = 'WCPFC-N'
 GROUP BY HDR_LANDYR,
 BS_QUAD,
 SPECIES,
 ENGLISH_NAME
 ORDER BY HDR_LANDYR</t>
  </si>
  <si>
    <t>Year</t>
  </si>
  <si>
    <t>American Samoa Longline MLS Catch Biomass (mt)</t>
  </si>
  <si>
    <t>American Samoa Longline MLS Mean Weight (kg)</t>
  </si>
  <si>
    <t>Mean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</si>
</sst>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0"/>
    <numFmt numFmtId="165" formatCode="0_);\(0\)"/>
    <numFmt numFmtId="166" formatCode="0.0"/>
    <numFmt numFmtId="167" formatCode="0.0000"/>
  </numFmts>
  <fonts count="4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3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64" fontId="2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/>
    <xf numFmtId="164" fontId="0" fillId="0" borderId="0" xfId="0" applyNumberFormat="1"/>
    <xf numFmtId="1" fontId="3" fillId="0" borderId="0" xfId="1" applyNumberFormat="1" applyAlignment="1">
      <alignment horizontal="center"/>
    </xf>
    <xf numFmtId="0" fontId="3" fillId="2" borderId="1" xfId="1" applyFill="1" applyBorder="1" applyAlignment="1">
      <alignment horizontal="center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165" fontId="0" fillId="0" borderId="6" xfId="2" applyNumberFormat="1" applyFont="1" applyBorder="1" applyAlignment="1">
      <alignment horizontal="center"/>
    </xf>
    <xf numFmtId="165" fontId="0" fillId="0" borderId="8" xfId="2" applyNumberFormat="1" applyFont="1" applyBorder="1" applyAlignment="1">
      <alignment horizontal="center"/>
    </xf>
    <xf numFmtId="166" fontId="3" fillId="2" borderId="2" xfId="1" applyNumberFormat="1" applyFill="1" applyBorder="1" applyAlignment="1">
      <alignment horizontal="center"/>
    </xf>
    <xf numFmtId="166" fontId="3" fillId="2" borderId="9" xfId="1" applyNumberFormat="1" applyFill="1" applyBorder="1" applyAlignment="1">
      <alignment horizontal="center"/>
    </xf>
    <xf numFmtId="166" fontId="3" fillId="2" borderId="3" xfId="1" applyNumberFormat="1" applyFill="1" applyBorder="1" applyAlignment="1">
      <alignment horizontal="center"/>
    </xf>
    <xf numFmtId="166" fontId="3" fillId="2" borderId="4" xfId="1" applyNumberFormat="1" applyFill="1" applyBorder="1" applyAlignment="1">
      <alignment horizontal="center"/>
    </xf>
    <xf numFmtId="0" fontId="3" fillId="0" borderId="0" xfId="1"/>
    <xf numFmtId="167" fontId="3" fillId="0" borderId="0" xfId="1" applyNumberFormat="1"/>
    <xf numFmtId="0" fontId="3" fillId="0" borderId="2" xfId="1" applyBorder="1" applyAlignment="1">
      <alignment horizontal="center"/>
    </xf>
    <xf numFmtId="0" fontId="3" fillId="0" borderId="9" xfId="1" applyBorder="1" applyAlignment="1">
      <alignment horizontal="center"/>
    </xf>
    <xf numFmtId="0" fontId="3" fillId="0" borderId="3" xfId="1" applyBorder="1" applyAlignment="1">
      <alignment horizontal="center"/>
    </xf>
    <xf numFmtId="165" fontId="0" fillId="0" borderId="9" xfId="2" applyNumberFormat="1" applyFont="1" applyBorder="1" applyAlignment="1">
      <alignment horizontal="center"/>
    </xf>
    <xf numFmtId="165" fontId="0" fillId="0" borderId="4" xfId="2" applyNumberFormat="1" applyFont="1" applyBorder="1" applyAlignment="1">
      <alignment horizontal="center"/>
    </xf>
    <xf numFmtId="166" fontId="3" fillId="2" borderId="10" xfId="1" applyNumberFormat="1" applyFill="1" applyBorder="1" applyAlignment="1">
      <alignment horizontal="center"/>
    </xf>
    <xf numFmtId="166" fontId="3" fillId="2" borderId="11" xfId="1" applyNumberFormat="1" applyFill="1" applyBorder="1" applyAlignment="1">
      <alignment horizontal="center"/>
    </xf>
    <xf numFmtId="166" fontId="3" fillId="2" borderId="1" xfId="1" applyNumberFormat="1" applyFill="1" applyBorder="1" applyAlignment="1">
      <alignment horizontal="center"/>
    </xf>
    <xf numFmtId="166" fontId="3" fillId="2" borderId="12" xfId="1" applyNumberFormat="1" applyFill="1" applyBorder="1" applyAlignment="1">
      <alignment horizontal="center"/>
    </xf>
  </cellXfs>
  <cellStyles count="3">
    <cellStyle name="Comma 2" xfId="2" xr:uid="{F9986FB4-076A-4DBA-B16C-A9A0236B02AD}"/>
    <cellStyle name="Normal" xfId="0" builtinId="0"/>
    <cellStyle name="Normal 2" xfId="1" xr:uid="{577A2EBC-33F5-4888-8BF9-DE70FE792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/>
  </sheetViews>
  <sheetFormatPr defaultRowHeight="14.6" x14ac:dyDescent="0.4"/>
  <cols>
    <col min="1" max="1" width="15" bestFit="1" customWidth="1"/>
    <col min="2" max="2" width="22.3046875" bestFit="1" customWidth="1"/>
    <col min="3" max="3" width="7.84375" bestFit="1" customWidth="1"/>
    <col min="4" max="4" width="15.69140625" bestFit="1" customWidth="1"/>
    <col min="5" max="5" width="19" bestFit="1" customWidth="1"/>
    <col min="6" max="6" width="13.84375" style="6" bestFit="1" customWidth="1"/>
    <col min="7" max="7" width="13.3828125" style="6" bestFit="1" customWidth="1"/>
    <col min="8" max="8" width="15.765625" customWidth="1"/>
  </cols>
  <sheetData>
    <row r="1" spans="1:9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22</v>
      </c>
      <c r="I1" s="3" t="s">
        <v>7</v>
      </c>
    </row>
    <row r="2" spans="1:9" x14ac:dyDescent="0.4">
      <c r="A2" s="2" t="s">
        <v>8</v>
      </c>
      <c r="B2" s="2" t="s">
        <v>9</v>
      </c>
      <c r="C2" s="2" t="s">
        <v>10</v>
      </c>
      <c r="D2" s="2" t="s">
        <v>11</v>
      </c>
      <c r="E2" s="1">
        <v>54</v>
      </c>
      <c r="F2" s="5">
        <v>3715.2</v>
      </c>
      <c r="G2" s="5">
        <v>1685.1861129599999</v>
      </c>
      <c r="H2" s="5">
        <f>G2/E2</f>
        <v>31.207150240000001</v>
      </c>
      <c r="I2" s="2" t="s">
        <v>12</v>
      </c>
    </row>
    <row r="3" spans="1:9" x14ac:dyDescent="0.4">
      <c r="A3" s="2" t="s">
        <v>13</v>
      </c>
      <c r="B3" s="2" t="s">
        <v>9</v>
      </c>
      <c r="C3" s="2" t="s">
        <v>10</v>
      </c>
      <c r="D3" s="2" t="s">
        <v>11</v>
      </c>
      <c r="E3" s="1">
        <v>95</v>
      </c>
      <c r="F3" s="5">
        <v>6536</v>
      </c>
      <c r="G3" s="5">
        <v>2964.6792728</v>
      </c>
      <c r="H3" s="5">
        <f t="shared" ref="H3:H6" si="0">G3/E3</f>
        <v>31.207150240000001</v>
      </c>
      <c r="I3" s="2" t="s">
        <v>12</v>
      </c>
    </row>
    <row r="4" spans="1:9" x14ac:dyDescent="0.4">
      <c r="A4" s="2" t="s">
        <v>14</v>
      </c>
      <c r="B4" s="2" t="s">
        <v>9</v>
      </c>
      <c r="C4" s="2" t="s">
        <v>10</v>
      </c>
      <c r="D4" s="2" t="s">
        <v>11</v>
      </c>
      <c r="E4" s="1">
        <v>56</v>
      </c>
      <c r="F4" s="5">
        <v>3852.8</v>
      </c>
      <c r="G4" s="5">
        <v>1747.60041344</v>
      </c>
      <c r="H4" s="5">
        <f t="shared" si="0"/>
        <v>31.207150240000001</v>
      </c>
      <c r="I4" s="2" t="s">
        <v>12</v>
      </c>
    </row>
    <row r="5" spans="1:9" x14ac:dyDescent="0.4">
      <c r="A5" s="2" t="s">
        <v>15</v>
      </c>
      <c r="B5" s="2" t="s">
        <v>9</v>
      </c>
      <c r="C5" s="2" t="s">
        <v>10</v>
      </c>
      <c r="D5" s="2" t="s">
        <v>11</v>
      </c>
      <c r="E5" s="1">
        <v>52</v>
      </c>
      <c r="F5" s="5">
        <v>3577.6</v>
      </c>
      <c r="G5" s="5">
        <v>1622.7718124800001</v>
      </c>
      <c r="H5" s="5">
        <f t="shared" si="0"/>
        <v>31.207150240000001</v>
      </c>
      <c r="I5" s="2" t="s">
        <v>12</v>
      </c>
    </row>
    <row r="6" spans="1:9" x14ac:dyDescent="0.4">
      <c r="A6" s="2" t="s">
        <v>16</v>
      </c>
      <c r="B6" s="2" t="s">
        <v>9</v>
      </c>
      <c r="C6" s="2" t="s">
        <v>10</v>
      </c>
      <c r="D6" s="2" t="s">
        <v>11</v>
      </c>
      <c r="E6" s="1">
        <v>63</v>
      </c>
      <c r="F6" s="5">
        <v>4334.3999999999996</v>
      </c>
      <c r="G6" s="5">
        <v>1966.0504651199999</v>
      </c>
      <c r="H6" s="5">
        <f t="shared" si="0"/>
        <v>31.207150239999997</v>
      </c>
      <c r="I6" s="2" t="s">
        <v>12</v>
      </c>
    </row>
    <row r="7" spans="1:9" x14ac:dyDescent="0.4">
      <c r="D7" s="7" cm="1">
        <f t="array" ref="D7:H7">TRANSPOSE(G2:G6)</f>
        <v>1685.1861129599999</v>
      </c>
      <c r="E7" s="7">
        <v>2964.6792728</v>
      </c>
      <c r="F7" s="7">
        <v>1747.60041344</v>
      </c>
      <c r="G7" s="7">
        <v>1622.7718124800001</v>
      </c>
      <c r="H7" s="7">
        <v>1966.0504651199999</v>
      </c>
    </row>
    <row r="8" spans="1:9" x14ac:dyDescent="0.4">
      <c r="D8" s="7"/>
      <c r="E8" s="7"/>
      <c r="F8" s="7"/>
      <c r="G8" s="7"/>
      <c r="H8" s="7"/>
    </row>
    <row r="9" spans="1:9" ht="15" thickBot="1" x14ac:dyDescent="0.45">
      <c r="D9" s="8" t="s">
        <v>20</v>
      </c>
      <c r="E9" s="8"/>
      <c r="F9" s="8"/>
      <c r="G9" s="8"/>
      <c r="H9" s="8"/>
    </row>
    <row r="10" spans="1:9" ht="15" thickBot="1" x14ac:dyDescent="0.45">
      <c r="D10" s="9" t="s">
        <v>19</v>
      </c>
      <c r="E10" s="10"/>
      <c r="F10" s="10"/>
      <c r="G10" s="10"/>
      <c r="H10" s="11"/>
    </row>
    <row r="11" spans="1:9" ht="15" thickBot="1" x14ac:dyDescent="0.45">
      <c r="D11" s="12">
        <v>2020</v>
      </c>
      <c r="E11" s="13">
        <v>2021</v>
      </c>
      <c r="F11" s="14">
        <v>2022</v>
      </c>
      <c r="G11" s="15">
        <v>2023</v>
      </c>
      <c r="H11" s="16">
        <v>2024</v>
      </c>
    </row>
    <row r="12" spans="1:9" ht="15" thickBot="1" x14ac:dyDescent="0.45">
      <c r="D12" s="17">
        <f>D7/1000</f>
        <v>1.6851861129599999</v>
      </c>
      <c r="E12" s="18">
        <f>E7/1000</f>
        <v>2.9646792728000002</v>
      </c>
      <c r="F12" s="19">
        <f>F7/1000</f>
        <v>1.7476004134400001</v>
      </c>
      <c r="G12" s="18">
        <f>G7/1000</f>
        <v>1.6227718124800001</v>
      </c>
      <c r="H12" s="20">
        <f>H7/1000</f>
        <v>1.9660504651199999</v>
      </c>
    </row>
    <row r="13" spans="1:9" x14ac:dyDescent="0.4">
      <c r="D13" s="21"/>
      <c r="E13" s="21"/>
      <c r="F13" s="22"/>
      <c r="G13" s="22"/>
      <c r="H13" s="22"/>
    </row>
    <row r="14" spans="1:9" x14ac:dyDescent="0.4">
      <c r="D14" s="21"/>
      <c r="E14" s="21"/>
      <c r="F14" s="21"/>
      <c r="G14" s="22"/>
      <c r="H14" s="22"/>
    </row>
    <row r="15" spans="1:9" ht="15" thickBot="1" x14ac:dyDescent="0.45">
      <c r="D15" s="8" t="s">
        <v>21</v>
      </c>
      <c r="E15" s="8"/>
      <c r="F15" s="8"/>
      <c r="G15" s="8"/>
      <c r="H15" s="8"/>
    </row>
    <row r="16" spans="1:9" ht="15" thickBot="1" x14ac:dyDescent="0.45">
      <c r="D16" s="9" t="s">
        <v>19</v>
      </c>
      <c r="E16" s="10"/>
      <c r="F16" s="10"/>
      <c r="G16" s="10"/>
      <c r="H16" s="11"/>
    </row>
    <row r="17" spans="4:8" ht="15" thickBot="1" x14ac:dyDescent="0.45">
      <c r="D17" s="23">
        <v>2020</v>
      </c>
      <c r="E17" s="24">
        <v>2021</v>
      </c>
      <c r="F17" s="25">
        <v>2022</v>
      </c>
      <c r="G17" s="26">
        <v>2023</v>
      </c>
      <c r="H17" s="27">
        <v>2024</v>
      </c>
    </row>
    <row r="18" spans="4:8" ht="15" thickBot="1" x14ac:dyDescent="0.45">
      <c r="D18" s="28">
        <f t="array" ref="D18:H18">TRANSPOSE(H2:H6)</f>
        <v>31.207150240000001</v>
      </c>
      <c r="E18" s="29">
        <v>31.207150240000001</v>
      </c>
      <c r="F18" s="30">
        <v>31.207150240000001</v>
      </c>
      <c r="G18" s="29">
        <v>31.207150240000001</v>
      </c>
      <c r="H18" s="31">
        <v>31.207150239999997</v>
      </c>
    </row>
  </sheetData>
  <mergeCells count="4">
    <mergeCell ref="D9:H9"/>
    <mergeCell ref="D10:H10"/>
    <mergeCell ref="D15:H15"/>
    <mergeCell ref="D16:H16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6" x14ac:dyDescent="0.4"/>
  <sheetData>
    <row r="1" spans="1:1" x14ac:dyDescent="0.4">
      <c r="A1" s="3" t="s">
        <v>17</v>
      </c>
    </row>
    <row r="2" spans="1:1" x14ac:dyDescent="0.4">
      <c r="A2" s="2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Brodziak</cp:lastModifiedBy>
  <cp:lastPrinted>2025-03-14T00:43:00Z</cp:lastPrinted>
  <dcterms:created xsi:type="dcterms:W3CDTF">2025-03-13T13:33:48Z</dcterms:created>
  <dcterms:modified xsi:type="dcterms:W3CDTF">2025-03-14T00:43:21Z</dcterms:modified>
</cp:coreProperties>
</file>