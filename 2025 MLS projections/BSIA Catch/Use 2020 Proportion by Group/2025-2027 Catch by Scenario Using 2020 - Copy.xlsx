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.brodziak\Desktop\2024 WCNPO MLS Rebuilding\2025 MLS projections\BSIA Catch\"/>
    </mc:Choice>
  </mc:AlternateContent>
  <xr:revisionPtr revIDLastSave="0" documentId="13_ncr:1_{AB75C30F-3FE1-49B8-8DBC-350333CF786C}" xr6:coauthVersionLast="47" xr6:coauthVersionMax="47" xr10:uidLastSave="{00000000-0000-0000-0000-000000000000}"/>
  <bookViews>
    <workbookView xWindow="-103" yWindow="-103" windowWidth="16663" windowHeight="8863" activeTab="6" xr2:uid="{00000000-000D-0000-FFFF-FFFF00000000}"/>
  </bookViews>
  <sheets>
    <sheet name="scenario1-catch" sheetId="6" r:id="rId1"/>
    <sheet name="scenario2-catch" sheetId="8" r:id="rId2"/>
    <sheet name="scenario3-catch" sheetId="7" r:id="rId3"/>
    <sheet name="S1" sheetId="3" r:id="rId4"/>
    <sheet name="S2" sheetId="5" r:id="rId5"/>
    <sheet name="S3" sheetId="4" r:id="rId6"/>
    <sheet name="work" sheetId="2" r:id="rId7"/>
    <sheet name="CatchbyFleet" sheetId="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4" l="1"/>
  <c r="I6" i="4" s="1"/>
  <c r="B8" i="4"/>
  <c r="H6" i="4" s="1"/>
  <c r="C7" i="4"/>
  <c r="B7" i="4"/>
  <c r="C6" i="4"/>
  <c r="B6" i="4"/>
  <c r="C5" i="4"/>
  <c r="B5" i="4"/>
  <c r="L12" i="4" s="1"/>
  <c r="H12" i="4" s="1"/>
  <c r="C4" i="4"/>
  <c r="Q7" i="4" s="1"/>
  <c r="I7" i="4" s="1"/>
  <c r="B4" i="4"/>
  <c r="P7" i="4" s="1"/>
  <c r="H7" i="4" s="1"/>
  <c r="B8" i="5"/>
  <c r="B7" i="5"/>
  <c r="B6" i="5"/>
  <c r="B5" i="5"/>
  <c r="B4" i="5"/>
  <c r="P10" i="5" s="1"/>
  <c r="H10" i="5" s="1"/>
  <c r="R13" i="5"/>
  <c r="Q13" i="5"/>
  <c r="P13" i="5"/>
  <c r="N13" i="5"/>
  <c r="M13" i="5"/>
  <c r="L13" i="5"/>
  <c r="R12" i="5"/>
  <c r="Q12" i="5"/>
  <c r="P12" i="5"/>
  <c r="N12" i="5"/>
  <c r="M12" i="5"/>
  <c r="L12" i="5"/>
  <c r="J12" i="5"/>
  <c r="I12" i="5"/>
  <c r="H12" i="5"/>
  <c r="R11" i="5"/>
  <c r="Q11" i="5"/>
  <c r="P11" i="5"/>
  <c r="J11" i="5"/>
  <c r="I11" i="5"/>
  <c r="H11" i="5"/>
  <c r="R10" i="5"/>
  <c r="Q10" i="5"/>
  <c r="N10" i="5"/>
  <c r="J10" i="5" s="1"/>
  <c r="M10" i="5"/>
  <c r="I10" i="5" s="1"/>
  <c r="L10" i="5"/>
  <c r="R9" i="5"/>
  <c r="Q9" i="5"/>
  <c r="P9" i="5"/>
  <c r="J9" i="5"/>
  <c r="I9" i="5"/>
  <c r="H9" i="5"/>
  <c r="R8" i="5"/>
  <c r="Q8" i="5"/>
  <c r="P8" i="5"/>
  <c r="J8" i="5"/>
  <c r="I8" i="5"/>
  <c r="H8" i="5"/>
  <c r="R7" i="5"/>
  <c r="Q7" i="5"/>
  <c r="P7" i="5"/>
  <c r="J7" i="5"/>
  <c r="I7" i="5"/>
  <c r="H7" i="5"/>
  <c r="R6" i="5"/>
  <c r="Q6" i="5"/>
  <c r="P6" i="5"/>
  <c r="J6" i="5"/>
  <c r="I6" i="5"/>
  <c r="H6" i="5"/>
  <c r="R5" i="5"/>
  <c r="Q5" i="5"/>
  <c r="J5" i="5"/>
  <c r="I5" i="5"/>
  <c r="R4" i="5"/>
  <c r="Q4" i="5"/>
  <c r="P4" i="5"/>
  <c r="J4" i="5"/>
  <c r="I4" i="5"/>
  <c r="H4" i="5"/>
  <c r="R13" i="4"/>
  <c r="Q13" i="4"/>
  <c r="P13" i="4"/>
  <c r="N13" i="4"/>
  <c r="M13" i="4"/>
  <c r="L13" i="4"/>
  <c r="R12" i="4"/>
  <c r="Q12" i="4"/>
  <c r="P12" i="4"/>
  <c r="N12" i="4"/>
  <c r="M12" i="4"/>
  <c r="I12" i="4" s="1"/>
  <c r="J12" i="4"/>
  <c r="R11" i="4"/>
  <c r="J11" i="4"/>
  <c r="I11" i="4"/>
  <c r="H11" i="4"/>
  <c r="R10" i="4"/>
  <c r="Q10" i="4"/>
  <c r="P10" i="4"/>
  <c r="N10" i="4"/>
  <c r="J10" i="4" s="1"/>
  <c r="M10" i="4"/>
  <c r="I10" i="4" s="1"/>
  <c r="L10" i="4"/>
  <c r="R9" i="4"/>
  <c r="Q9" i="4"/>
  <c r="P9" i="4"/>
  <c r="J9" i="4"/>
  <c r="I9" i="4"/>
  <c r="H9" i="4"/>
  <c r="R8" i="4"/>
  <c r="Q8" i="4"/>
  <c r="P8" i="4"/>
  <c r="J8" i="4"/>
  <c r="I8" i="4"/>
  <c r="H8" i="4"/>
  <c r="R7" i="4"/>
  <c r="J7" i="4"/>
  <c r="R6" i="4"/>
  <c r="Q6" i="4"/>
  <c r="P6" i="4"/>
  <c r="J6" i="4"/>
  <c r="R5" i="4"/>
  <c r="Q5" i="4"/>
  <c r="P5" i="4"/>
  <c r="J5" i="4"/>
  <c r="I5" i="4"/>
  <c r="H5" i="4"/>
  <c r="R4" i="4"/>
  <c r="Q4" i="4"/>
  <c r="P4" i="4"/>
  <c r="J4" i="4"/>
  <c r="J13" i="4" s="1"/>
  <c r="I4" i="4"/>
  <c r="H4" i="4"/>
  <c r="J11" i="3"/>
  <c r="I11" i="3"/>
  <c r="H11" i="3"/>
  <c r="J10" i="3"/>
  <c r="I10" i="3"/>
  <c r="H10" i="3"/>
  <c r="J9" i="3"/>
  <c r="I9" i="3"/>
  <c r="J8" i="3"/>
  <c r="I8" i="3"/>
  <c r="J7" i="3"/>
  <c r="I7" i="3"/>
  <c r="H9" i="3"/>
  <c r="H8" i="3"/>
  <c r="H7" i="3"/>
  <c r="J6" i="3"/>
  <c r="I6" i="3"/>
  <c r="H6" i="3"/>
  <c r="J5" i="3"/>
  <c r="I5" i="3"/>
  <c r="H5" i="3"/>
  <c r="J4" i="3"/>
  <c r="I4" i="3"/>
  <c r="H4" i="3"/>
  <c r="N13" i="3"/>
  <c r="M13" i="3"/>
  <c r="L13" i="3"/>
  <c r="N12" i="3"/>
  <c r="M12" i="3"/>
  <c r="L12" i="3"/>
  <c r="N10" i="3"/>
  <c r="M10" i="3"/>
  <c r="L10" i="3"/>
  <c r="E16" i="2"/>
  <c r="E15" i="2"/>
  <c r="E13" i="2"/>
  <c r="D16" i="2"/>
  <c r="D15" i="2"/>
  <c r="D13" i="2"/>
  <c r="R13" i="3"/>
  <c r="Q13" i="3"/>
  <c r="P13" i="3"/>
  <c r="R12" i="3"/>
  <c r="J12" i="3" s="1"/>
  <c r="J13" i="3" s="1"/>
  <c r="Q12" i="3"/>
  <c r="I12" i="3" s="1"/>
  <c r="I13" i="3" s="1"/>
  <c r="P12" i="3"/>
  <c r="H12" i="3" s="1"/>
  <c r="H13" i="3" s="1"/>
  <c r="R11" i="3"/>
  <c r="Q11" i="3"/>
  <c r="P11" i="3"/>
  <c r="R10" i="3"/>
  <c r="Q10" i="3"/>
  <c r="P10" i="3"/>
  <c r="R9" i="3"/>
  <c r="Q9" i="3"/>
  <c r="P9" i="3"/>
  <c r="R8" i="3"/>
  <c r="Q8" i="3"/>
  <c r="P8" i="3"/>
  <c r="R7" i="3"/>
  <c r="Q7" i="3"/>
  <c r="P7" i="3"/>
  <c r="R6" i="3"/>
  <c r="Q6" i="3"/>
  <c r="P6" i="3"/>
  <c r="R5" i="3"/>
  <c r="Q5" i="3"/>
  <c r="P5" i="3"/>
  <c r="R4" i="3"/>
  <c r="Q4" i="3"/>
  <c r="P4" i="3"/>
  <c r="I13" i="4" l="1"/>
  <c r="H10" i="4"/>
  <c r="H13" i="4" s="1"/>
  <c r="P11" i="4"/>
  <c r="Q11" i="4"/>
  <c r="P5" i="5"/>
  <c r="H5" i="5" s="1"/>
  <c r="H13" i="5"/>
  <c r="I13" i="5"/>
  <c r="J13" i="5"/>
  <c r="F14" i="2"/>
  <c r="B13" i="2"/>
  <c r="F13" i="2"/>
  <c r="B12" i="2"/>
  <c r="B11" i="2"/>
  <c r="F12" i="2"/>
  <c r="F11" i="2"/>
  <c r="B10" i="2"/>
  <c r="F10" i="2"/>
  <c r="B9" i="2"/>
  <c r="F9" i="2"/>
  <c r="B8" i="2"/>
  <c r="F8" i="2"/>
  <c r="B7" i="2"/>
  <c r="F7" i="2"/>
  <c r="F15" i="2"/>
  <c r="O7" i="2" a="1"/>
  <c r="O8" i="2" s="1"/>
  <c r="N7" i="2" a="1"/>
  <c r="N7" i="2" s="1"/>
  <c r="M7" i="2" a="1"/>
  <c r="M7" i="2" s="1"/>
  <c r="AQ51" i="2"/>
  <c r="BS51" i="2" s="1"/>
  <c r="AQ50" i="2"/>
  <c r="BQ50" i="2" s="1"/>
  <c r="AQ49" i="2"/>
  <c r="BO49" i="2" s="1"/>
  <c r="AQ48" i="2"/>
  <c r="BM48" i="2" s="1"/>
  <c r="AQ47" i="2"/>
  <c r="BK47" i="2" s="1"/>
  <c r="AQ46" i="2"/>
  <c r="BH46" i="2" s="1"/>
  <c r="AQ45" i="2"/>
  <c r="BF45" i="2" s="1"/>
  <c r="AQ44" i="2"/>
  <c r="BD44" i="2" s="1"/>
  <c r="AQ43" i="2"/>
  <c r="BC43" i="2" s="1"/>
  <c r="AQ42" i="2"/>
  <c r="BA42" i="2" s="1"/>
  <c r="AQ41" i="2"/>
  <c r="AX41" i="2" s="1"/>
  <c r="AQ40" i="2"/>
  <c r="AV40" i="2" s="1"/>
  <c r="AQ39" i="2"/>
  <c r="AU39" i="2" s="1"/>
  <c r="AQ38" i="2"/>
  <c r="BS38" i="2" s="1"/>
  <c r="AQ37" i="2"/>
  <c r="BS37" i="2" s="1"/>
  <c r="AQ36" i="2"/>
  <c r="BQ36" i="2" s="1"/>
  <c r="AQ35" i="2"/>
  <c r="BO35" i="2" s="1"/>
  <c r="AQ34" i="2"/>
  <c r="BM34" i="2" s="1"/>
  <c r="AQ33" i="2"/>
  <c r="BK33" i="2" s="1"/>
  <c r="AQ32" i="2"/>
  <c r="BI32" i="2" s="1"/>
  <c r="AQ31" i="2"/>
  <c r="BG31" i="2" s="1"/>
  <c r="AQ30" i="2"/>
  <c r="BE30" i="2" s="1"/>
  <c r="AQ29" i="2"/>
  <c r="BC29" i="2" s="1"/>
  <c r="AQ28" i="2"/>
  <c r="BA28" i="2" s="1"/>
  <c r="AQ27" i="2"/>
  <c r="AY27" i="2" s="1"/>
  <c r="AQ26" i="2"/>
  <c r="AW26" i="2" s="1"/>
  <c r="AQ25" i="2"/>
  <c r="AU25" i="2" s="1"/>
  <c r="AQ24" i="2"/>
  <c r="BQ24" i="2" s="1"/>
  <c r="AQ23" i="2"/>
  <c r="BS23" i="2" s="1"/>
  <c r="AQ22" i="2"/>
  <c r="BQ22" i="2" s="1"/>
  <c r="AQ21" i="2"/>
  <c r="BO21" i="2" s="1"/>
  <c r="AQ20" i="2"/>
  <c r="BM20" i="2" s="1"/>
  <c r="AQ19" i="2"/>
  <c r="BK19" i="2" s="1"/>
  <c r="AQ18" i="2"/>
  <c r="BH18" i="2" s="1"/>
  <c r="AQ17" i="2"/>
  <c r="BF17" i="2" s="1"/>
  <c r="AQ16" i="2"/>
  <c r="BD16" i="2" s="1"/>
  <c r="AQ15" i="2"/>
  <c r="BB15" i="2" s="1"/>
  <c r="AQ14" i="2"/>
  <c r="AZ14" i="2" s="1"/>
  <c r="AQ13" i="2"/>
  <c r="AX13" i="2" s="1"/>
  <c r="AQ12" i="2"/>
  <c r="AV12" i="2" s="1"/>
  <c r="AQ11" i="2"/>
  <c r="AT11" i="2" s="1"/>
  <c r="AQ10" i="2"/>
  <c r="BS10" i="2" s="1"/>
  <c r="AQ9" i="2"/>
  <c r="BR9" i="2" s="1"/>
  <c r="AQ8" i="2"/>
  <c r="BQ8" i="2" s="1"/>
  <c r="B16" i="2" l="1"/>
  <c r="C13" i="2" s="1"/>
  <c r="C7" i="2"/>
  <c r="F16" i="2"/>
  <c r="O7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N31" i="2"/>
  <c r="N28" i="2"/>
  <c r="N27" i="2"/>
  <c r="N22" i="2"/>
  <c r="N20" i="2"/>
  <c r="N18" i="2"/>
  <c r="N16" i="2"/>
  <c r="N15" i="2"/>
  <c r="N12" i="2"/>
  <c r="N11" i="2"/>
  <c r="N10" i="2"/>
  <c r="N26" i="2"/>
  <c r="N25" i="2"/>
  <c r="N23" i="2"/>
  <c r="N21" i="2"/>
  <c r="N17" i="2"/>
  <c r="N14" i="2"/>
  <c r="N9" i="2"/>
  <c r="N24" i="2"/>
  <c r="N19" i="2"/>
  <c r="N8" i="2"/>
  <c r="N30" i="2"/>
  <c r="N29" i="2"/>
  <c r="N13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BE12" i="2"/>
  <c r="AZ24" i="2"/>
  <c r="AZ39" i="2"/>
  <c r="BF12" i="2"/>
  <c r="BA24" i="2"/>
  <c r="BE40" i="2"/>
  <c r="BG12" i="2"/>
  <c r="AV25" i="2"/>
  <c r="BF40" i="2"/>
  <c r="BH12" i="2"/>
  <c r="AW25" i="2"/>
  <c r="BG40" i="2"/>
  <c r="BI12" i="2"/>
  <c r="AX25" i="2"/>
  <c r="BJ40" i="2"/>
  <c r="BJ12" i="2"/>
  <c r="AY25" i="2"/>
  <c r="BM40" i="2"/>
  <c r="BK12" i="2"/>
  <c r="AZ25" i="2"/>
  <c r="BN40" i="2"/>
  <c r="BL12" i="2"/>
  <c r="BF29" i="2"/>
  <c r="BO40" i="2"/>
  <c r="BL13" i="2"/>
  <c r="BJ29" i="2"/>
  <c r="BQ40" i="2"/>
  <c r="BM13" i="2"/>
  <c r="BK29" i="2"/>
  <c r="AT41" i="2"/>
  <c r="AZ8" i="2"/>
  <c r="BN13" i="2"/>
  <c r="BL29" i="2"/>
  <c r="AY41" i="2"/>
  <c r="BA8" i="2"/>
  <c r="BO13" i="2"/>
  <c r="BN32" i="2"/>
  <c r="AZ41" i="2"/>
  <c r="BC8" i="2"/>
  <c r="BP13" i="2"/>
  <c r="BO32" i="2"/>
  <c r="BF42" i="2"/>
  <c r="BE8" i="2"/>
  <c r="BQ13" i="2"/>
  <c r="AZ36" i="2"/>
  <c r="BG42" i="2"/>
  <c r="BR8" i="2"/>
  <c r="BS13" i="2"/>
  <c r="BA36" i="2"/>
  <c r="BH42" i="2"/>
  <c r="AV9" i="2"/>
  <c r="BA14" i="2"/>
  <c r="BC36" i="2"/>
  <c r="BI42" i="2"/>
  <c r="AY9" i="2"/>
  <c r="BB14" i="2"/>
  <c r="BD36" i="2"/>
  <c r="BK42" i="2"/>
  <c r="BF10" i="2"/>
  <c r="BC14" i="2"/>
  <c r="BR36" i="2"/>
  <c r="BL42" i="2"/>
  <c r="BG10" i="2"/>
  <c r="BD14" i="2"/>
  <c r="BS36" i="2"/>
  <c r="BM42" i="2"/>
  <c r="BI10" i="2"/>
  <c r="BE14" i="2"/>
  <c r="AT37" i="2"/>
  <c r="BO42" i="2"/>
  <c r="BJ10" i="2"/>
  <c r="AX19" i="2"/>
  <c r="BF38" i="2"/>
  <c r="BP42" i="2"/>
  <c r="BM10" i="2"/>
  <c r="BL19" i="2"/>
  <c r="BG38" i="2"/>
  <c r="BQ42" i="2"/>
  <c r="BP10" i="2"/>
  <c r="BM19" i="2"/>
  <c r="BH38" i="2"/>
  <c r="AZ44" i="2"/>
  <c r="BQ10" i="2"/>
  <c r="BN19" i="2"/>
  <c r="BI38" i="2"/>
  <c r="BC45" i="2"/>
  <c r="AU11" i="2"/>
  <c r="BO19" i="2"/>
  <c r="BJ38" i="2"/>
  <c r="BG45" i="2"/>
  <c r="AV11" i="2"/>
  <c r="BP19" i="2"/>
  <c r="BK38" i="2"/>
  <c r="BK45" i="2"/>
  <c r="BA12" i="2"/>
  <c r="BQ19" i="2"/>
  <c r="BM38" i="2"/>
  <c r="BL45" i="2"/>
  <c r="BD12" i="2"/>
  <c r="BS19" i="2"/>
  <c r="BP38" i="2"/>
  <c r="AT8" i="2"/>
  <c r="BB9" i="2"/>
  <c r="BA39" i="2"/>
  <c r="BM12" i="2"/>
  <c r="BO33" i="2"/>
  <c r="AY11" i="2"/>
  <c r="BR33" i="2"/>
  <c r="BB41" i="2"/>
  <c r="AT34" i="2"/>
  <c r="AU13" i="2"/>
  <c r="BM45" i="2"/>
  <c r="BJ16" i="2"/>
  <c r="BE11" i="2"/>
  <c r="BO46" i="2"/>
  <c r="BP35" i="2"/>
  <c r="BI41" i="2"/>
  <c r="BS46" i="2"/>
  <c r="BR32" i="2"/>
  <c r="BL33" i="2"/>
  <c r="AV37" i="2"/>
  <c r="BO12" i="2"/>
  <c r="BQ12" i="2"/>
  <c r="BG39" i="2"/>
  <c r="BA35" i="2"/>
  <c r="BO17" i="2"/>
  <c r="BH41" i="2"/>
  <c r="AW10" i="2"/>
  <c r="BC13" i="2"/>
  <c r="BG30" i="2"/>
  <c r="BQ35" i="2"/>
  <c r="AX38" i="2"/>
  <c r="AW40" i="2"/>
  <c r="BJ41" i="2"/>
  <c r="AT47" i="2"/>
  <c r="BS32" i="2"/>
  <c r="AW37" i="2"/>
  <c r="BN12" i="2"/>
  <c r="BE37" i="2"/>
  <c r="BG9" i="2"/>
  <c r="BE39" i="2"/>
  <c r="AT13" i="2"/>
  <c r="BF39" i="2"/>
  <c r="BC11" i="2"/>
  <c r="AT38" i="2"/>
  <c r="AU10" i="2"/>
  <c r="BG41" i="2"/>
  <c r="AW38" i="2"/>
  <c r="AY10" i="2"/>
  <c r="BD13" i="2"/>
  <c r="AU18" i="2"/>
  <c r="BH30" i="2"/>
  <c r="BR35" i="2"/>
  <c r="AY38" i="2"/>
  <c r="AX40" i="2"/>
  <c r="BK41" i="2"/>
  <c r="AU47" i="2"/>
  <c r="BP32" i="2"/>
  <c r="BA37" i="2"/>
  <c r="BD39" i="2"/>
  <c r="BG14" i="2"/>
  <c r="BH14" i="2"/>
  <c r="BD41" i="2"/>
  <c r="BN46" i="2"/>
  <c r="AZ13" i="2"/>
  <c r="BA13" i="2"/>
  <c r="BF30" i="2"/>
  <c r="BS35" i="2"/>
  <c r="AU8" i="2"/>
  <c r="BA10" i="2"/>
  <c r="BL11" i="2"/>
  <c r="BF13" i="2"/>
  <c r="AW18" i="2"/>
  <c r="BM30" i="2"/>
  <c r="AT36" i="2"/>
  <c r="BA38" i="2"/>
  <c r="AZ40" i="2"/>
  <c r="BM41" i="2"/>
  <c r="AX47" i="2"/>
  <c r="BC9" i="2"/>
  <c r="BB39" i="2"/>
  <c r="BC39" i="2"/>
  <c r="AZ11" i="2"/>
  <c r="BC41" i="2"/>
  <c r="BB11" i="2"/>
  <c r="BG37" i="2"/>
  <c r="BE41" i="2"/>
  <c r="BD11" i="2"/>
  <c r="AY35" i="2"/>
  <c r="BJ39" i="2"/>
  <c r="AV38" i="2"/>
  <c r="BG11" i="2"/>
  <c r="BI11" i="2"/>
  <c r="BJ11" i="2"/>
  <c r="BK11" i="2"/>
  <c r="BB10" i="2"/>
  <c r="BM11" i="2"/>
  <c r="BG13" i="2"/>
  <c r="AX18" i="2"/>
  <c r="BN30" i="2"/>
  <c r="AV36" i="2"/>
  <c r="BB38" i="2"/>
  <c r="BA40" i="2"/>
  <c r="BN41" i="2"/>
  <c r="BL47" i="2"/>
  <c r="BQ32" i="2"/>
  <c r="BA9" i="2"/>
  <c r="BN33" i="2"/>
  <c r="AX11" i="2"/>
  <c r="BE9" i="2"/>
  <c r="BF9" i="2"/>
  <c r="BA11" i="2"/>
  <c r="AU34" i="2"/>
  <c r="BS9" i="2"/>
  <c r="AV34" i="2"/>
  <c r="AY13" i="2"/>
  <c r="BI39" i="2"/>
  <c r="AU38" i="2"/>
  <c r="AV10" i="2"/>
  <c r="BK39" i="2"/>
  <c r="BB13" i="2"/>
  <c r="BP17" i="2"/>
  <c r="AX10" i="2"/>
  <c r="BE13" i="2"/>
  <c r="AZ38" i="2"/>
  <c r="AY40" i="2"/>
  <c r="AW8" i="2"/>
  <c r="BC10" i="2"/>
  <c r="AW12" i="2"/>
  <c r="BH13" i="2"/>
  <c r="AT19" i="2"/>
  <c r="BO30" i="2"/>
  <c r="AW36" i="2"/>
  <c r="BC38" i="2"/>
  <c r="BB40" i="2"/>
  <c r="BO41" i="2"/>
  <c r="BN47" i="2"/>
  <c r="AW11" i="2"/>
  <c r="AX37" i="2"/>
  <c r="BA41" i="2"/>
  <c r="BS33" i="2"/>
  <c r="BF37" i="2"/>
  <c r="BH37" i="2"/>
  <c r="AT10" i="2"/>
  <c r="BO16" i="2"/>
  <c r="BB35" i="2"/>
  <c r="BL39" i="2"/>
  <c r="AZ10" i="2"/>
  <c r="AV18" i="2"/>
  <c r="BL41" i="2"/>
  <c r="AX8" i="2"/>
  <c r="BD10" i="2"/>
  <c r="AX12" i="2"/>
  <c r="BI13" i="2"/>
  <c r="AU19" i="2"/>
  <c r="BI31" i="2"/>
  <c r="AX36" i="2"/>
  <c r="BD38" i="2"/>
  <c r="BC40" i="2"/>
  <c r="BP41" i="2"/>
  <c r="BO47" i="2"/>
  <c r="AT33" i="2"/>
  <c r="AZ9" i="2"/>
  <c r="AU37" i="2"/>
  <c r="BM33" i="2"/>
  <c r="BF14" i="2"/>
  <c r="BH9" i="2"/>
  <c r="BI14" i="2"/>
  <c r="BF41" i="2"/>
  <c r="BF11" i="2"/>
  <c r="BP46" i="2"/>
  <c r="AT18" i="2"/>
  <c r="BL30" i="2"/>
  <c r="AW47" i="2"/>
  <c r="AV8" i="2"/>
  <c r="AY8" i="2"/>
  <c r="BE10" i="2"/>
  <c r="AY12" i="2"/>
  <c r="BJ13" i="2"/>
  <c r="AW19" i="2"/>
  <c r="BM32" i="2"/>
  <c r="AY36" i="2"/>
  <c r="BE38" i="2"/>
  <c r="BD40" i="2"/>
  <c r="BQ41" i="2"/>
  <c r="BP47" i="2"/>
  <c r="BI45" i="2"/>
  <c r="BR43" i="2"/>
  <c r="BF15" i="2"/>
  <c r="BK16" i="2"/>
  <c r="BS43" i="2"/>
  <c r="BG15" i="2"/>
  <c r="BL16" i="2"/>
  <c r="BQ17" i="2"/>
  <c r="BB24" i="2"/>
  <c r="AT44" i="2"/>
  <c r="BH45" i="2"/>
  <c r="BH15" i="2"/>
  <c r="BM16" i="2"/>
  <c r="BR17" i="2"/>
  <c r="BC24" i="2"/>
  <c r="AU44" i="2"/>
  <c r="BQ46" i="2"/>
  <c r="BI15" i="2"/>
  <c r="BN16" i="2"/>
  <c r="BS17" i="2"/>
  <c r="AY19" i="2"/>
  <c r="BD24" i="2"/>
  <c r="BJ42" i="2"/>
  <c r="AW44" i="2"/>
  <c r="BJ45" i="2"/>
  <c r="BR46" i="2"/>
  <c r="BP16" i="2"/>
  <c r="BA44" i="2"/>
  <c r="BO15" i="2"/>
  <c r="AT17" i="2"/>
  <c r="AY18" i="2"/>
  <c r="BB25" i="2"/>
  <c r="BH44" i="2"/>
  <c r="BP45" i="2"/>
  <c r="BP15" i="2"/>
  <c r="AU17" i="2"/>
  <c r="AZ18" i="2"/>
  <c r="BR19" i="2"/>
  <c r="BC25" i="2"/>
  <c r="BH31" i="2"/>
  <c r="BR42" i="2"/>
  <c r="BI44" i="2"/>
  <c r="BQ45" i="2"/>
  <c r="BM47" i="2"/>
  <c r="BR47" i="2"/>
  <c r="BS47" i="2"/>
  <c r="BK15" i="2"/>
  <c r="BL15" i="2"/>
  <c r="BM15" i="2"/>
  <c r="BS16" i="2"/>
  <c r="AV17" i="2"/>
  <c r="BJ44" i="2"/>
  <c r="AW17" i="2"/>
  <c r="BE25" i="2"/>
  <c r="BC18" i="2"/>
  <c r="BK31" i="2"/>
  <c r="BD43" i="2"/>
  <c r="AT16" i="2"/>
  <c r="AV22" i="2"/>
  <c r="BN31" i="2"/>
  <c r="BE43" i="2"/>
  <c r="BK14" i="2"/>
  <c r="BE18" i="2"/>
  <c r="AW22" i="2"/>
  <c r="BI25" i="2"/>
  <c r="BO31" i="2"/>
  <c r="AY34" i="2"/>
  <c r="BF43" i="2"/>
  <c r="BN44" i="2"/>
  <c r="AV46" i="2"/>
  <c r="BL14" i="2"/>
  <c r="AV16" i="2"/>
  <c r="BA17" i="2"/>
  <c r="BI18" i="2"/>
  <c r="BR22" i="2"/>
  <c r="BJ25" i="2"/>
  <c r="BP31" i="2"/>
  <c r="BN34" i="2"/>
  <c r="BG43" i="2"/>
  <c r="BO44" i="2"/>
  <c r="AW46" i="2"/>
  <c r="BP49" i="2"/>
  <c r="BD8" i="2"/>
  <c r="BM14" i="2"/>
  <c r="AW16" i="2"/>
  <c r="BB17" i="2"/>
  <c r="BJ18" i="2"/>
  <c r="BS22" i="2"/>
  <c r="AX26" i="2"/>
  <c r="BQ31" i="2"/>
  <c r="BO34" i="2"/>
  <c r="BH43" i="2"/>
  <c r="BP44" i="2"/>
  <c r="AX46" i="2"/>
  <c r="AV50" i="2"/>
  <c r="BF44" i="2"/>
  <c r="BG44" i="2"/>
  <c r="BQ15" i="2"/>
  <c r="BD25" i="2"/>
  <c r="BR45" i="2"/>
  <c r="BB18" i="2"/>
  <c r="BJ31" i="2"/>
  <c r="BS45" i="2"/>
  <c r="BP21" i="2"/>
  <c r="AT46" i="2"/>
  <c r="AY17" i="2"/>
  <c r="BG25" i="2"/>
  <c r="BM44" i="2"/>
  <c r="AU16" i="2"/>
  <c r="AX16" i="2"/>
  <c r="BC17" i="2"/>
  <c r="AT23" i="2"/>
  <c r="AZ27" i="2"/>
  <c r="BP34" i="2"/>
  <c r="BQ44" i="2"/>
  <c r="AY46" i="2"/>
  <c r="AY16" i="2"/>
  <c r="BL18" i="2"/>
  <c r="BA27" i="2"/>
  <c r="BJ43" i="2"/>
  <c r="BA46" i="2"/>
  <c r="BS8" i="2"/>
  <c r="BQ14" i="2"/>
  <c r="BH17" i="2"/>
  <c r="BM18" i="2"/>
  <c r="AY23" i="2"/>
  <c r="BF27" i="2"/>
  <c r="AV32" i="2"/>
  <c r="BR34" i="2"/>
  <c r="BK43" i="2"/>
  <c r="BS44" i="2"/>
  <c r="BD46" i="2"/>
  <c r="BS50" i="2"/>
  <c r="AT9" i="2"/>
  <c r="BR14" i="2"/>
  <c r="BA16" i="2"/>
  <c r="BI17" i="2"/>
  <c r="BN18" i="2"/>
  <c r="AZ23" i="2"/>
  <c r="BB28" i="2"/>
  <c r="AW32" i="2"/>
  <c r="AT35" i="2"/>
  <c r="AY37" i="2"/>
  <c r="BH40" i="2"/>
  <c r="BL43" i="2"/>
  <c r="AT45" i="2"/>
  <c r="BE46" i="2"/>
  <c r="AT51" i="2"/>
  <c r="AU9" i="2"/>
  <c r="BH10" i="2"/>
  <c r="AZ12" i="2"/>
  <c r="BS14" i="2"/>
  <c r="BE16" i="2"/>
  <c r="BJ17" i="2"/>
  <c r="BO18" i="2"/>
  <c r="BA23" i="2"/>
  <c r="BC28" i="2"/>
  <c r="AX32" i="2"/>
  <c r="AU35" i="2"/>
  <c r="AZ37" i="2"/>
  <c r="AV39" i="2"/>
  <c r="BI40" i="2"/>
  <c r="BS41" i="2"/>
  <c r="BM43" i="2"/>
  <c r="AU45" i="2"/>
  <c r="BI46" i="2"/>
  <c r="AU51" i="2"/>
  <c r="BE15" i="2"/>
  <c r="BJ15" i="2"/>
  <c r="BQ16" i="2"/>
  <c r="BR16" i="2"/>
  <c r="BN15" i="2"/>
  <c r="BO45" i="2"/>
  <c r="AU43" i="2"/>
  <c r="BR15" i="2"/>
  <c r="AT21" i="2"/>
  <c r="AX43" i="2"/>
  <c r="AX17" i="2"/>
  <c r="BF25" i="2"/>
  <c r="BL44" i="2"/>
  <c r="BJ14" i="2"/>
  <c r="BD18" i="2"/>
  <c r="AU46" i="2"/>
  <c r="AZ17" i="2"/>
  <c r="BO14" i="2"/>
  <c r="BK18" i="2"/>
  <c r="BR31" i="2"/>
  <c r="BI43" i="2"/>
  <c r="AW50" i="2"/>
  <c r="BP14" i="2"/>
  <c r="BG17" i="2"/>
  <c r="AX23" i="2"/>
  <c r="AU32" i="2"/>
  <c r="BQ34" i="2"/>
  <c r="BR44" i="2"/>
  <c r="BR50" i="2"/>
  <c r="AZ16" i="2"/>
  <c r="AU15" i="2"/>
  <c r="BF16" i="2"/>
  <c r="BK17" i="2"/>
  <c r="BP18" i="2"/>
  <c r="AT24" i="2"/>
  <c r="BH28" i="2"/>
  <c r="BJ32" i="2"/>
  <c r="AV35" i="2"/>
  <c r="AW39" i="2"/>
  <c r="BB42" i="2"/>
  <c r="BN43" i="2"/>
  <c r="AV45" i="2"/>
  <c r="BJ46" i="2"/>
  <c r="AV51" i="2"/>
  <c r="AW9" i="2"/>
  <c r="BB12" i="2"/>
  <c r="AX15" i="2"/>
  <c r="BG16" i="2"/>
  <c r="BL17" i="2"/>
  <c r="BQ18" i="2"/>
  <c r="AU24" i="2"/>
  <c r="BI28" i="2"/>
  <c r="BK32" i="2"/>
  <c r="AW35" i="2"/>
  <c r="BB37" i="2"/>
  <c r="AX39" i="2"/>
  <c r="BK40" i="2"/>
  <c r="BC42" i="2"/>
  <c r="BO43" i="2"/>
  <c r="AW45" i="2"/>
  <c r="BK46" i="2"/>
  <c r="AX51" i="2"/>
  <c r="AX9" i="2"/>
  <c r="BK10" i="2"/>
  <c r="BC12" i="2"/>
  <c r="BK13" i="2"/>
  <c r="BC15" i="2"/>
  <c r="BH16" i="2"/>
  <c r="BM17" i="2"/>
  <c r="BR18" i="2"/>
  <c r="AV24" i="2"/>
  <c r="BD29" i="2"/>
  <c r="BL32" i="2"/>
  <c r="AX35" i="2"/>
  <c r="BC37" i="2"/>
  <c r="AY39" i="2"/>
  <c r="BL40" i="2"/>
  <c r="BD42" i="2"/>
  <c r="BP43" i="2"/>
  <c r="AY45" i="2"/>
  <c r="BL46" i="2"/>
  <c r="AY51" i="2"/>
  <c r="BE44" i="2"/>
  <c r="BN45" i="2"/>
  <c r="BA18" i="2"/>
  <c r="BK44" i="2"/>
  <c r="BS15" i="2"/>
  <c r="BD15" i="2"/>
  <c r="BI16" i="2"/>
  <c r="BN17" i="2"/>
  <c r="BS18" i="2"/>
  <c r="AW24" i="2"/>
  <c r="BE29" i="2"/>
  <c r="BE42" i="2"/>
  <c r="BQ43" i="2"/>
  <c r="BB45" i="2"/>
  <c r="BM46" i="2"/>
  <c r="AZ51" i="2"/>
  <c r="BO20" i="2"/>
  <c r="BQ21" i="2"/>
  <c r="AY26" i="2"/>
  <c r="BO48" i="2"/>
  <c r="BQ49" i="2"/>
  <c r="BP20" i="2"/>
  <c r="BR21" i="2"/>
  <c r="AZ26" i="2"/>
  <c r="BB27" i="2"/>
  <c r="BD28" i="2"/>
  <c r="BP48" i="2"/>
  <c r="BR49" i="2"/>
  <c r="BQ20" i="2"/>
  <c r="BS21" i="2"/>
  <c r="AU23" i="2"/>
  <c r="BA26" i="2"/>
  <c r="BC27" i="2"/>
  <c r="BE28" i="2"/>
  <c r="BG29" i="2"/>
  <c r="BI30" i="2"/>
  <c r="BQ48" i="2"/>
  <c r="BS49" i="2"/>
  <c r="BR20" i="2"/>
  <c r="AT22" i="2"/>
  <c r="AV23" i="2"/>
  <c r="AX24" i="2"/>
  <c r="BB26" i="2"/>
  <c r="BD27" i="2"/>
  <c r="BF28" i="2"/>
  <c r="BH29" i="2"/>
  <c r="BJ30" i="2"/>
  <c r="BL31" i="2"/>
  <c r="BP33" i="2"/>
  <c r="BR48" i="2"/>
  <c r="AT50" i="2"/>
  <c r="BS20" i="2"/>
  <c r="AU22" i="2"/>
  <c r="AW23" i="2"/>
  <c r="AY24" i="2"/>
  <c r="BA25" i="2"/>
  <c r="BC26" i="2"/>
  <c r="BE27" i="2"/>
  <c r="BG28" i="2"/>
  <c r="BI29" i="2"/>
  <c r="BK30" i="2"/>
  <c r="BM31" i="2"/>
  <c r="BQ33" i="2"/>
  <c r="BS34" i="2"/>
  <c r="AU36" i="2"/>
  <c r="BQ47" i="2"/>
  <c r="BS48" i="2"/>
  <c r="AU50" i="2"/>
  <c r="AW51" i="2"/>
  <c r="AU48" i="2"/>
  <c r="BA50" i="2"/>
  <c r="BD26" i="2"/>
  <c r="AV21" i="2"/>
  <c r="AW21" i="2"/>
  <c r="BA51" i="2"/>
  <c r="BB23" i="2"/>
  <c r="BH26" i="2"/>
  <c r="BJ27" i="2"/>
  <c r="BL28" i="2"/>
  <c r="BN29" i="2"/>
  <c r="BP30" i="2"/>
  <c r="BB51" i="2"/>
  <c r="AW20" i="2"/>
  <c r="AY21" i="2"/>
  <c r="BA22" i="2"/>
  <c r="BC23" i="2"/>
  <c r="BE24" i="2"/>
  <c r="BI26" i="2"/>
  <c r="BK27" i="2"/>
  <c r="BM28" i="2"/>
  <c r="BO29" i="2"/>
  <c r="BQ30" i="2"/>
  <c r="BS31" i="2"/>
  <c r="AU33" i="2"/>
  <c r="AW34" i="2"/>
  <c r="AW48" i="2"/>
  <c r="AY49" i="2"/>
  <c r="BC51" i="2"/>
  <c r="BB8" i="2"/>
  <c r="BD9" i="2"/>
  <c r="BH11" i="2"/>
  <c r="BN14" i="2"/>
  <c r="AV19" i="2"/>
  <c r="AX20" i="2"/>
  <c r="AZ21" i="2"/>
  <c r="BB22" i="2"/>
  <c r="BD23" i="2"/>
  <c r="BF24" i="2"/>
  <c r="BH25" i="2"/>
  <c r="BJ26" i="2"/>
  <c r="BL27" i="2"/>
  <c r="BN28" i="2"/>
  <c r="BP29" i="2"/>
  <c r="BR30" i="2"/>
  <c r="AT32" i="2"/>
  <c r="AV33" i="2"/>
  <c r="AX34" i="2"/>
  <c r="AZ35" i="2"/>
  <c r="BB36" i="2"/>
  <c r="BD37" i="2"/>
  <c r="BH39" i="2"/>
  <c r="BN42" i="2"/>
  <c r="AV47" i="2"/>
  <c r="AX48" i="2"/>
  <c r="AZ49" i="2"/>
  <c r="BB50" i="2"/>
  <c r="BD51" i="2"/>
  <c r="BN20" i="2"/>
  <c r="BS29" i="2"/>
  <c r="AY47" i="2"/>
  <c r="BA48" i="2"/>
  <c r="BC49" i="2"/>
  <c r="BE50" i="2"/>
  <c r="BG51" i="2"/>
  <c r="BN48" i="2"/>
  <c r="BI27" i="2"/>
  <c r="AZ22" i="2"/>
  <c r="AZ47" i="2"/>
  <c r="BB48" i="2"/>
  <c r="BD49" i="2"/>
  <c r="BF50" i="2"/>
  <c r="BH51" i="2"/>
  <c r="BC20" i="2"/>
  <c r="BA33" i="2"/>
  <c r="BS42" i="2"/>
  <c r="BE49" i="2"/>
  <c r="BI51" i="2"/>
  <c r="AX22" i="2"/>
  <c r="AX50" i="2"/>
  <c r="BM27" i="2"/>
  <c r="BB21" i="2"/>
  <c r="AX33" i="2"/>
  <c r="BB49" i="2"/>
  <c r="BI24" i="2"/>
  <c r="BA34" i="2"/>
  <c r="BJ24" i="2"/>
  <c r="BA19" i="2"/>
  <c r="BE21" i="2"/>
  <c r="BG22" i="2"/>
  <c r="BI23" i="2"/>
  <c r="BK24" i="2"/>
  <c r="BM25" i="2"/>
  <c r="BO26" i="2"/>
  <c r="BQ27" i="2"/>
  <c r="BS28" i="2"/>
  <c r="AU30" i="2"/>
  <c r="AW31" i="2"/>
  <c r="AY32" i="2"/>
  <c r="BC34" i="2"/>
  <c r="BE35" i="2"/>
  <c r="BG36" i="2"/>
  <c r="BI37" i="2"/>
  <c r="BM39" i="2"/>
  <c r="BA47" i="2"/>
  <c r="BC48" i="2"/>
  <c r="BG50" i="2"/>
  <c r="BH8" i="2"/>
  <c r="BJ9" i="2"/>
  <c r="BL10" i="2"/>
  <c r="BN11" i="2"/>
  <c r="BP12" i="2"/>
  <c r="BR13" i="2"/>
  <c r="AT15" i="2"/>
  <c r="BB19" i="2"/>
  <c r="BD20" i="2"/>
  <c r="BF21" i="2"/>
  <c r="BH22" i="2"/>
  <c r="BJ23" i="2"/>
  <c r="BL24" i="2"/>
  <c r="BN25" i="2"/>
  <c r="BP26" i="2"/>
  <c r="BR27" i="2"/>
  <c r="AT29" i="2"/>
  <c r="AV30" i="2"/>
  <c r="AX31" i="2"/>
  <c r="AZ32" i="2"/>
  <c r="BB33" i="2"/>
  <c r="BD34" i="2"/>
  <c r="BF35" i="2"/>
  <c r="BH36" i="2"/>
  <c r="BJ37" i="2"/>
  <c r="BL38" i="2"/>
  <c r="BN39" i="2"/>
  <c r="BP40" i="2"/>
  <c r="BR41" i="2"/>
  <c r="AT43" i="2"/>
  <c r="AV44" i="2"/>
  <c r="AX45" i="2"/>
  <c r="AZ46" i="2"/>
  <c r="BB47" i="2"/>
  <c r="BD48" i="2"/>
  <c r="BF49" i="2"/>
  <c r="BH50" i="2"/>
  <c r="BJ51" i="2"/>
  <c r="BG27" i="2"/>
  <c r="BJ28" i="2"/>
  <c r="AU20" i="2"/>
  <c r="BG24" i="2"/>
  <c r="AY48" i="2"/>
  <c r="BD50" i="2"/>
  <c r="BK25" i="2"/>
  <c r="AY33" i="2"/>
  <c r="BF36" i="2"/>
  <c r="BM24" i="2"/>
  <c r="BE48" i="2"/>
  <c r="BK51" i="2"/>
  <c r="AT49" i="2"/>
  <c r="AU21" i="2"/>
  <c r="AY20" i="2"/>
  <c r="BQ29" i="2"/>
  <c r="BC21" i="2"/>
  <c r="BE36" i="2"/>
  <c r="BB20" i="2"/>
  <c r="BN26" i="2"/>
  <c r="AZ33" i="2"/>
  <c r="BI8" i="2"/>
  <c r="BE20" i="2"/>
  <c r="BI22" i="2"/>
  <c r="BO25" i="2"/>
  <c r="AU29" i="2"/>
  <c r="BA32" i="2"/>
  <c r="BE34" i="2"/>
  <c r="BI36" i="2"/>
  <c r="BI50" i="2"/>
  <c r="BJ8" i="2"/>
  <c r="BL9" i="2"/>
  <c r="BN10" i="2"/>
  <c r="BP11" i="2"/>
  <c r="BR12" i="2"/>
  <c r="AT14" i="2"/>
  <c r="AV15" i="2"/>
  <c r="BD19" i="2"/>
  <c r="BF20" i="2"/>
  <c r="BH21" i="2"/>
  <c r="BJ22" i="2"/>
  <c r="BL23" i="2"/>
  <c r="BN24" i="2"/>
  <c r="BP25" i="2"/>
  <c r="BR26" i="2"/>
  <c r="AT28" i="2"/>
  <c r="AV29" i="2"/>
  <c r="AX30" i="2"/>
  <c r="AZ31" i="2"/>
  <c r="BB32" i="2"/>
  <c r="BD33" i="2"/>
  <c r="BF34" i="2"/>
  <c r="BH35" i="2"/>
  <c r="BJ36" i="2"/>
  <c r="BL37" i="2"/>
  <c r="BN38" i="2"/>
  <c r="BP39" i="2"/>
  <c r="BR40" i="2"/>
  <c r="AT42" i="2"/>
  <c r="AV43" i="2"/>
  <c r="AX44" i="2"/>
  <c r="AZ45" i="2"/>
  <c r="BB46" i="2"/>
  <c r="BD47" i="2"/>
  <c r="BF48" i="2"/>
  <c r="BH49" i="2"/>
  <c r="BJ50" i="2"/>
  <c r="BL51" i="2"/>
  <c r="BK28" i="2"/>
  <c r="AZ50" i="2"/>
  <c r="BC22" i="2"/>
  <c r="AZ20" i="2"/>
  <c r="BR29" i="2"/>
  <c r="BH23" i="2"/>
  <c r="AV31" i="2"/>
  <c r="BK9" i="2"/>
  <c r="BO11" i="2"/>
  <c r="BC19" i="2"/>
  <c r="BG21" i="2"/>
  <c r="BK23" i="2"/>
  <c r="BQ26" i="2"/>
  <c r="BS27" i="2"/>
  <c r="AW30" i="2"/>
  <c r="AY31" i="2"/>
  <c r="BC33" i="2"/>
  <c r="BG35" i="2"/>
  <c r="BK37" i="2"/>
  <c r="BO39" i="2"/>
  <c r="BC47" i="2"/>
  <c r="BG49" i="2"/>
  <c r="BK8" i="2"/>
  <c r="BM9" i="2"/>
  <c r="BO10" i="2"/>
  <c r="BQ11" i="2"/>
  <c r="BS12" i="2"/>
  <c r="AU14" i="2"/>
  <c r="AW15" i="2"/>
  <c r="BE19" i="2"/>
  <c r="BG20" i="2"/>
  <c r="BI21" i="2"/>
  <c r="BK22" i="2"/>
  <c r="BM23" i="2"/>
  <c r="BO24" i="2"/>
  <c r="BQ25" i="2"/>
  <c r="BS26" i="2"/>
  <c r="AU28" i="2"/>
  <c r="AW29" i="2"/>
  <c r="AY30" i="2"/>
  <c r="BA31" i="2"/>
  <c r="BC32" i="2"/>
  <c r="BE33" i="2"/>
  <c r="BG34" i="2"/>
  <c r="BI35" i="2"/>
  <c r="BK36" i="2"/>
  <c r="BM37" i="2"/>
  <c r="BO38" i="2"/>
  <c r="BQ39" i="2"/>
  <c r="BS40" i="2"/>
  <c r="AU42" i="2"/>
  <c r="AW43" i="2"/>
  <c r="AY44" i="2"/>
  <c r="BA45" i="2"/>
  <c r="BC46" i="2"/>
  <c r="BE47" i="2"/>
  <c r="BG48" i="2"/>
  <c r="BI49" i="2"/>
  <c r="BK50" i="2"/>
  <c r="BM51" i="2"/>
  <c r="AU49" i="2"/>
  <c r="BF26" i="2"/>
  <c r="AW49" i="2"/>
  <c r="AX21" i="2"/>
  <c r="BO28" i="2"/>
  <c r="BH24" i="2"/>
  <c r="BQ28" i="2"/>
  <c r="BN51" i="2"/>
  <c r="BH27" i="2"/>
  <c r="AT48" i="2"/>
  <c r="BM29" i="2"/>
  <c r="AX49" i="2"/>
  <c r="BE23" i="2"/>
  <c r="BA49" i="2"/>
  <c r="BL26" i="2"/>
  <c r="BA20" i="2"/>
  <c r="BL25" i="2"/>
  <c r="BB34" i="2"/>
  <c r="BS39" i="2"/>
  <c r="BG47" i="2"/>
  <c r="BO51" i="2"/>
  <c r="BE26" i="2"/>
  <c r="AV20" i="2"/>
  <c r="BD22" i="2"/>
  <c r="AZ34" i="2"/>
  <c r="AZ48" i="2"/>
  <c r="BM26" i="2"/>
  <c r="BD21" i="2"/>
  <c r="BP27" i="2"/>
  <c r="BD35" i="2"/>
  <c r="BL8" i="2"/>
  <c r="BR11" i="2"/>
  <c r="BJ21" i="2"/>
  <c r="BP24" i="2"/>
  <c r="AV28" i="2"/>
  <c r="BB31" i="2"/>
  <c r="BF33" i="2"/>
  <c r="BL36" i="2"/>
  <c r="BR39" i="2"/>
  <c r="BH48" i="2"/>
  <c r="BO9" i="2"/>
  <c r="AW14" i="2"/>
  <c r="BI20" i="2"/>
  <c r="BO23" i="2"/>
  <c r="AU27" i="2"/>
  <c r="BA30" i="2"/>
  <c r="BG33" i="2"/>
  <c r="BM36" i="2"/>
  <c r="AU41" i="2"/>
  <c r="BM50" i="2"/>
  <c r="BN8" i="2"/>
  <c r="BP9" i="2"/>
  <c r="BR10" i="2"/>
  <c r="AT12" i="2"/>
  <c r="AV13" i="2"/>
  <c r="AX14" i="2"/>
  <c r="AZ15" i="2"/>
  <c r="BB16" i="2"/>
  <c r="BD17" i="2"/>
  <c r="BF18" i="2"/>
  <c r="BH19" i="2"/>
  <c r="BJ20" i="2"/>
  <c r="BL21" i="2"/>
  <c r="BN22" i="2"/>
  <c r="BP23" i="2"/>
  <c r="BR24" i="2"/>
  <c r="AT26" i="2"/>
  <c r="AV27" i="2"/>
  <c r="AX28" i="2"/>
  <c r="AZ29" i="2"/>
  <c r="BB30" i="2"/>
  <c r="BD31" i="2"/>
  <c r="BF32" i="2"/>
  <c r="BH33" i="2"/>
  <c r="BJ34" i="2"/>
  <c r="BL35" i="2"/>
  <c r="BN36" i="2"/>
  <c r="BP37" i="2"/>
  <c r="BR38" i="2"/>
  <c r="AT40" i="2"/>
  <c r="AV41" i="2"/>
  <c r="AX42" i="2"/>
  <c r="AZ43" i="2"/>
  <c r="BB44" i="2"/>
  <c r="BD45" i="2"/>
  <c r="BF46" i="2"/>
  <c r="BH47" i="2"/>
  <c r="BJ48" i="2"/>
  <c r="BL49" i="2"/>
  <c r="BN50" i="2"/>
  <c r="BP51" i="2"/>
  <c r="AV49" i="2"/>
  <c r="AY22" i="2"/>
  <c r="AV48" i="2"/>
  <c r="BS30" i="2"/>
  <c r="BE51" i="2"/>
  <c r="BF23" i="2"/>
  <c r="AT31" i="2"/>
  <c r="BG23" i="2"/>
  <c r="BC35" i="2"/>
  <c r="BF22" i="2"/>
  <c r="AT30" i="2"/>
  <c r="BI9" i="2"/>
  <c r="BN9" i="2"/>
  <c r="BH20" i="2"/>
  <c r="BN23" i="2"/>
  <c r="AT27" i="2"/>
  <c r="AZ30" i="2"/>
  <c r="BH34" i="2"/>
  <c r="BN37" i="2"/>
  <c r="BF47" i="2"/>
  <c r="BL50" i="2"/>
  <c r="BM8" i="2"/>
  <c r="BG19" i="2"/>
  <c r="BM22" i="2"/>
  <c r="BS25" i="2"/>
  <c r="AY29" i="2"/>
  <c r="BE32" i="2"/>
  <c r="BK35" i="2"/>
  <c r="BQ38" i="2"/>
  <c r="AW42" i="2"/>
  <c r="BK49" i="2"/>
  <c r="BO8" i="2"/>
  <c r="BQ9" i="2"/>
  <c r="AU12" i="2"/>
  <c r="AW13" i="2"/>
  <c r="AY14" i="2"/>
  <c r="BA15" i="2"/>
  <c r="BC16" i="2"/>
  <c r="BE17" i="2"/>
  <c r="BG18" i="2"/>
  <c r="BI19" i="2"/>
  <c r="BK20" i="2"/>
  <c r="BM21" i="2"/>
  <c r="BO22" i="2"/>
  <c r="BQ23" i="2"/>
  <c r="BS24" i="2"/>
  <c r="AU26" i="2"/>
  <c r="AW27" i="2"/>
  <c r="AY28" i="2"/>
  <c r="BA29" i="2"/>
  <c r="BC30" i="2"/>
  <c r="BE31" i="2"/>
  <c r="BG32" i="2"/>
  <c r="BI33" i="2"/>
  <c r="BK34" i="2"/>
  <c r="BM35" i="2"/>
  <c r="BO36" i="2"/>
  <c r="BQ37" i="2"/>
  <c r="AU40" i="2"/>
  <c r="AW41" i="2"/>
  <c r="AY42" i="2"/>
  <c r="BA43" i="2"/>
  <c r="BC44" i="2"/>
  <c r="BE45" i="2"/>
  <c r="BG46" i="2"/>
  <c r="BI47" i="2"/>
  <c r="BK48" i="2"/>
  <c r="BM49" i="2"/>
  <c r="BO50" i="2"/>
  <c r="BQ51" i="2"/>
  <c r="BG26" i="2"/>
  <c r="AY50" i="2"/>
  <c r="BK26" i="2"/>
  <c r="BN27" i="2"/>
  <c r="BF51" i="2"/>
  <c r="BE22" i="2"/>
  <c r="BO27" i="2"/>
  <c r="AU31" i="2"/>
  <c r="BF8" i="2"/>
  <c r="AZ19" i="2"/>
  <c r="BR28" i="2"/>
  <c r="BG8" i="2"/>
  <c r="AV14" i="2"/>
  <c r="BF19" i="2"/>
  <c r="BL22" i="2"/>
  <c r="BR25" i="2"/>
  <c r="AX29" i="2"/>
  <c r="BD32" i="2"/>
  <c r="BJ35" i="2"/>
  <c r="AV42" i="2"/>
  <c r="BJ49" i="2"/>
  <c r="BS11" i="2"/>
  <c r="AY15" i="2"/>
  <c r="BK21" i="2"/>
  <c r="AW28" i="2"/>
  <c r="BC31" i="2"/>
  <c r="BI34" i="2"/>
  <c r="BO37" i="2"/>
  <c r="AY43" i="2"/>
  <c r="BI48" i="2"/>
  <c r="BP8" i="2"/>
  <c r="BJ19" i="2"/>
  <c r="BL20" i="2"/>
  <c r="BN21" i="2"/>
  <c r="BP22" i="2"/>
  <c r="BR23" i="2"/>
  <c r="AT25" i="2"/>
  <c r="AV26" i="2"/>
  <c r="AX27" i="2"/>
  <c r="AZ28" i="2"/>
  <c r="BB29" i="2"/>
  <c r="BD30" i="2"/>
  <c r="BF31" i="2"/>
  <c r="BH32" i="2"/>
  <c r="BJ33" i="2"/>
  <c r="BL34" i="2"/>
  <c r="BN35" i="2"/>
  <c r="BP36" i="2"/>
  <c r="BR37" i="2"/>
  <c r="AT39" i="2"/>
  <c r="AZ42" i="2"/>
  <c r="BB43" i="2"/>
  <c r="BJ47" i="2"/>
  <c r="BL48" i="2"/>
  <c r="BN49" i="2"/>
  <c r="BP50" i="2"/>
  <c r="BR51" i="2"/>
  <c r="AT20" i="2"/>
  <c r="BA21" i="2"/>
  <c r="AW33" i="2"/>
  <c r="BC50" i="2"/>
  <c r="BP28" i="2"/>
  <c r="C8" i="2" l="1"/>
  <c r="C16" i="2"/>
  <c r="C15" i="2"/>
  <c r="C14" i="2"/>
  <c r="C12" i="2"/>
  <c r="C11" i="2"/>
  <c r="C10" i="2"/>
  <c r="C9" i="2"/>
  <c r="G14" i="2"/>
  <c r="G13" i="2"/>
  <c r="G12" i="2"/>
  <c r="G11" i="2"/>
  <c r="G10" i="2"/>
  <c r="G9" i="2"/>
  <c r="G8" i="2"/>
  <c r="G16" i="2"/>
  <c r="G15" i="2"/>
  <c r="G7" i="2"/>
</calcChain>
</file>

<file path=xl/sharedStrings.xml><?xml version="1.0" encoding="utf-8"?>
<sst xmlns="http://schemas.openxmlformats.org/spreadsheetml/2006/main" count="393" uniqueCount="132">
  <si>
    <t>Yr</t>
  </si>
  <si>
    <t>sel(B):_1</t>
  </si>
  <si>
    <t>sel(B):_2</t>
  </si>
  <si>
    <t>sel(B):_3</t>
  </si>
  <si>
    <t>sel(B):_4</t>
  </si>
  <si>
    <t>sel(B):_5</t>
  </si>
  <si>
    <t>sel(B):_6</t>
  </si>
  <si>
    <t>sel(B):_7</t>
  </si>
  <si>
    <t>sel(B):_8</t>
  </si>
  <si>
    <t>sel(B):_9</t>
  </si>
  <si>
    <t>sel(B):_10</t>
  </si>
  <si>
    <t>sel(B):_11</t>
  </si>
  <si>
    <t>sel(B):_12</t>
  </si>
  <si>
    <t>sel(B):_13</t>
  </si>
  <si>
    <t>sel(B):_14</t>
  </si>
  <si>
    <t>sel(B):_15</t>
  </si>
  <si>
    <t>sel(B):_16</t>
  </si>
  <si>
    <t>sel(B):_17</t>
  </si>
  <si>
    <t>sel(B):_18</t>
  </si>
  <si>
    <t>sel(B):_19</t>
  </si>
  <si>
    <t>sel(B):_20</t>
  </si>
  <si>
    <t>sel(B):_21</t>
  </si>
  <si>
    <t>sel(B):_22</t>
  </si>
  <si>
    <t>sel(B):_23</t>
  </si>
  <si>
    <t>sel(B):_24</t>
  </si>
  <si>
    <t>sel(B):_25</t>
  </si>
  <si>
    <t>Fleet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</si>
  <si>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</si>
  <si>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</si>
  <si>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</si>
  <si>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</si>
  <si>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</si>
  <si>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</si>
  <si>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</si>
  <si>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</si>
  <si>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</si>
  <si>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</si>
  <si>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</si>
  <si>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</si>
  <si>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</si>
  <si>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</si>
  <si>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</si>
  <si>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</si>
  <si>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</si>
  <si>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</si>
  <si>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</si>
  <si>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</si>
  <si>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</si>
  <si>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</si>
  <si>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</si>
  <si>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</si>
  <si>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</si>
  <si>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TOTAL</t>
  </si>
  <si>
    <t>Year</t>
  </si>
  <si>
    <t>WCNPO Striped Marlin Proportion of Catch Biomass (mt) by Fleet, 1977-2020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</si>
  <si>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</si>
  <si>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</si>
  <si>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</si>
  <si>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</si>
  <si>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</si>
  <si>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</si>
  <si>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</si>
  <si>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</si>
  <si>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</si>
  <si>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Fleet Group</t>
  </si>
  <si>
    <t>JPNLL_Q1A1_Late</t>
  </si>
  <si>
    <t>JPNLL_Q1A2</t>
  </si>
  <si>
    <t>JPNLL_Q1A3</t>
  </si>
  <si>
    <t>JPNLL_Q2A1</t>
  </si>
  <si>
    <t>JPNLL_Q3A1_Late</t>
  </si>
  <si>
    <t>JPNLL_Q4A1</t>
  </si>
  <si>
    <t>JPNLL_Q1A4</t>
  </si>
  <si>
    <t>JPNLL_Q2A2</t>
  </si>
  <si>
    <t>JPNLL_Q3A2</t>
  </si>
  <si>
    <t>JPNLL_Q4A2</t>
  </si>
  <si>
    <t>JPNLL_Q4A3</t>
  </si>
  <si>
    <t>JPNLL_Others</t>
  </si>
  <si>
    <t>JPNDF_Q14_EarlyLate</t>
  </si>
  <si>
    <t>JPNDF_Q23_EarlyLate</t>
  </si>
  <si>
    <t>JPN_Others</t>
  </si>
  <si>
    <t>US_LL</t>
  </si>
  <si>
    <t>US_Others</t>
  </si>
  <si>
    <t>TWN_DWLL</t>
  </si>
  <si>
    <t>TWN_STLL</t>
  </si>
  <si>
    <t>TWN_Others</t>
  </si>
  <si>
    <t>WCPFC_Others</t>
  </si>
  <si>
    <t>JPNLL_Q1A1_Early</t>
  </si>
  <si>
    <t>JPNLL_Q3A1_Early</t>
  </si>
  <si>
    <t>JPNDF_Q14_Mid</t>
  </si>
  <si>
    <t>JPNDF_Q23_Mid</t>
  </si>
  <si>
    <t>Proportion by Fleet in 2020</t>
  </si>
  <si>
    <t>Sorted by Fleet</t>
  </si>
  <si>
    <t>Catch Biomass (mt) by Fleet in 2020</t>
  </si>
  <si>
    <t>Sorted by Fleet Group</t>
  </si>
  <si>
    <t>Japanese Catch (mt) by Fleet Group</t>
  </si>
  <si>
    <t>Total Catch (mt) by Fleet Group</t>
  </si>
  <si>
    <t>Total</t>
  </si>
  <si>
    <t>Proportion of Total Catch by Fleet Group</t>
  </si>
  <si>
    <t>Proportion of Japanese Catch by Fleet Group</t>
  </si>
  <si>
    <t>Proportion by Fleet Group in 2020</t>
  </si>
  <si>
    <t>Country</t>
  </si>
  <si>
    <t>2025</t>
  </si>
  <si>
    <t>2026</t>
  </si>
  <si>
    <t>2027</t>
  </si>
  <si>
    <t>Japan</t>
  </si>
  <si>
    <t>Chinese Taipei</t>
  </si>
  <si>
    <t>Korea</t>
  </si>
  <si>
    <t>United States</t>
  </si>
  <si>
    <t>China</t>
  </si>
  <si>
    <t>Other SIDS</t>
  </si>
  <si>
    <t>Japanese Proportion in 2020</t>
  </si>
  <si>
    <t>Japanese Catch in 2025</t>
  </si>
  <si>
    <t>Japanese Catch in 2026</t>
  </si>
  <si>
    <t>Fleet Groups by Country</t>
  </si>
  <si>
    <t>G7, G9</t>
  </si>
  <si>
    <t>G1 - G7</t>
  </si>
  <si>
    <t>G1 - G9</t>
  </si>
  <si>
    <t>Taiwanese Catch (mt) by Fleet Group</t>
  </si>
  <si>
    <t>Proportion of Taiwanese Catch by Fleet Group</t>
  </si>
  <si>
    <t>Taiwanese Proportion in 2020</t>
  </si>
  <si>
    <t>Taiwanese Catch in 2025</t>
  </si>
  <si>
    <t>Taiwanese Catch in 2026</t>
  </si>
  <si>
    <t>Taiwanese Catch in 2027</t>
  </si>
  <si>
    <t>Total MLS Catch in 2025</t>
  </si>
  <si>
    <t>Total MLS Catch in 2026</t>
  </si>
  <si>
    <t>Total MLS Catch in 2027</t>
  </si>
  <si>
    <t>Scenario 1 for MLS Catch Biomass (mt) by Fleet Group, 2025-2027</t>
  </si>
  <si>
    <t>Scenario 2 for MLS Catch Biomass (mt) by Fleet Group, 2025-2027</t>
  </si>
  <si>
    <t>Scenario 3 for MLS Catch Biomass (mt) by Fleet Group, 2025-2027</t>
  </si>
  <si>
    <t>Scenario 1 for MLS Catch Biomass (mt) by Fleet Group, 2025-2027 Using 2020 Catch Proportion by Group</t>
  </si>
  <si>
    <t>Scenario 2 for MLS Catch Biomass (mt) by Fleet Group, 2025-2027 Using 2020 Catch Proportion by Group</t>
  </si>
  <si>
    <t>Scenario 3 for MLS Catch Biomass (mt) by Fleet Group, 2025-2027 Using 2020 Catch Proportion by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</si>
</sst>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0" fillId="0" borderId="0" xfId="0" applyFont="1" applyAlignment="1">
      <alignment horizontal="left"/>
    </xf>
    <xf numFmtId="0" fontId="16" fillId="0" borderId="21" xfId="0" applyFont="1" applyBorder="1" applyAlignment="1">
      <alignment horizontal="center" vertical="top"/>
    </xf>
    <xf numFmtId="0" fontId="16" fillId="0" borderId="22" xfId="0" applyFont="1" applyBorder="1" applyAlignment="1">
      <alignment horizontal="center" vertical="top"/>
    </xf>
    <xf numFmtId="0" fontId="16" fillId="0" borderId="20" xfId="0" applyFont="1" applyBorder="1" applyAlignment="1">
      <alignment horizontal="center" vertical="top" wrapText="1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1" fontId="0" fillId="0" borderId="16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0" fontId="16" fillId="0" borderId="10" xfId="0" applyFont="1" applyFill="1" applyBorder="1" applyAlignment="1">
      <alignment horizontal="center" vertical="top" wrapText="1"/>
    </xf>
    <xf numFmtId="166" fontId="0" fillId="0" borderId="13" xfId="1" applyNumberFormat="1" applyFont="1" applyBorder="1" applyAlignment="1">
      <alignment horizontal="center"/>
    </xf>
    <xf numFmtId="166" fontId="0" fillId="0" borderId="15" xfId="1" applyNumberFormat="1" applyFon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66" fontId="0" fillId="0" borderId="10" xfId="1" applyNumberFormat="1" applyFont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10" xfId="0" applyBorder="1"/>
    <xf numFmtId="0" fontId="0" fillId="0" borderId="13" xfId="0" applyBorder="1"/>
    <xf numFmtId="0" fontId="0" fillId="0" borderId="15" xfId="0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1" fontId="0" fillId="0" borderId="11" xfId="0" applyNumberFormat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1" fontId="0" fillId="0" borderId="12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19" fillId="33" borderId="0" xfId="0" applyFont="1" applyFill="1"/>
    <xf numFmtId="0" fontId="0" fillId="33" borderId="0" xfId="0" applyFill="1" applyAlignment="1">
      <alignment horizontal="center"/>
    </xf>
    <xf numFmtId="0" fontId="0" fillId="33" borderId="0" xfId="0" applyFill="1"/>
    <xf numFmtId="2" fontId="0" fillId="0" borderId="12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F567A-49C1-420D-A6FE-DFD074524F72}">
  <dimension ref="A1:C10"/>
  <sheetViews>
    <sheetView workbookViewId="0">
      <selection activeCell="A2" sqref="A2:C10"/>
    </sheetView>
  </sheetViews>
  <sheetFormatPr defaultRowHeight="14.6" x14ac:dyDescent="0.4"/>
  <sheetData>
    <row r="1" spans="1:3" x14ac:dyDescent="0.4">
      <c r="A1">
        <v>2025</v>
      </c>
      <c r="B1">
        <v>2026</v>
      </c>
      <c r="C1">
        <v>2027</v>
      </c>
    </row>
    <row r="2" spans="1:3" x14ac:dyDescent="0.4">
      <c r="A2">
        <v>315.55157310061963</v>
      </c>
      <c r="B2">
        <v>315.55157310061963</v>
      </c>
      <c r="C2">
        <v>315.55157310061963</v>
      </c>
    </row>
    <row r="3" spans="1:3" x14ac:dyDescent="0.4">
      <c r="A3">
        <v>125.07308444928738</v>
      </c>
      <c r="B3">
        <v>125.07308444928738</v>
      </c>
      <c r="C3">
        <v>125.07308444928738</v>
      </c>
    </row>
    <row r="4" spans="1:3" x14ac:dyDescent="0.4">
      <c r="A4">
        <v>903.81535509139644</v>
      </c>
      <c r="B4">
        <v>903.81535509139644</v>
      </c>
      <c r="C4">
        <v>903.81535509139644</v>
      </c>
    </row>
    <row r="5" spans="1:3" x14ac:dyDescent="0.4">
      <c r="A5">
        <v>58.105619197451787</v>
      </c>
      <c r="B5">
        <v>58.105619197451787</v>
      </c>
      <c r="C5">
        <v>58.105619197451787</v>
      </c>
    </row>
    <row r="6" spans="1:3" x14ac:dyDescent="0.4">
      <c r="A6">
        <v>190.96275638160924</v>
      </c>
      <c r="B6">
        <v>190.96275638160924</v>
      </c>
      <c r="C6">
        <v>190.96275638160924</v>
      </c>
    </row>
    <row r="7" spans="1:3" x14ac:dyDescent="0.4">
      <c r="A7">
        <v>85.39359442146116</v>
      </c>
      <c r="B7">
        <v>85.39359442146116</v>
      </c>
      <c r="C7">
        <v>85.39359442146116</v>
      </c>
    </row>
    <row r="8" spans="1:3" x14ac:dyDescent="0.4">
      <c r="A8">
        <v>166.48386377675911</v>
      </c>
      <c r="B8">
        <v>166.48386377675911</v>
      </c>
      <c r="C8">
        <v>166.48386377675911</v>
      </c>
    </row>
    <row r="9" spans="1:3" x14ac:dyDescent="0.4">
      <c r="A9">
        <v>228.4</v>
      </c>
      <c r="B9">
        <v>228.4</v>
      </c>
      <c r="C9">
        <v>228.4</v>
      </c>
    </row>
    <row r="10" spans="1:3" x14ac:dyDescent="0.4">
      <c r="A10">
        <v>326.21415358141536</v>
      </c>
      <c r="B10">
        <v>326.21415358141536</v>
      </c>
      <c r="C10">
        <v>326.21415358141536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0A7C0-583F-4632-BFAF-4A472DB23D3C}">
  <dimension ref="A1:C10"/>
  <sheetViews>
    <sheetView workbookViewId="0">
      <selection activeCell="A2" sqref="A2:C10"/>
    </sheetView>
  </sheetViews>
  <sheetFormatPr defaultRowHeight="14.6" x14ac:dyDescent="0.4"/>
  <sheetData>
    <row r="1" spans="1:3" x14ac:dyDescent="0.4">
      <c r="A1">
        <v>2025</v>
      </c>
      <c r="B1">
        <v>2026</v>
      </c>
      <c r="C1">
        <v>2027</v>
      </c>
    </row>
    <row r="2" spans="1:3" x14ac:dyDescent="0.4">
      <c r="A2">
        <v>351.35053457036815</v>
      </c>
      <c r="B2">
        <v>315.55157310061963</v>
      </c>
      <c r="C2">
        <v>315.55157310061963</v>
      </c>
    </row>
    <row r="3" spans="1:3" x14ac:dyDescent="0.4">
      <c r="A3">
        <v>139.2624814061991</v>
      </c>
      <c r="B3">
        <v>125.07308444928738</v>
      </c>
      <c r="C3">
        <v>125.07308444928738</v>
      </c>
    </row>
    <row r="4" spans="1:3" x14ac:dyDescent="0.4">
      <c r="A4">
        <v>1295.6467175708246</v>
      </c>
      <c r="B4">
        <v>903.81535509139644</v>
      </c>
      <c r="C4">
        <v>903.81535509139644</v>
      </c>
    </row>
    <row r="5" spans="1:3" x14ac:dyDescent="0.4">
      <c r="A5">
        <v>64.697634576700651</v>
      </c>
      <c r="B5">
        <v>58.105619197451787</v>
      </c>
      <c r="C5">
        <v>58.105619197451787</v>
      </c>
    </row>
    <row r="6" spans="1:3" x14ac:dyDescent="0.4">
      <c r="A6">
        <v>212.62726050906076</v>
      </c>
      <c r="B6">
        <v>190.96275638160924</v>
      </c>
      <c r="C6">
        <v>190.96275638160924</v>
      </c>
    </row>
    <row r="7" spans="1:3" x14ac:dyDescent="0.4">
      <c r="A7">
        <v>95.081399069110418</v>
      </c>
      <c r="B7">
        <v>85.39359442146116</v>
      </c>
      <c r="C7">
        <v>85.39359442146116</v>
      </c>
    </row>
    <row r="8" spans="1:3" x14ac:dyDescent="0.4">
      <c r="A8">
        <v>196.53752144809124</v>
      </c>
      <c r="B8">
        <v>166.48386377675911</v>
      </c>
      <c r="C8">
        <v>166.48386377675911</v>
      </c>
    </row>
    <row r="9" spans="1:3" x14ac:dyDescent="0.4">
      <c r="A9">
        <v>393.4</v>
      </c>
      <c r="B9">
        <v>228.4</v>
      </c>
      <c r="C9">
        <v>228.4</v>
      </c>
    </row>
    <row r="10" spans="1:3" x14ac:dyDescent="0.4">
      <c r="A10">
        <v>476.39645084964508</v>
      </c>
      <c r="B10">
        <v>326.21415358141536</v>
      </c>
      <c r="C10">
        <v>326.21415358141536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0F66E-736B-426E-BFF0-C237378AB7C2}">
  <dimension ref="A1:C10"/>
  <sheetViews>
    <sheetView workbookViewId="0">
      <selection activeCell="F8" sqref="F8"/>
    </sheetView>
  </sheetViews>
  <sheetFormatPr defaultRowHeight="14.6" x14ac:dyDescent="0.4"/>
  <sheetData>
    <row r="1" spans="1:3" x14ac:dyDescent="0.4">
      <c r="A1">
        <v>2025</v>
      </c>
      <c r="B1">
        <v>2026</v>
      </c>
      <c r="C1">
        <v>2027</v>
      </c>
    </row>
    <row r="2" spans="1:3" x14ac:dyDescent="0.4">
      <c r="A2">
        <v>351.35053457036815</v>
      </c>
      <c r="B2">
        <v>351.35053457036815</v>
      </c>
      <c r="C2">
        <v>315.55157310061963</v>
      </c>
    </row>
    <row r="3" spans="1:3" x14ac:dyDescent="0.4">
      <c r="A3">
        <v>139.2624814061991</v>
      </c>
      <c r="B3">
        <v>139.2624814061991</v>
      </c>
      <c r="C3">
        <v>125.07308444928738</v>
      </c>
    </row>
    <row r="4" spans="1:3" x14ac:dyDescent="0.4">
      <c r="A4">
        <v>1295.6467175708246</v>
      </c>
      <c r="B4">
        <v>1295.6467175708246</v>
      </c>
      <c r="C4">
        <v>903.81535509139644</v>
      </c>
    </row>
    <row r="5" spans="1:3" x14ac:dyDescent="0.4">
      <c r="A5">
        <v>64.697634576700651</v>
      </c>
      <c r="B5">
        <v>64.697634576700651</v>
      </c>
      <c r="C5">
        <v>58.105619197451787</v>
      </c>
    </row>
    <row r="6" spans="1:3" x14ac:dyDescent="0.4">
      <c r="A6">
        <v>212.62726050906076</v>
      </c>
      <c r="B6">
        <v>212.62726050906076</v>
      </c>
      <c r="C6">
        <v>190.96275638160924</v>
      </c>
    </row>
    <row r="7" spans="1:3" x14ac:dyDescent="0.4">
      <c r="A7">
        <v>95.081399069110418</v>
      </c>
      <c r="B7">
        <v>95.081399069110418</v>
      </c>
      <c r="C7">
        <v>85.39359442146116</v>
      </c>
    </row>
    <row r="8" spans="1:3" x14ac:dyDescent="0.4">
      <c r="A8">
        <v>196.53752144809124</v>
      </c>
      <c r="B8">
        <v>196.53752144809124</v>
      </c>
      <c r="C8">
        <v>166.48386377675911</v>
      </c>
    </row>
    <row r="9" spans="1:3" x14ac:dyDescent="0.4">
      <c r="A9">
        <v>393.4</v>
      </c>
      <c r="B9">
        <v>393.4</v>
      </c>
      <c r="C9">
        <v>228.4</v>
      </c>
    </row>
    <row r="10" spans="1:3" x14ac:dyDescent="0.4">
      <c r="A10">
        <v>476.39645084964508</v>
      </c>
      <c r="B10">
        <v>476.39645084964508</v>
      </c>
      <c r="C10">
        <v>326.21415358141536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0326-A5BD-4C05-8BBC-EA033DCD7580}">
  <dimension ref="A1:R13"/>
  <sheetViews>
    <sheetView topLeftCell="F4" workbookViewId="0">
      <selection activeCell="G1" sqref="G1:R13"/>
    </sheetView>
  </sheetViews>
  <sheetFormatPr defaultRowHeight="14.6" x14ac:dyDescent="0.4"/>
  <cols>
    <col min="1" max="1" width="14.765625" style="1" customWidth="1"/>
    <col min="2" max="4" width="9.23046875" style="1"/>
    <col min="5" max="5" width="17.921875" style="1" customWidth="1"/>
    <col min="6" max="6" width="13.53515625" customWidth="1"/>
    <col min="7" max="7" width="9.23046875" style="1"/>
    <col min="8" max="10" width="9.921875" style="1" customWidth="1"/>
    <col min="11" max="11" width="10.3828125" style="1" customWidth="1"/>
    <col min="12" max="14" width="9.765625" style="1" customWidth="1"/>
    <col min="15" max="15" width="10.07421875" style="1" customWidth="1"/>
    <col min="16" max="18" width="9.23046875" style="1"/>
  </cols>
  <sheetData>
    <row r="1" spans="1:18" ht="18.45" x14ac:dyDescent="0.5">
      <c r="A1" s="23" t="s">
        <v>126</v>
      </c>
      <c r="G1" s="23" t="s">
        <v>129</v>
      </c>
    </row>
    <row r="2" spans="1:18" ht="18.899999999999999" thickBot="1" x14ac:dyDescent="0.55000000000000004">
      <c r="A2" s="23"/>
    </row>
    <row r="3" spans="1:18" ht="44.15" thickBot="1" x14ac:dyDescent="0.45">
      <c r="A3" s="24" t="s">
        <v>100</v>
      </c>
      <c r="B3" s="25" t="s">
        <v>101</v>
      </c>
      <c r="C3" s="25" t="s">
        <v>102</v>
      </c>
      <c r="D3" s="25" t="s">
        <v>103</v>
      </c>
      <c r="E3" s="26" t="s">
        <v>113</v>
      </c>
      <c r="G3" s="33" t="s">
        <v>64</v>
      </c>
      <c r="H3" s="34" t="s">
        <v>123</v>
      </c>
      <c r="I3" s="34" t="s">
        <v>124</v>
      </c>
      <c r="J3" s="35" t="s">
        <v>125</v>
      </c>
      <c r="K3" s="38" t="s">
        <v>119</v>
      </c>
      <c r="L3" s="34" t="s">
        <v>120</v>
      </c>
      <c r="M3" s="34" t="s">
        <v>121</v>
      </c>
      <c r="N3" s="35" t="s">
        <v>122</v>
      </c>
      <c r="O3" s="38" t="s">
        <v>110</v>
      </c>
      <c r="P3" s="34" t="s">
        <v>111</v>
      </c>
      <c r="Q3" s="34" t="s">
        <v>112</v>
      </c>
      <c r="R3" s="35" t="s">
        <v>112</v>
      </c>
    </row>
    <row r="4" spans="1:18" x14ac:dyDescent="0.4">
      <c r="A4" s="11" t="s">
        <v>104</v>
      </c>
      <c r="B4" s="11">
        <v>1454.4</v>
      </c>
      <c r="C4" s="52">
        <v>1454.4</v>
      </c>
      <c r="D4" s="13">
        <v>1454.4</v>
      </c>
      <c r="E4" s="13" t="s">
        <v>115</v>
      </c>
      <c r="G4" s="11" t="s">
        <v>55</v>
      </c>
      <c r="H4" s="27">
        <f>L4+P4</f>
        <v>315.55157310061963</v>
      </c>
      <c r="I4" s="27">
        <f t="shared" ref="I4:J5" si="0">M4+Q4</f>
        <v>315.55157310061963</v>
      </c>
      <c r="J4" s="28">
        <f t="shared" si="0"/>
        <v>315.55157310061963</v>
      </c>
      <c r="K4" s="11">
        <v>0</v>
      </c>
      <c r="L4" s="12">
        <v>0</v>
      </c>
      <c r="M4" s="12">
        <v>0</v>
      </c>
      <c r="N4" s="13">
        <v>0</v>
      </c>
      <c r="O4" s="45">
        <v>0.2169634028469607</v>
      </c>
      <c r="P4" s="27">
        <f>$O4*$B$4</f>
        <v>315.55157310061963</v>
      </c>
      <c r="Q4" s="27">
        <f>$O4*$C$4</f>
        <v>315.55157310061963</v>
      </c>
      <c r="R4" s="28">
        <f>$O4*$D$4</f>
        <v>315.55157310061963</v>
      </c>
    </row>
    <row r="5" spans="1:18" x14ac:dyDescent="0.4">
      <c r="A5" s="14" t="s">
        <v>105</v>
      </c>
      <c r="B5" s="14">
        <v>358.4</v>
      </c>
      <c r="C5" s="53">
        <v>358.4</v>
      </c>
      <c r="D5" s="16">
        <v>358.4</v>
      </c>
      <c r="E5" s="16" t="s">
        <v>114</v>
      </c>
      <c r="G5" s="14" t="s">
        <v>56</v>
      </c>
      <c r="H5" s="29">
        <f>L5+P5</f>
        <v>125.07308444928738</v>
      </c>
      <c r="I5" s="29">
        <f t="shared" si="0"/>
        <v>125.07308444928738</v>
      </c>
      <c r="J5" s="30">
        <f t="shared" si="0"/>
        <v>125.07308444928738</v>
      </c>
      <c r="K5" s="14">
        <v>0</v>
      </c>
      <c r="L5" s="15">
        <v>0</v>
      </c>
      <c r="M5" s="15">
        <v>0</v>
      </c>
      <c r="N5" s="16">
        <v>0</v>
      </c>
      <c r="O5" s="39">
        <v>8.5996345193404405E-2</v>
      </c>
      <c r="P5" s="29">
        <f>$O5*$B$4</f>
        <v>125.07308444928738</v>
      </c>
      <c r="Q5" s="29">
        <f>$O5*$C$4</f>
        <v>125.07308444928738</v>
      </c>
      <c r="R5" s="30">
        <f>$O5*$D$4</f>
        <v>125.07308444928738</v>
      </c>
    </row>
    <row r="6" spans="1:18" x14ac:dyDescent="0.4">
      <c r="A6" s="14" t="s">
        <v>106</v>
      </c>
      <c r="B6" s="14">
        <v>214.8</v>
      </c>
      <c r="C6" s="53">
        <v>214.8</v>
      </c>
      <c r="D6" s="16">
        <v>214.8</v>
      </c>
      <c r="E6" s="16" t="s">
        <v>57</v>
      </c>
      <c r="G6" s="14" t="s">
        <v>57</v>
      </c>
      <c r="H6" s="29">
        <f>L6+P6+B6+B8+B9</f>
        <v>903.81535509139644</v>
      </c>
      <c r="I6" s="29">
        <f t="shared" ref="I6:J6" si="1">M6+Q6+C6+C8+C9</f>
        <v>903.81535509139644</v>
      </c>
      <c r="J6" s="30">
        <f t="shared" si="1"/>
        <v>903.81535509139644</v>
      </c>
      <c r="K6" s="14">
        <v>0</v>
      </c>
      <c r="L6" s="15">
        <v>0</v>
      </c>
      <c r="M6" s="15">
        <v>0</v>
      </c>
      <c r="N6" s="16">
        <v>0</v>
      </c>
      <c r="O6" s="39">
        <v>0.37473553017835282</v>
      </c>
      <c r="P6" s="29">
        <f t="shared" ref="P6:P13" si="2">$O6*$B$4</f>
        <v>545.01535509139637</v>
      </c>
      <c r="Q6" s="29">
        <f t="shared" ref="Q6:Q13" si="3">$O6*$C$4</f>
        <v>545.01535509139637</v>
      </c>
      <c r="R6" s="30">
        <f t="shared" ref="R6:R13" si="4">$O6*$D$4</f>
        <v>545.01535509139637</v>
      </c>
    </row>
    <row r="7" spans="1:18" x14ac:dyDescent="0.4">
      <c r="A7" s="14" t="s">
        <v>107</v>
      </c>
      <c r="B7" s="14">
        <v>228.4</v>
      </c>
      <c r="C7" s="53">
        <v>228.4</v>
      </c>
      <c r="D7" s="16">
        <v>228.4</v>
      </c>
      <c r="E7" s="16" t="s">
        <v>62</v>
      </c>
      <c r="G7" s="14" t="s">
        <v>58</v>
      </c>
      <c r="H7" s="29">
        <f t="shared" ref="H7:H9" si="5">L7+P7</f>
        <v>58.105619197451787</v>
      </c>
      <c r="I7" s="29">
        <f t="shared" ref="I7:I10" si="6">M7+Q7</f>
        <v>58.105619197451787</v>
      </c>
      <c r="J7" s="30">
        <f t="shared" ref="J7:J10" si="7">N7+R7</f>
        <v>58.105619197451787</v>
      </c>
      <c r="K7" s="14">
        <v>0</v>
      </c>
      <c r="L7" s="15">
        <v>0</v>
      </c>
      <c r="M7" s="15">
        <v>0</v>
      </c>
      <c r="N7" s="16">
        <v>0</v>
      </c>
      <c r="O7" s="39">
        <v>3.9951608359084012E-2</v>
      </c>
      <c r="P7" s="29">
        <f t="shared" si="2"/>
        <v>58.105619197451787</v>
      </c>
      <c r="Q7" s="29">
        <f t="shared" si="3"/>
        <v>58.105619197451787</v>
      </c>
      <c r="R7" s="30">
        <f t="shared" si="4"/>
        <v>58.105619197451787</v>
      </c>
    </row>
    <row r="8" spans="1:18" x14ac:dyDescent="0.4">
      <c r="A8" s="14" t="s">
        <v>108</v>
      </c>
      <c r="B8" s="14">
        <v>68.8</v>
      </c>
      <c r="C8" s="53">
        <v>68.8</v>
      </c>
      <c r="D8" s="16">
        <v>68.8</v>
      </c>
      <c r="E8" s="16" t="s">
        <v>57</v>
      </c>
      <c r="G8" s="14" t="s">
        <v>59</v>
      </c>
      <c r="H8" s="29">
        <f t="shared" si="5"/>
        <v>190.96275638160924</v>
      </c>
      <c r="I8" s="29">
        <f t="shared" si="6"/>
        <v>190.96275638160924</v>
      </c>
      <c r="J8" s="30">
        <f t="shared" si="7"/>
        <v>190.96275638160924</v>
      </c>
      <c r="K8" s="14">
        <v>0</v>
      </c>
      <c r="L8" s="15">
        <v>0</v>
      </c>
      <c r="M8" s="15">
        <v>0</v>
      </c>
      <c r="N8" s="16">
        <v>0</v>
      </c>
      <c r="O8" s="39">
        <v>0.13130002501485782</v>
      </c>
      <c r="P8" s="29">
        <f t="shared" si="2"/>
        <v>190.96275638160924</v>
      </c>
      <c r="Q8" s="29">
        <f t="shared" si="3"/>
        <v>190.96275638160924</v>
      </c>
      <c r="R8" s="30">
        <f t="shared" si="4"/>
        <v>190.96275638160924</v>
      </c>
    </row>
    <row r="9" spans="1:18" x14ac:dyDescent="0.4">
      <c r="A9" s="14" t="s">
        <v>109</v>
      </c>
      <c r="B9" s="14">
        <v>75.2</v>
      </c>
      <c r="C9" s="53">
        <v>75.2</v>
      </c>
      <c r="D9" s="16">
        <v>75.2</v>
      </c>
      <c r="E9" s="16" t="s">
        <v>57</v>
      </c>
      <c r="G9" s="14" t="s">
        <v>60</v>
      </c>
      <c r="H9" s="29">
        <f t="shared" si="5"/>
        <v>85.39359442146116</v>
      </c>
      <c r="I9" s="29">
        <f t="shared" si="6"/>
        <v>85.39359442146116</v>
      </c>
      <c r="J9" s="30">
        <f t="shared" si="7"/>
        <v>85.39359442146116</v>
      </c>
      <c r="K9" s="14">
        <v>0</v>
      </c>
      <c r="L9" s="15">
        <v>0</v>
      </c>
      <c r="M9" s="15">
        <v>0</v>
      </c>
      <c r="N9" s="16">
        <v>0</v>
      </c>
      <c r="O9" s="39">
        <v>5.8713967561510691E-2</v>
      </c>
      <c r="P9" s="29">
        <f t="shared" si="2"/>
        <v>85.39359442146116</v>
      </c>
      <c r="Q9" s="29">
        <f t="shared" si="3"/>
        <v>85.39359442146116</v>
      </c>
      <c r="R9" s="30">
        <f t="shared" si="4"/>
        <v>85.39359442146116</v>
      </c>
    </row>
    <row r="10" spans="1:18" ht="15" thickBot="1" x14ac:dyDescent="0.45">
      <c r="A10" s="17" t="s">
        <v>96</v>
      </c>
      <c r="B10" s="17">
        <v>2400</v>
      </c>
      <c r="C10" s="54">
        <v>2400</v>
      </c>
      <c r="D10" s="19">
        <v>2400</v>
      </c>
      <c r="E10" s="19" t="s">
        <v>116</v>
      </c>
      <c r="G10" s="14" t="s">
        <v>61</v>
      </c>
      <c r="H10" s="29">
        <f t="shared" ref="H10" si="8">L10+P10</f>
        <v>166.48386377675911</v>
      </c>
      <c r="I10" s="29">
        <f t="shared" si="6"/>
        <v>166.48386377675911</v>
      </c>
      <c r="J10" s="30">
        <f t="shared" si="7"/>
        <v>166.48386377675911</v>
      </c>
      <c r="K10" s="39">
        <v>8.9804258980425905E-2</v>
      </c>
      <c r="L10" s="29">
        <f>$K10*$B$5</f>
        <v>32.185846418584646</v>
      </c>
      <c r="M10" s="29">
        <f>$K10*$C$5</f>
        <v>32.185846418584646</v>
      </c>
      <c r="N10" s="30">
        <f>$K10*$D$5</f>
        <v>32.185846418584646</v>
      </c>
      <c r="O10" s="39">
        <v>9.2339120845829528E-2</v>
      </c>
      <c r="P10" s="29">
        <f t="shared" si="2"/>
        <v>134.29801735817446</v>
      </c>
      <c r="Q10" s="29">
        <f t="shared" si="3"/>
        <v>134.29801735817446</v>
      </c>
      <c r="R10" s="30">
        <f t="shared" si="4"/>
        <v>134.29801735817446</v>
      </c>
    </row>
    <row r="11" spans="1:18" x14ac:dyDescent="0.4">
      <c r="G11" s="14" t="s">
        <v>62</v>
      </c>
      <c r="H11" s="15">
        <f>B7</f>
        <v>228.4</v>
      </c>
      <c r="I11" s="15">
        <f t="shared" ref="I11:J11" si="9">C7</f>
        <v>228.4</v>
      </c>
      <c r="J11" s="16">
        <f t="shared" si="9"/>
        <v>228.4</v>
      </c>
      <c r="K11" s="14">
        <v>0</v>
      </c>
      <c r="L11" s="15">
        <v>0</v>
      </c>
      <c r="M11" s="15">
        <v>0</v>
      </c>
      <c r="N11" s="16">
        <v>0</v>
      </c>
      <c r="O11" s="41">
        <v>0</v>
      </c>
      <c r="P11" s="42">
        <f t="shared" si="2"/>
        <v>0</v>
      </c>
      <c r="Q11" s="42">
        <f t="shared" si="3"/>
        <v>0</v>
      </c>
      <c r="R11" s="43">
        <f t="shared" si="4"/>
        <v>0</v>
      </c>
    </row>
    <row r="12" spans="1:18" ht="15" thickBot="1" x14ac:dyDescent="0.45">
      <c r="G12" s="17" t="s">
        <v>63</v>
      </c>
      <c r="H12" s="31">
        <f t="shared" ref="H12" si="10">L12+P12</f>
        <v>326.21415358141536</v>
      </c>
      <c r="I12" s="31">
        <f t="shared" ref="I12" si="11">M12+Q12</f>
        <v>326.21415358141536</v>
      </c>
      <c r="J12" s="32">
        <f t="shared" ref="J12" si="12">N12+R12</f>
        <v>326.21415358141536</v>
      </c>
      <c r="K12" s="40">
        <v>0.91019574101957412</v>
      </c>
      <c r="L12" s="31">
        <f>$K12*$B$5</f>
        <v>326.21415358141536</v>
      </c>
      <c r="M12" s="31">
        <f>$K12*$C$5</f>
        <v>326.21415358141536</v>
      </c>
      <c r="N12" s="32">
        <f>$K12*$D$5</f>
        <v>326.21415358141536</v>
      </c>
      <c r="O12" s="44">
        <v>0</v>
      </c>
      <c r="P12" s="36">
        <f t="shared" si="2"/>
        <v>0</v>
      </c>
      <c r="Q12" s="36">
        <f t="shared" si="3"/>
        <v>0</v>
      </c>
      <c r="R12" s="37">
        <f t="shared" si="4"/>
        <v>0</v>
      </c>
    </row>
    <row r="13" spans="1:18" ht="15" thickBot="1" x14ac:dyDescent="0.45">
      <c r="G13" s="17" t="s">
        <v>96</v>
      </c>
      <c r="H13" s="36">
        <f>SUM(H4:H12)</f>
        <v>2400</v>
      </c>
      <c r="I13" s="36">
        <f t="shared" ref="I13:J13" si="13">SUM(I4:I12)</f>
        <v>2400</v>
      </c>
      <c r="J13" s="37">
        <f t="shared" si="13"/>
        <v>2400</v>
      </c>
      <c r="K13" s="40">
        <v>1</v>
      </c>
      <c r="L13" s="31">
        <f>$K13*$B$5</f>
        <v>358.4</v>
      </c>
      <c r="M13" s="31">
        <f>$K13*$C$5</f>
        <v>358.4</v>
      </c>
      <c r="N13" s="32">
        <f>$K13*$D$5</f>
        <v>358.4</v>
      </c>
      <c r="O13" s="40">
        <v>1</v>
      </c>
      <c r="P13" s="31">
        <f t="shared" si="2"/>
        <v>1454.4</v>
      </c>
      <c r="Q13" s="31">
        <f t="shared" si="3"/>
        <v>1454.4</v>
      </c>
      <c r="R13" s="32">
        <f t="shared" si="4"/>
        <v>1454.4</v>
      </c>
    </row>
  </sheetData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A1B40-5DF5-408C-9B05-FDFE30BE51E6}">
  <dimension ref="A1:R13"/>
  <sheetViews>
    <sheetView topLeftCell="G3" workbookViewId="0">
      <selection activeCell="G1" sqref="G1:R13"/>
    </sheetView>
  </sheetViews>
  <sheetFormatPr defaultRowHeight="14.6" x14ac:dyDescent="0.4"/>
  <cols>
    <col min="1" max="1" width="14.765625" style="1" customWidth="1"/>
    <col min="2" max="4" width="9.23046875" style="1"/>
    <col min="5" max="5" width="17.921875" style="1" customWidth="1"/>
    <col min="6" max="6" width="12.07421875" customWidth="1"/>
    <col min="7" max="7" width="9.23046875" style="1"/>
    <col min="8" max="10" width="9.921875" style="1" customWidth="1"/>
    <col min="11" max="11" width="10.3828125" style="1" customWidth="1"/>
    <col min="12" max="14" width="9.765625" style="1" customWidth="1"/>
    <col min="15" max="15" width="10.07421875" style="1" customWidth="1"/>
    <col min="16" max="18" width="9.23046875" style="1"/>
  </cols>
  <sheetData>
    <row r="1" spans="1:18" ht="18.45" x14ac:dyDescent="0.5">
      <c r="A1" s="23" t="s">
        <v>127</v>
      </c>
      <c r="G1" s="23" t="s">
        <v>130</v>
      </c>
    </row>
    <row r="2" spans="1:18" ht="18.899999999999999" thickBot="1" x14ac:dyDescent="0.55000000000000004">
      <c r="A2" s="23"/>
    </row>
    <row r="3" spans="1:18" ht="44.15" thickBot="1" x14ac:dyDescent="0.45">
      <c r="A3" s="24" t="s">
        <v>100</v>
      </c>
      <c r="B3" s="25" t="s">
        <v>101</v>
      </c>
      <c r="C3" s="25" t="s">
        <v>102</v>
      </c>
      <c r="D3" s="25" t="s">
        <v>103</v>
      </c>
      <c r="E3" s="26" t="s">
        <v>113</v>
      </c>
      <c r="G3" s="33" t="s">
        <v>64</v>
      </c>
      <c r="H3" s="34" t="s">
        <v>123</v>
      </c>
      <c r="I3" s="34" t="s">
        <v>124</v>
      </c>
      <c r="J3" s="35" t="s">
        <v>125</v>
      </c>
      <c r="K3" s="38" t="s">
        <v>119</v>
      </c>
      <c r="L3" s="34" t="s">
        <v>120</v>
      </c>
      <c r="M3" s="34" t="s">
        <v>121</v>
      </c>
      <c r="N3" s="35" t="s">
        <v>122</v>
      </c>
      <c r="O3" s="38" t="s">
        <v>110</v>
      </c>
      <c r="P3" s="34" t="s">
        <v>111</v>
      </c>
      <c r="Q3" s="34" t="s">
        <v>112</v>
      </c>
      <c r="R3" s="35" t="s">
        <v>112</v>
      </c>
    </row>
    <row r="4" spans="1:18" x14ac:dyDescent="0.4">
      <c r="A4" s="11" t="s">
        <v>104</v>
      </c>
      <c r="B4" s="46">
        <f>1454.4 + 165</f>
        <v>1619.4</v>
      </c>
      <c r="C4" s="12">
        <v>1454.4</v>
      </c>
      <c r="D4" s="52">
        <v>1454.4</v>
      </c>
      <c r="E4" s="13" t="s">
        <v>115</v>
      </c>
      <c r="G4" s="11" t="s">
        <v>55</v>
      </c>
      <c r="H4" s="27">
        <f>L4+P4</f>
        <v>351.35053457036815</v>
      </c>
      <c r="I4" s="27">
        <f t="shared" ref="I4:J5" si="0">M4+Q4</f>
        <v>315.55157310061963</v>
      </c>
      <c r="J4" s="28">
        <f t="shared" si="0"/>
        <v>315.55157310061963</v>
      </c>
      <c r="K4" s="11">
        <v>0</v>
      </c>
      <c r="L4" s="12">
        <v>0</v>
      </c>
      <c r="M4" s="12">
        <v>0</v>
      </c>
      <c r="N4" s="13">
        <v>0</v>
      </c>
      <c r="O4" s="45">
        <v>0.2169634028469607</v>
      </c>
      <c r="P4" s="27">
        <f>$O4*$B$4</f>
        <v>351.35053457036815</v>
      </c>
      <c r="Q4" s="27">
        <f>$O4*$C$4</f>
        <v>315.55157310061963</v>
      </c>
      <c r="R4" s="28">
        <f>$O4*$D$4</f>
        <v>315.55157310061963</v>
      </c>
    </row>
    <row r="5" spans="1:18" x14ac:dyDescent="0.4">
      <c r="A5" s="14" t="s">
        <v>105</v>
      </c>
      <c r="B5" s="47">
        <f>358.4 + 165</f>
        <v>523.4</v>
      </c>
      <c r="C5" s="15">
        <v>358.4</v>
      </c>
      <c r="D5" s="53">
        <v>358.4</v>
      </c>
      <c r="E5" s="16" t="s">
        <v>114</v>
      </c>
      <c r="G5" s="14" t="s">
        <v>56</v>
      </c>
      <c r="H5" s="29">
        <f>L5+P5</f>
        <v>139.2624814061991</v>
      </c>
      <c r="I5" s="29">
        <f t="shared" si="0"/>
        <v>125.07308444928738</v>
      </c>
      <c r="J5" s="30">
        <f t="shared" si="0"/>
        <v>125.07308444928738</v>
      </c>
      <c r="K5" s="14">
        <v>0</v>
      </c>
      <c r="L5" s="15">
        <v>0</v>
      </c>
      <c r="M5" s="15">
        <v>0</v>
      </c>
      <c r="N5" s="16">
        <v>0</v>
      </c>
      <c r="O5" s="39">
        <v>8.5996345193404405E-2</v>
      </c>
      <c r="P5" s="29">
        <f>$O5*$B$4</f>
        <v>139.2624814061991</v>
      </c>
      <c r="Q5" s="29">
        <f>$O5*$C$4</f>
        <v>125.07308444928738</v>
      </c>
      <c r="R5" s="30">
        <f>$O5*$D$4</f>
        <v>125.07308444928738</v>
      </c>
    </row>
    <row r="6" spans="1:18" x14ac:dyDescent="0.4">
      <c r="A6" s="14" t="s">
        <v>106</v>
      </c>
      <c r="B6" s="47">
        <f>214.8 + 165</f>
        <v>379.8</v>
      </c>
      <c r="C6" s="15">
        <v>214.8</v>
      </c>
      <c r="D6" s="53">
        <v>214.8</v>
      </c>
      <c r="E6" s="16" t="s">
        <v>57</v>
      </c>
      <c r="G6" s="14" t="s">
        <v>57</v>
      </c>
      <c r="H6" s="29">
        <f>L6+P6+B6+B8+B9</f>
        <v>1295.6467175708246</v>
      </c>
      <c r="I6" s="29">
        <f t="shared" ref="I6:J6" si="1">M6+Q6+C6+C8+C9</f>
        <v>903.81535509139644</v>
      </c>
      <c r="J6" s="30">
        <f t="shared" si="1"/>
        <v>903.81535509139644</v>
      </c>
      <c r="K6" s="14">
        <v>0</v>
      </c>
      <c r="L6" s="15">
        <v>0</v>
      </c>
      <c r="M6" s="15">
        <v>0</v>
      </c>
      <c r="N6" s="16">
        <v>0</v>
      </c>
      <c r="O6" s="39">
        <v>0.37473553017835282</v>
      </c>
      <c r="P6" s="29">
        <f t="shared" ref="P6:P13" si="2">$O6*$B$4</f>
        <v>606.84671757082458</v>
      </c>
      <c r="Q6" s="29">
        <f t="shared" ref="Q6:Q13" si="3">$O6*$C$4</f>
        <v>545.01535509139637</v>
      </c>
      <c r="R6" s="30">
        <f t="shared" ref="R6:R13" si="4">$O6*$D$4</f>
        <v>545.01535509139637</v>
      </c>
    </row>
    <row r="7" spans="1:18" x14ac:dyDescent="0.4">
      <c r="A7" s="14" t="s">
        <v>107</v>
      </c>
      <c r="B7" s="47">
        <f>228.4 + 165</f>
        <v>393.4</v>
      </c>
      <c r="C7" s="15">
        <v>228.4</v>
      </c>
      <c r="D7" s="53">
        <v>228.4</v>
      </c>
      <c r="E7" s="16" t="s">
        <v>62</v>
      </c>
      <c r="G7" s="14" t="s">
        <v>58</v>
      </c>
      <c r="H7" s="29">
        <f t="shared" ref="H7:J10" si="5">L7+P7</f>
        <v>64.697634576700651</v>
      </c>
      <c r="I7" s="29">
        <f t="shared" si="5"/>
        <v>58.105619197451787</v>
      </c>
      <c r="J7" s="30">
        <f t="shared" si="5"/>
        <v>58.105619197451787</v>
      </c>
      <c r="K7" s="14">
        <v>0</v>
      </c>
      <c r="L7" s="15">
        <v>0</v>
      </c>
      <c r="M7" s="15">
        <v>0</v>
      </c>
      <c r="N7" s="16">
        <v>0</v>
      </c>
      <c r="O7" s="39">
        <v>3.9951608359084012E-2</v>
      </c>
      <c r="P7" s="29">
        <f t="shared" si="2"/>
        <v>64.697634576700651</v>
      </c>
      <c r="Q7" s="29">
        <f t="shared" si="3"/>
        <v>58.105619197451787</v>
      </c>
      <c r="R7" s="30">
        <f t="shared" si="4"/>
        <v>58.105619197451787</v>
      </c>
    </row>
    <row r="8" spans="1:18" x14ac:dyDescent="0.4">
      <c r="A8" s="14" t="s">
        <v>108</v>
      </c>
      <c r="B8" s="47">
        <f>68.8 + 165</f>
        <v>233.8</v>
      </c>
      <c r="C8" s="15">
        <v>68.8</v>
      </c>
      <c r="D8" s="53">
        <v>68.8</v>
      </c>
      <c r="E8" s="16" t="s">
        <v>57</v>
      </c>
      <c r="G8" s="14" t="s">
        <v>59</v>
      </c>
      <c r="H8" s="29">
        <f t="shared" si="5"/>
        <v>212.62726050906076</v>
      </c>
      <c r="I8" s="29">
        <f t="shared" si="5"/>
        <v>190.96275638160924</v>
      </c>
      <c r="J8" s="30">
        <f t="shared" si="5"/>
        <v>190.96275638160924</v>
      </c>
      <c r="K8" s="14">
        <v>0</v>
      </c>
      <c r="L8" s="15">
        <v>0</v>
      </c>
      <c r="M8" s="15">
        <v>0</v>
      </c>
      <c r="N8" s="16">
        <v>0</v>
      </c>
      <c r="O8" s="39">
        <v>0.13130002501485782</v>
      </c>
      <c r="P8" s="29">
        <f t="shared" si="2"/>
        <v>212.62726050906076</v>
      </c>
      <c r="Q8" s="29">
        <f t="shared" si="3"/>
        <v>190.96275638160924</v>
      </c>
      <c r="R8" s="30">
        <f t="shared" si="4"/>
        <v>190.96275638160924</v>
      </c>
    </row>
    <row r="9" spans="1:18" x14ac:dyDescent="0.4">
      <c r="A9" s="14" t="s">
        <v>109</v>
      </c>
      <c r="B9" s="47">
        <v>75.2</v>
      </c>
      <c r="C9" s="15">
        <v>75.2</v>
      </c>
      <c r="D9" s="53">
        <v>75.2</v>
      </c>
      <c r="E9" s="16" t="s">
        <v>57</v>
      </c>
      <c r="G9" s="14" t="s">
        <v>60</v>
      </c>
      <c r="H9" s="29">
        <f t="shared" si="5"/>
        <v>95.081399069110418</v>
      </c>
      <c r="I9" s="29">
        <f t="shared" si="5"/>
        <v>85.39359442146116</v>
      </c>
      <c r="J9" s="30">
        <f t="shared" si="5"/>
        <v>85.39359442146116</v>
      </c>
      <c r="K9" s="14">
        <v>0</v>
      </c>
      <c r="L9" s="15">
        <v>0</v>
      </c>
      <c r="M9" s="15">
        <v>0</v>
      </c>
      <c r="N9" s="16">
        <v>0</v>
      </c>
      <c r="O9" s="39">
        <v>5.8713967561510691E-2</v>
      </c>
      <c r="P9" s="29">
        <f t="shared" si="2"/>
        <v>95.081399069110418</v>
      </c>
      <c r="Q9" s="29">
        <f t="shared" si="3"/>
        <v>85.39359442146116</v>
      </c>
      <c r="R9" s="30">
        <f t="shared" si="4"/>
        <v>85.39359442146116</v>
      </c>
    </row>
    <row r="10" spans="1:18" ht="15" thickBot="1" x14ac:dyDescent="0.45">
      <c r="A10" s="17" t="s">
        <v>96</v>
      </c>
      <c r="B10" s="48">
        <v>3225</v>
      </c>
      <c r="C10" s="18">
        <v>2400</v>
      </c>
      <c r="D10" s="54">
        <v>2400</v>
      </c>
      <c r="E10" s="19" t="s">
        <v>116</v>
      </c>
      <c r="G10" s="14" t="s">
        <v>61</v>
      </c>
      <c r="H10" s="29">
        <f t="shared" si="5"/>
        <v>196.53752144809124</v>
      </c>
      <c r="I10" s="29">
        <f t="shared" si="5"/>
        <v>166.48386377675911</v>
      </c>
      <c r="J10" s="30">
        <f t="shared" si="5"/>
        <v>166.48386377675911</v>
      </c>
      <c r="K10" s="39">
        <v>8.9804258980425905E-2</v>
      </c>
      <c r="L10" s="29">
        <f>$K10*$B$5</f>
        <v>47.003549150354914</v>
      </c>
      <c r="M10" s="29">
        <f>$K10*$C$5</f>
        <v>32.185846418584646</v>
      </c>
      <c r="N10" s="30">
        <f>$K10*$D$5</f>
        <v>32.185846418584646</v>
      </c>
      <c r="O10" s="39">
        <v>9.2339120845829528E-2</v>
      </c>
      <c r="P10" s="29">
        <f t="shared" si="2"/>
        <v>149.53397229773634</v>
      </c>
      <c r="Q10" s="29">
        <f t="shared" si="3"/>
        <v>134.29801735817446</v>
      </c>
      <c r="R10" s="30">
        <f t="shared" si="4"/>
        <v>134.29801735817446</v>
      </c>
    </row>
    <row r="11" spans="1:18" x14ac:dyDescent="0.4">
      <c r="G11" s="14" t="s">
        <v>62</v>
      </c>
      <c r="H11" s="15">
        <f>B7</f>
        <v>393.4</v>
      </c>
      <c r="I11" s="15">
        <f t="shared" ref="I11:J11" si="6">C7</f>
        <v>228.4</v>
      </c>
      <c r="J11" s="16">
        <f t="shared" si="6"/>
        <v>228.4</v>
      </c>
      <c r="K11" s="14">
        <v>0</v>
      </c>
      <c r="L11" s="15">
        <v>0</v>
      </c>
      <c r="M11" s="15">
        <v>0</v>
      </c>
      <c r="N11" s="16">
        <v>0</v>
      </c>
      <c r="O11" s="41">
        <v>0</v>
      </c>
      <c r="P11" s="42">
        <f t="shared" si="2"/>
        <v>0</v>
      </c>
      <c r="Q11" s="42">
        <f t="shared" si="3"/>
        <v>0</v>
      </c>
      <c r="R11" s="43">
        <f t="shared" si="4"/>
        <v>0</v>
      </c>
    </row>
    <row r="12" spans="1:18" ht="15" thickBot="1" x14ac:dyDescent="0.45">
      <c r="G12" s="17" t="s">
        <v>63</v>
      </c>
      <c r="H12" s="31">
        <f t="shared" ref="H12:J12" si="7">L12+P12</f>
        <v>476.39645084964508</v>
      </c>
      <c r="I12" s="31">
        <f t="shared" si="7"/>
        <v>326.21415358141536</v>
      </c>
      <c r="J12" s="32">
        <f t="shared" si="7"/>
        <v>326.21415358141536</v>
      </c>
      <c r="K12" s="40">
        <v>0.91019574101957412</v>
      </c>
      <c r="L12" s="31">
        <f>$K12*$B$5</f>
        <v>476.39645084964508</v>
      </c>
      <c r="M12" s="31">
        <f>$K12*$C$5</f>
        <v>326.21415358141536</v>
      </c>
      <c r="N12" s="32">
        <f>$K12*$D$5</f>
        <v>326.21415358141536</v>
      </c>
      <c r="O12" s="44">
        <v>0</v>
      </c>
      <c r="P12" s="36">
        <f t="shared" si="2"/>
        <v>0</v>
      </c>
      <c r="Q12" s="36">
        <f t="shared" si="3"/>
        <v>0</v>
      </c>
      <c r="R12" s="37">
        <f t="shared" si="4"/>
        <v>0</v>
      </c>
    </row>
    <row r="13" spans="1:18" ht="15" thickBot="1" x14ac:dyDescent="0.45">
      <c r="G13" s="17" t="s">
        <v>96</v>
      </c>
      <c r="H13" s="36">
        <f>SUM(H4:H12)</f>
        <v>3225.0000000000005</v>
      </c>
      <c r="I13" s="36">
        <f t="shared" ref="I13:J13" si="8">SUM(I4:I12)</f>
        <v>2400</v>
      </c>
      <c r="J13" s="37">
        <f t="shared" si="8"/>
        <v>2400</v>
      </c>
      <c r="K13" s="40">
        <v>1</v>
      </c>
      <c r="L13" s="31">
        <f>$K13*$B$5</f>
        <v>523.4</v>
      </c>
      <c r="M13" s="31">
        <f>$K13*$C$5</f>
        <v>358.4</v>
      </c>
      <c r="N13" s="32">
        <f>$K13*$D$5</f>
        <v>358.4</v>
      </c>
      <c r="O13" s="40">
        <v>1</v>
      </c>
      <c r="P13" s="31">
        <f t="shared" si="2"/>
        <v>1619.4</v>
      </c>
      <c r="Q13" s="31">
        <f t="shared" si="3"/>
        <v>1454.4</v>
      </c>
      <c r="R13" s="32">
        <f t="shared" si="4"/>
        <v>1454.4</v>
      </c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0CA1-61E3-48B8-A51A-DA8EEBA51644}">
  <dimension ref="A1:R13"/>
  <sheetViews>
    <sheetView workbookViewId="0">
      <selection activeCell="L10" sqref="L10"/>
    </sheetView>
  </sheetViews>
  <sheetFormatPr defaultRowHeight="14.6" x14ac:dyDescent="0.4"/>
  <cols>
    <col min="1" max="1" width="14.765625" style="1" customWidth="1"/>
    <col min="2" max="4" width="9.23046875" style="1"/>
    <col min="5" max="5" width="17.921875" style="1" customWidth="1"/>
    <col min="6" max="6" width="14.921875" customWidth="1"/>
    <col min="7" max="7" width="9.23046875" style="1"/>
    <col min="8" max="10" width="9.921875" style="1" customWidth="1"/>
    <col min="11" max="11" width="10.3828125" style="1" customWidth="1"/>
    <col min="12" max="14" width="9.765625" style="1" customWidth="1"/>
    <col min="15" max="15" width="10.07421875" style="1" customWidth="1"/>
    <col min="16" max="18" width="9.23046875" style="1"/>
  </cols>
  <sheetData>
    <row r="1" spans="1:18" ht="18.45" x14ac:dyDescent="0.5">
      <c r="A1" s="23" t="s">
        <v>128</v>
      </c>
      <c r="G1" s="23" t="s">
        <v>131</v>
      </c>
    </row>
    <row r="2" spans="1:18" ht="18.899999999999999" thickBot="1" x14ac:dyDescent="0.55000000000000004">
      <c r="A2" s="23"/>
    </row>
    <row r="3" spans="1:18" ht="44.15" thickBot="1" x14ac:dyDescent="0.45">
      <c r="A3" s="24" t="s">
        <v>100</v>
      </c>
      <c r="B3" s="25" t="s">
        <v>101</v>
      </c>
      <c r="C3" s="25" t="s">
        <v>102</v>
      </c>
      <c r="D3" s="25" t="s">
        <v>103</v>
      </c>
      <c r="E3" s="26" t="s">
        <v>113</v>
      </c>
      <c r="G3" s="33" t="s">
        <v>64</v>
      </c>
      <c r="H3" s="34" t="s">
        <v>123</v>
      </c>
      <c r="I3" s="34" t="s">
        <v>124</v>
      </c>
      <c r="J3" s="35" t="s">
        <v>125</v>
      </c>
      <c r="K3" s="38" t="s">
        <v>119</v>
      </c>
      <c r="L3" s="34" t="s">
        <v>120</v>
      </c>
      <c r="M3" s="34" t="s">
        <v>121</v>
      </c>
      <c r="N3" s="35" t="s">
        <v>122</v>
      </c>
      <c r="O3" s="38" t="s">
        <v>110</v>
      </c>
      <c r="P3" s="34" t="s">
        <v>111</v>
      </c>
      <c r="Q3" s="34" t="s">
        <v>112</v>
      </c>
      <c r="R3" s="35" t="s">
        <v>112</v>
      </c>
    </row>
    <row r="4" spans="1:18" x14ac:dyDescent="0.4">
      <c r="A4" s="11" t="s">
        <v>104</v>
      </c>
      <c r="B4" s="49">
        <f>1454.4 + 165</f>
        <v>1619.4</v>
      </c>
      <c r="C4" s="46">
        <f>1454.4 + 165</f>
        <v>1619.4</v>
      </c>
      <c r="D4" s="13">
        <v>1454.4</v>
      </c>
      <c r="E4" s="13" t="s">
        <v>115</v>
      </c>
      <c r="G4" s="11" t="s">
        <v>55</v>
      </c>
      <c r="H4" s="27">
        <f>L4+P4</f>
        <v>351.35053457036815</v>
      </c>
      <c r="I4" s="27">
        <f t="shared" ref="I4:J5" si="0">M4+Q4</f>
        <v>351.35053457036815</v>
      </c>
      <c r="J4" s="28">
        <f t="shared" si="0"/>
        <v>315.55157310061963</v>
      </c>
      <c r="K4" s="11">
        <v>0</v>
      </c>
      <c r="L4" s="12">
        <v>0</v>
      </c>
      <c r="M4" s="12">
        <v>0</v>
      </c>
      <c r="N4" s="13">
        <v>0</v>
      </c>
      <c r="O4" s="45">
        <v>0.2169634028469607</v>
      </c>
      <c r="P4" s="27">
        <f>$O4*$B$4</f>
        <v>351.35053457036815</v>
      </c>
      <c r="Q4" s="27">
        <f>$O4*$C$4</f>
        <v>351.35053457036815</v>
      </c>
      <c r="R4" s="28">
        <f>$O4*$D$4</f>
        <v>315.55157310061963</v>
      </c>
    </row>
    <row r="5" spans="1:18" x14ac:dyDescent="0.4">
      <c r="A5" s="14" t="s">
        <v>105</v>
      </c>
      <c r="B5" s="50">
        <f>358.4 + 165</f>
        <v>523.4</v>
      </c>
      <c r="C5" s="47">
        <f>358.4 + 165</f>
        <v>523.4</v>
      </c>
      <c r="D5" s="16">
        <v>358.4</v>
      </c>
      <c r="E5" s="16" t="s">
        <v>114</v>
      </c>
      <c r="G5" s="14" t="s">
        <v>56</v>
      </c>
      <c r="H5" s="29">
        <f>L5+P5</f>
        <v>139.2624814061991</v>
      </c>
      <c r="I5" s="29">
        <f t="shared" si="0"/>
        <v>139.2624814061991</v>
      </c>
      <c r="J5" s="30">
        <f t="shared" si="0"/>
        <v>125.07308444928738</v>
      </c>
      <c r="K5" s="14">
        <v>0</v>
      </c>
      <c r="L5" s="15">
        <v>0</v>
      </c>
      <c r="M5" s="15">
        <v>0</v>
      </c>
      <c r="N5" s="16">
        <v>0</v>
      </c>
      <c r="O5" s="39">
        <v>8.5996345193404405E-2</v>
      </c>
      <c r="P5" s="29">
        <f>$O5*$B$4</f>
        <v>139.2624814061991</v>
      </c>
      <c r="Q5" s="29">
        <f>$O5*$C$4</f>
        <v>139.2624814061991</v>
      </c>
      <c r="R5" s="30">
        <f>$O5*$D$4</f>
        <v>125.07308444928738</v>
      </c>
    </row>
    <row r="6" spans="1:18" x14ac:dyDescent="0.4">
      <c r="A6" s="14" t="s">
        <v>106</v>
      </c>
      <c r="B6" s="50">
        <f>214.8 + 165</f>
        <v>379.8</v>
      </c>
      <c r="C6" s="47">
        <f>214.8 + 165</f>
        <v>379.8</v>
      </c>
      <c r="D6" s="16">
        <v>214.8</v>
      </c>
      <c r="E6" s="16" t="s">
        <v>57</v>
      </c>
      <c r="G6" s="14" t="s">
        <v>57</v>
      </c>
      <c r="H6" s="29">
        <f>L6+P6+B6+B8+B9</f>
        <v>1295.6467175708246</v>
      </c>
      <c r="I6" s="29">
        <f t="shared" ref="I6:J6" si="1">M6+Q6+C6+C8+C9</f>
        <v>1295.6467175708246</v>
      </c>
      <c r="J6" s="30">
        <f t="shared" si="1"/>
        <v>903.81535509139644</v>
      </c>
      <c r="K6" s="14">
        <v>0</v>
      </c>
      <c r="L6" s="15">
        <v>0</v>
      </c>
      <c r="M6" s="15">
        <v>0</v>
      </c>
      <c r="N6" s="16">
        <v>0</v>
      </c>
      <c r="O6" s="39">
        <v>0.37473553017835282</v>
      </c>
      <c r="P6" s="29">
        <f t="shared" ref="P6:P13" si="2">$O6*$B$4</f>
        <v>606.84671757082458</v>
      </c>
      <c r="Q6" s="29">
        <f t="shared" ref="Q6:Q13" si="3">$O6*$C$4</f>
        <v>606.84671757082458</v>
      </c>
      <c r="R6" s="30">
        <f t="shared" ref="R6:R13" si="4">$O6*$D$4</f>
        <v>545.01535509139637</v>
      </c>
    </row>
    <row r="7" spans="1:18" x14ac:dyDescent="0.4">
      <c r="A7" s="14" t="s">
        <v>107</v>
      </c>
      <c r="B7" s="50">
        <f>228.4 + 165</f>
        <v>393.4</v>
      </c>
      <c r="C7" s="47">
        <f>228.4 + 165</f>
        <v>393.4</v>
      </c>
      <c r="D7" s="16">
        <v>228.4</v>
      </c>
      <c r="E7" s="16" t="s">
        <v>62</v>
      </c>
      <c r="G7" s="14" t="s">
        <v>58</v>
      </c>
      <c r="H7" s="29">
        <f t="shared" ref="H7:J10" si="5">L7+P7</f>
        <v>64.697634576700651</v>
      </c>
      <c r="I7" s="29">
        <f t="shared" si="5"/>
        <v>64.697634576700651</v>
      </c>
      <c r="J7" s="30">
        <f t="shared" si="5"/>
        <v>58.105619197451787</v>
      </c>
      <c r="K7" s="14">
        <v>0</v>
      </c>
      <c r="L7" s="15">
        <v>0</v>
      </c>
      <c r="M7" s="15">
        <v>0</v>
      </c>
      <c r="N7" s="16">
        <v>0</v>
      </c>
      <c r="O7" s="39">
        <v>3.9951608359084012E-2</v>
      </c>
      <c r="P7" s="29">
        <f t="shared" si="2"/>
        <v>64.697634576700651</v>
      </c>
      <c r="Q7" s="29">
        <f t="shared" si="3"/>
        <v>64.697634576700651</v>
      </c>
      <c r="R7" s="30">
        <f t="shared" si="4"/>
        <v>58.105619197451787</v>
      </c>
    </row>
    <row r="8" spans="1:18" x14ac:dyDescent="0.4">
      <c r="A8" s="14" t="s">
        <v>108</v>
      </c>
      <c r="B8" s="50">
        <f>68.8 + 165</f>
        <v>233.8</v>
      </c>
      <c r="C8" s="47">
        <f>68.8 + 165</f>
        <v>233.8</v>
      </c>
      <c r="D8" s="16">
        <v>68.8</v>
      </c>
      <c r="E8" s="16" t="s">
        <v>57</v>
      </c>
      <c r="G8" s="14" t="s">
        <v>59</v>
      </c>
      <c r="H8" s="29">
        <f t="shared" si="5"/>
        <v>212.62726050906076</v>
      </c>
      <c r="I8" s="29">
        <f t="shared" si="5"/>
        <v>212.62726050906076</v>
      </c>
      <c r="J8" s="30">
        <f t="shared" si="5"/>
        <v>190.96275638160924</v>
      </c>
      <c r="K8" s="14">
        <v>0</v>
      </c>
      <c r="L8" s="15">
        <v>0</v>
      </c>
      <c r="M8" s="15">
        <v>0</v>
      </c>
      <c r="N8" s="16">
        <v>0</v>
      </c>
      <c r="O8" s="39">
        <v>0.13130002501485782</v>
      </c>
      <c r="P8" s="29">
        <f t="shared" si="2"/>
        <v>212.62726050906076</v>
      </c>
      <c r="Q8" s="29">
        <f t="shared" si="3"/>
        <v>212.62726050906076</v>
      </c>
      <c r="R8" s="30">
        <f t="shared" si="4"/>
        <v>190.96275638160924</v>
      </c>
    </row>
    <row r="9" spans="1:18" x14ac:dyDescent="0.4">
      <c r="A9" s="14" t="s">
        <v>109</v>
      </c>
      <c r="B9" s="50">
        <v>75.2</v>
      </c>
      <c r="C9" s="47">
        <v>75.2</v>
      </c>
      <c r="D9" s="16">
        <v>75.2</v>
      </c>
      <c r="E9" s="16" t="s">
        <v>57</v>
      </c>
      <c r="G9" s="14" t="s">
        <v>60</v>
      </c>
      <c r="H9" s="29">
        <f t="shared" si="5"/>
        <v>95.081399069110418</v>
      </c>
      <c r="I9" s="29">
        <f t="shared" si="5"/>
        <v>95.081399069110418</v>
      </c>
      <c r="J9" s="30">
        <f t="shared" si="5"/>
        <v>85.39359442146116</v>
      </c>
      <c r="K9" s="14">
        <v>0</v>
      </c>
      <c r="L9" s="15">
        <v>0</v>
      </c>
      <c r="M9" s="15">
        <v>0</v>
      </c>
      <c r="N9" s="16">
        <v>0</v>
      </c>
      <c r="O9" s="39">
        <v>5.8713967561510691E-2</v>
      </c>
      <c r="P9" s="29">
        <f t="shared" si="2"/>
        <v>95.081399069110418</v>
      </c>
      <c r="Q9" s="29">
        <f t="shared" si="3"/>
        <v>95.081399069110418</v>
      </c>
      <c r="R9" s="30">
        <f t="shared" si="4"/>
        <v>85.39359442146116</v>
      </c>
    </row>
    <row r="10" spans="1:18" ht="15" thickBot="1" x14ac:dyDescent="0.45">
      <c r="A10" s="17" t="s">
        <v>96</v>
      </c>
      <c r="B10" s="51">
        <v>3225</v>
      </c>
      <c r="C10" s="48">
        <v>3225</v>
      </c>
      <c r="D10" s="19">
        <v>2400</v>
      </c>
      <c r="E10" s="19" t="s">
        <v>116</v>
      </c>
      <c r="G10" s="14" t="s">
        <v>61</v>
      </c>
      <c r="H10" s="29">
        <f t="shared" si="5"/>
        <v>196.53752144809124</v>
      </c>
      <c r="I10" s="29">
        <f t="shared" si="5"/>
        <v>196.53752144809124</v>
      </c>
      <c r="J10" s="30">
        <f t="shared" si="5"/>
        <v>166.48386377675911</v>
      </c>
      <c r="K10" s="39">
        <v>8.9804258980425905E-2</v>
      </c>
      <c r="L10" s="29">
        <f>$K10*$B$5</f>
        <v>47.003549150354914</v>
      </c>
      <c r="M10" s="29">
        <f>$K10*$C$5</f>
        <v>47.003549150354914</v>
      </c>
      <c r="N10" s="30">
        <f>$K10*$D$5</f>
        <v>32.185846418584646</v>
      </c>
      <c r="O10" s="39">
        <v>9.2339120845829528E-2</v>
      </c>
      <c r="P10" s="29">
        <f t="shared" si="2"/>
        <v>149.53397229773634</v>
      </c>
      <c r="Q10" s="29">
        <f t="shared" si="3"/>
        <v>149.53397229773634</v>
      </c>
      <c r="R10" s="30">
        <f t="shared" si="4"/>
        <v>134.29801735817446</v>
      </c>
    </row>
    <row r="11" spans="1:18" x14ac:dyDescent="0.4">
      <c r="G11" s="14" t="s">
        <v>62</v>
      </c>
      <c r="H11" s="15">
        <f>B7</f>
        <v>393.4</v>
      </c>
      <c r="I11" s="15">
        <f t="shared" ref="I11:J11" si="6">C7</f>
        <v>393.4</v>
      </c>
      <c r="J11" s="16">
        <f t="shared" si="6"/>
        <v>228.4</v>
      </c>
      <c r="K11" s="14">
        <v>0</v>
      </c>
      <c r="L11" s="15">
        <v>0</v>
      </c>
      <c r="M11" s="15">
        <v>0</v>
      </c>
      <c r="N11" s="16">
        <v>0</v>
      </c>
      <c r="O11" s="41">
        <v>0</v>
      </c>
      <c r="P11" s="42">
        <f t="shared" si="2"/>
        <v>0</v>
      </c>
      <c r="Q11" s="42">
        <f t="shared" si="3"/>
        <v>0</v>
      </c>
      <c r="R11" s="43">
        <f t="shared" si="4"/>
        <v>0</v>
      </c>
    </row>
    <row r="12" spans="1:18" ht="15" thickBot="1" x14ac:dyDescent="0.45">
      <c r="G12" s="17" t="s">
        <v>63</v>
      </c>
      <c r="H12" s="31">
        <f t="shared" ref="H12:J12" si="7">L12+P12</f>
        <v>476.39645084964508</v>
      </c>
      <c r="I12" s="31">
        <f t="shared" si="7"/>
        <v>476.39645084964508</v>
      </c>
      <c r="J12" s="32">
        <f t="shared" si="7"/>
        <v>326.21415358141536</v>
      </c>
      <c r="K12" s="40">
        <v>0.91019574101957412</v>
      </c>
      <c r="L12" s="31">
        <f>$K12*$B$5</f>
        <v>476.39645084964508</v>
      </c>
      <c r="M12" s="31">
        <f>$K12*$C$5</f>
        <v>476.39645084964508</v>
      </c>
      <c r="N12" s="32">
        <f>$K12*$D$5</f>
        <v>326.21415358141536</v>
      </c>
      <c r="O12" s="44">
        <v>0</v>
      </c>
      <c r="P12" s="36">
        <f t="shared" si="2"/>
        <v>0</v>
      </c>
      <c r="Q12" s="36">
        <f t="shared" si="3"/>
        <v>0</v>
      </c>
      <c r="R12" s="37">
        <f t="shared" si="4"/>
        <v>0</v>
      </c>
    </row>
    <row r="13" spans="1:18" ht="15" thickBot="1" x14ac:dyDescent="0.45">
      <c r="G13" s="17" t="s">
        <v>96</v>
      </c>
      <c r="H13" s="36">
        <f>SUM(H4:H12)</f>
        <v>3225.0000000000005</v>
      </c>
      <c r="I13" s="36">
        <f t="shared" ref="I13:J13" si="8">SUM(I4:I12)</f>
        <v>3225.0000000000005</v>
      </c>
      <c r="J13" s="37">
        <f t="shared" si="8"/>
        <v>2400</v>
      </c>
      <c r="K13" s="40">
        <v>1</v>
      </c>
      <c r="L13" s="31">
        <f>$K13*$B$5</f>
        <v>523.4</v>
      </c>
      <c r="M13" s="31">
        <f>$K13*$C$5</f>
        <v>523.4</v>
      </c>
      <c r="N13" s="32">
        <f>$K13*$D$5</f>
        <v>358.4</v>
      </c>
      <c r="O13" s="40">
        <v>1</v>
      </c>
      <c r="P13" s="31">
        <f t="shared" si="2"/>
        <v>1619.4</v>
      </c>
      <c r="Q13" s="31">
        <f t="shared" si="3"/>
        <v>1619.4</v>
      </c>
      <c r="R13" s="32">
        <f t="shared" si="4"/>
        <v>1454.4</v>
      </c>
    </row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1"/>
  <sheetViews>
    <sheetView tabSelected="1" workbookViewId="0">
      <selection activeCell="H14" sqref="H14"/>
    </sheetView>
  </sheetViews>
  <sheetFormatPr defaultRowHeight="14.6" x14ac:dyDescent="0.4"/>
  <cols>
    <col min="1" max="1" width="8.53515625" customWidth="1"/>
    <col min="2" max="2" width="8.53515625" style="1" customWidth="1"/>
    <col min="3" max="5" width="10.07421875" style="1" customWidth="1"/>
    <col min="6" max="6" width="9.84375" style="1" customWidth="1"/>
    <col min="7" max="7" width="10.15234375" customWidth="1"/>
    <col min="8" max="8" width="11" customWidth="1"/>
    <col min="11" max="11" width="12.921875" style="1" customWidth="1"/>
    <col min="12" max="12" width="3.921875" customWidth="1"/>
    <col min="15" max="15" width="12.69140625" customWidth="1"/>
    <col min="16" max="16" width="4.921875" customWidth="1"/>
    <col min="18" max="18" width="15.53515625" style="1" bestFit="1" customWidth="1"/>
    <col min="19" max="21" width="11" bestFit="1" customWidth="1"/>
    <col min="22" max="22" width="15.53515625" bestFit="1" customWidth="1"/>
    <col min="23" max="28" width="11" bestFit="1" customWidth="1"/>
    <col min="29" max="29" width="12" bestFit="1" customWidth="1"/>
    <col min="30" max="31" width="18.921875" bestFit="1" customWidth="1"/>
    <col min="32" max="32" width="10.3046875" bestFit="1" customWidth="1"/>
    <col min="33" max="33" width="5.765625" bestFit="1" customWidth="1"/>
    <col min="34" max="34" width="9.61328125" bestFit="1" customWidth="1"/>
    <col min="35" max="35" width="10.61328125" bestFit="1" customWidth="1"/>
    <col min="36" max="36" width="9.53515625" bestFit="1" customWidth="1"/>
    <col min="37" max="37" width="11.4609375" bestFit="1" customWidth="1"/>
    <col min="38" max="38" width="13.3046875" bestFit="1" customWidth="1"/>
    <col min="39" max="40" width="16.07421875" bestFit="1" customWidth="1"/>
    <col min="41" max="42" width="14.61328125" bestFit="1" customWidth="1"/>
    <col min="46" max="46" width="15.53515625" bestFit="1" customWidth="1"/>
    <col min="47" max="49" width="11" bestFit="1" customWidth="1"/>
    <col min="50" max="50" width="15.53515625" bestFit="1" customWidth="1"/>
    <col min="51" max="56" width="11" bestFit="1" customWidth="1"/>
    <col min="57" max="57" width="12" bestFit="1" customWidth="1"/>
    <col min="58" max="59" width="18.921875" bestFit="1" customWidth="1"/>
    <col min="60" max="60" width="10.3046875" bestFit="1" customWidth="1"/>
    <col min="61" max="61" width="5.765625" bestFit="1" customWidth="1"/>
    <col min="62" max="62" width="9.61328125" bestFit="1" customWidth="1"/>
    <col min="63" max="63" width="10.61328125" bestFit="1" customWidth="1"/>
    <col min="64" max="64" width="9.53515625" bestFit="1" customWidth="1"/>
    <col min="65" max="65" width="11.4609375" bestFit="1" customWidth="1"/>
    <col min="66" max="66" width="13.3046875" bestFit="1" customWidth="1"/>
    <col min="67" max="68" width="16.07421875" bestFit="1" customWidth="1"/>
    <col min="69" max="70" width="14.61328125" bestFit="1" customWidth="1"/>
  </cols>
  <sheetData>
    <row r="1" spans="1:71" ht="20.6" x14ac:dyDescent="0.55000000000000004">
      <c r="A1" s="69" t="s">
        <v>99</v>
      </c>
      <c r="B1" s="70"/>
      <c r="C1" s="70"/>
      <c r="D1" s="70"/>
      <c r="I1" s="69" t="s">
        <v>90</v>
      </c>
      <c r="J1" s="71"/>
      <c r="K1" s="70"/>
      <c r="M1" s="6" t="s">
        <v>90</v>
      </c>
      <c r="Q1" s="6" t="s">
        <v>54</v>
      </c>
      <c r="AS1" s="5" t="s">
        <v>54</v>
      </c>
    </row>
    <row r="2" spans="1:71" x14ac:dyDescent="0.4">
      <c r="I2" t="s">
        <v>93</v>
      </c>
      <c r="M2" t="s">
        <v>91</v>
      </c>
    </row>
    <row r="3" spans="1:71" x14ac:dyDescent="0.4">
      <c r="R3" s="1" t="s">
        <v>64</v>
      </c>
      <c r="AT3" t="s">
        <v>64</v>
      </c>
    </row>
    <row r="4" spans="1:71" x14ac:dyDescent="0.4">
      <c r="R4" s="1" t="s">
        <v>55</v>
      </c>
      <c r="S4" s="1" t="s">
        <v>56</v>
      </c>
      <c r="T4" s="1" t="s">
        <v>56</v>
      </c>
      <c r="U4" s="1" t="s">
        <v>57</v>
      </c>
      <c r="V4" s="1" t="s">
        <v>58</v>
      </c>
      <c r="W4" s="1" t="s">
        <v>59</v>
      </c>
      <c r="X4" s="1" t="s">
        <v>56</v>
      </c>
      <c r="Y4" s="1" t="s">
        <v>57</v>
      </c>
      <c r="Z4" s="1" t="s">
        <v>58</v>
      </c>
      <c r="AA4" s="1" t="s">
        <v>59</v>
      </c>
      <c r="AB4" s="1" t="s">
        <v>59</v>
      </c>
      <c r="AC4" s="1" t="s">
        <v>57</v>
      </c>
      <c r="AD4" s="1" t="s">
        <v>60</v>
      </c>
      <c r="AE4" s="1" t="s">
        <v>61</v>
      </c>
      <c r="AF4" s="1" t="s">
        <v>57</v>
      </c>
      <c r="AG4" s="1" t="s">
        <v>62</v>
      </c>
      <c r="AH4" s="1" t="s">
        <v>62</v>
      </c>
      <c r="AI4" s="1" t="s">
        <v>63</v>
      </c>
      <c r="AJ4" s="1" t="s">
        <v>63</v>
      </c>
      <c r="AK4" s="1" t="s">
        <v>61</v>
      </c>
      <c r="AL4" s="1" t="s">
        <v>57</v>
      </c>
      <c r="AM4" s="1" t="s">
        <v>55</v>
      </c>
      <c r="AN4" s="1" t="s">
        <v>58</v>
      </c>
      <c r="AO4" s="1" t="s">
        <v>55</v>
      </c>
      <c r="AP4" s="1" t="s">
        <v>58</v>
      </c>
      <c r="AT4" s="1" t="s">
        <v>55</v>
      </c>
      <c r="AU4" s="1" t="s">
        <v>56</v>
      </c>
      <c r="AV4" s="1" t="s">
        <v>56</v>
      </c>
      <c r="AW4" s="1" t="s">
        <v>57</v>
      </c>
      <c r="AX4" s="1" t="s">
        <v>58</v>
      </c>
      <c r="AY4" s="1" t="s">
        <v>59</v>
      </c>
      <c r="AZ4" s="1" t="s">
        <v>56</v>
      </c>
      <c r="BA4" s="1" t="s">
        <v>57</v>
      </c>
      <c r="BB4" s="1" t="s">
        <v>58</v>
      </c>
      <c r="BC4" s="1" t="s">
        <v>59</v>
      </c>
      <c r="BD4" s="1" t="s">
        <v>59</v>
      </c>
      <c r="BE4" s="1" t="s">
        <v>57</v>
      </c>
      <c r="BF4" s="1" t="s">
        <v>60</v>
      </c>
      <c r="BG4" s="1" t="s">
        <v>61</v>
      </c>
      <c r="BH4" s="1" t="s">
        <v>57</v>
      </c>
      <c r="BI4" s="1" t="s">
        <v>62</v>
      </c>
      <c r="BJ4" s="1" t="s">
        <v>62</v>
      </c>
      <c r="BK4" s="1" t="s">
        <v>63</v>
      </c>
      <c r="BL4" s="1" t="s">
        <v>63</v>
      </c>
      <c r="BM4" s="1" t="s">
        <v>61</v>
      </c>
      <c r="BN4" s="1" t="s">
        <v>57</v>
      </c>
      <c r="BO4" s="1" t="s">
        <v>55</v>
      </c>
      <c r="BP4" s="1" t="s">
        <v>58</v>
      </c>
      <c r="BQ4" s="1" t="s">
        <v>55</v>
      </c>
      <c r="BR4" s="1" t="s">
        <v>58</v>
      </c>
    </row>
    <row r="5" spans="1:71" ht="15" thickBot="1" x14ac:dyDescent="0.45">
      <c r="R5" s="1" t="s">
        <v>26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T5" s="1" t="s">
        <v>26</v>
      </c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spans="1:71" s="7" customFormat="1" ht="87.9" thickBot="1" x14ac:dyDescent="0.45">
      <c r="A6" s="62" t="s">
        <v>64</v>
      </c>
      <c r="B6" s="62" t="s">
        <v>94</v>
      </c>
      <c r="C6" s="64" t="s">
        <v>98</v>
      </c>
      <c r="D6" s="63" t="s">
        <v>117</v>
      </c>
      <c r="E6" s="63" t="s">
        <v>118</v>
      </c>
      <c r="F6" s="55" t="s">
        <v>95</v>
      </c>
      <c r="G6" s="57" t="s">
        <v>97</v>
      </c>
      <c r="I6" s="55" t="s">
        <v>64</v>
      </c>
      <c r="J6" s="56" t="s">
        <v>26</v>
      </c>
      <c r="K6" s="57" t="s">
        <v>92</v>
      </c>
      <c r="M6" s="8" t="s">
        <v>64</v>
      </c>
      <c r="N6" s="8" t="s">
        <v>26</v>
      </c>
      <c r="O6" s="8" t="s">
        <v>92</v>
      </c>
      <c r="R6" s="8" t="s">
        <v>65</v>
      </c>
      <c r="S6" s="8" t="s">
        <v>66</v>
      </c>
      <c r="T6" s="8" t="s">
        <v>67</v>
      </c>
      <c r="U6" s="8" t="s">
        <v>68</v>
      </c>
      <c r="V6" s="8" t="s">
        <v>69</v>
      </c>
      <c r="W6" s="8" t="s">
        <v>70</v>
      </c>
      <c r="X6" s="8" t="s">
        <v>71</v>
      </c>
      <c r="Y6" s="8" t="s">
        <v>72</v>
      </c>
      <c r="Z6" s="8" t="s">
        <v>73</v>
      </c>
      <c r="AA6" s="8" t="s">
        <v>74</v>
      </c>
      <c r="AB6" s="8" t="s">
        <v>75</v>
      </c>
      <c r="AC6" s="8" t="s">
        <v>76</v>
      </c>
      <c r="AD6" s="8" t="s">
        <v>77</v>
      </c>
      <c r="AE6" s="8" t="s">
        <v>78</v>
      </c>
      <c r="AF6" s="8" t="s">
        <v>79</v>
      </c>
      <c r="AG6" s="8" t="s">
        <v>80</v>
      </c>
      <c r="AH6" s="8" t="s">
        <v>81</v>
      </c>
      <c r="AI6" s="8" t="s">
        <v>82</v>
      </c>
      <c r="AJ6" s="8" t="s">
        <v>83</v>
      </c>
      <c r="AK6" s="8" t="s">
        <v>84</v>
      </c>
      <c r="AL6" s="8" t="s">
        <v>85</v>
      </c>
      <c r="AM6" s="8" t="s">
        <v>86</v>
      </c>
      <c r="AN6" s="8" t="s">
        <v>87</v>
      </c>
      <c r="AO6" s="8" t="s">
        <v>88</v>
      </c>
      <c r="AP6" s="8" t="s">
        <v>89</v>
      </c>
      <c r="AT6" s="8" t="s">
        <v>65</v>
      </c>
      <c r="AU6" s="8" t="s">
        <v>66</v>
      </c>
      <c r="AV6" s="8" t="s">
        <v>67</v>
      </c>
      <c r="AW6" s="8" t="s">
        <v>68</v>
      </c>
      <c r="AX6" s="8" t="s">
        <v>69</v>
      </c>
      <c r="AY6" s="8" t="s">
        <v>70</v>
      </c>
      <c r="AZ6" s="8" t="s">
        <v>71</v>
      </c>
      <c r="BA6" s="8" t="s">
        <v>72</v>
      </c>
      <c r="BB6" s="8" t="s">
        <v>73</v>
      </c>
      <c r="BC6" s="8" t="s">
        <v>74</v>
      </c>
      <c r="BD6" s="8" t="s">
        <v>75</v>
      </c>
      <c r="BE6" s="8" t="s">
        <v>76</v>
      </c>
      <c r="BF6" s="8" t="s">
        <v>77</v>
      </c>
      <c r="BG6" s="8" t="s">
        <v>78</v>
      </c>
      <c r="BH6" s="8" t="s">
        <v>79</v>
      </c>
      <c r="BI6" s="8" t="s">
        <v>80</v>
      </c>
      <c r="BJ6" s="8" t="s">
        <v>81</v>
      </c>
      <c r="BK6" s="8" t="s">
        <v>82</v>
      </c>
      <c r="BL6" s="8" t="s">
        <v>83</v>
      </c>
      <c r="BM6" s="8" t="s">
        <v>84</v>
      </c>
      <c r="BN6" s="8" t="s">
        <v>85</v>
      </c>
      <c r="BO6" s="8" t="s">
        <v>86</v>
      </c>
      <c r="BP6" s="8" t="s">
        <v>87</v>
      </c>
      <c r="BQ6" s="8" t="s">
        <v>88</v>
      </c>
      <c r="BR6" s="8" t="s">
        <v>89</v>
      </c>
    </row>
    <row r="7" spans="1:71" x14ac:dyDescent="0.4">
      <c r="A7" s="49" t="s">
        <v>55</v>
      </c>
      <c r="B7" s="67">
        <f>SUM($K7:$K9)</f>
        <v>346.17200000000003</v>
      </c>
      <c r="C7" s="72">
        <f>B7/B$16</f>
        <v>0.2169634028469607</v>
      </c>
      <c r="D7" s="58">
        <v>0</v>
      </c>
      <c r="E7" s="65">
        <v>0</v>
      </c>
      <c r="F7" s="27">
        <f>SUM($K7:$K9)</f>
        <v>346.17200000000003</v>
      </c>
      <c r="G7" s="59">
        <f>F7/F$16</f>
        <v>0.14353550217788588</v>
      </c>
      <c r="I7" s="11" t="s">
        <v>55</v>
      </c>
      <c r="J7" s="12" t="s">
        <v>27</v>
      </c>
      <c r="K7" s="13">
        <v>346.17200000000003</v>
      </c>
      <c r="M7" s="1" t="str">
        <f t="array" ref="M7:M31">TRANSPOSE(R4:AP4)</f>
        <v>G1</v>
      </c>
      <c r="N7" s="1" t="str">
        <f t="array" ref="N7:N31">TRANSPOSE(R7:AP7)</f>
        <v>F1</v>
      </c>
      <c r="O7" s="9">
        <f t="array" ref="O7:O31">TRANSPOSE(R51:AQ51)</f>
        <v>346.17200000000003</v>
      </c>
      <c r="Q7" s="2" t="s">
        <v>53</v>
      </c>
      <c r="R7" s="2" t="s">
        <v>27</v>
      </c>
      <c r="S7" s="2" t="s">
        <v>28</v>
      </c>
      <c r="T7" s="2" t="s">
        <v>29</v>
      </c>
      <c r="U7" s="2" t="s">
        <v>30</v>
      </c>
      <c r="V7" s="2" t="s">
        <v>31</v>
      </c>
      <c r="W7" s="2" t="s">
        <v>32</v>
      </c>
      <c r="X7" s="2" t="s">
        <v>33</v>
      </c>
      <c r="Y7" s="2" t="s">
        <v>34</v>
      </c>
      <c r="Z7" s="2" t="s">
        <v>35</v>
      </c>
      <c r="AA7" s="2" t="s">
        <v>36</v>
      </c>
      <c r="AB7" s="2" t="s">
        <v>37</v>
      </c>
      <c r="AC7" s="2" t="s">
        <v>38</v>
      </c>
      <c r="AD7" s="2" t="s">
        <v>39</v>
      </c>
      <c r="AE7" s="2" t="s">
        <v>40</v>
      </c>
      <c r="AF7" s="2" t="s">
        <v>41</v>
      </c>
      <c r="AG7" s="2" t="s">
        <v>42</v>
      </c>
      <c r="AH7" s="2" t="s">
        <v>43</v>
      </c>
      <c r="AI7" s="2" t="s">
        <v>44</v>
      </c>
      <c r="AJ7" s="2" t="s">
        <v>45</v>
      </c>
      <c r="AK7" s="2" t="s">
        <v>46</v>
      </c>
      <c r="AL7" s="2" t="s">
        <v>47</v>
      </c>
      <c r="AM7" s="2" t="s">
        <v>48</v>
      </c>
      <c r="AN7" s="2" t="s">
        <v>49</v>
      </c>
      <c r="AO7" s="2" t="s">
        <v>50</v>
      </c>
      <c r="AP7" s="2" t="s">
        <v>51</v>
      </c>
      <c r="AQ7" s="2" t="s">
        <v>52</v>
      </c>
      <c r="AS7" s="2" t="s">
        <v>53</v>
      </c>
      <c r="AT7" s="2" t="s">
        <v>27</v>
      </c>
      <c r="AU7" s="2" t="s">
        <v>28</v>
      </c>
      <c r="AV7" s="2" t="s">
        <v>29</v>
      </c>
      <c r="AW7" s="2" t="s">
        <v>30</v>
      </c>
      <c r="AX7" s="2" t="s">
        <v>31</v>
      </c>
      <c r="AY7" s="2" t="s">
        <v>32</v>
      </c>
      <c r="AZ7" s="2" t="s">
        <v>33</v>
      </c>
      <c r="BA7" s="2" t="s">
        <v>34</v>
      </c>
      <c r="BB7" s="2" t="s">
        <v>35</v>
      </c>
      <c r="BC7" s="2" t="s">
        <v>36</v>
      </c>
      <c r="BD7" s="2" t="s">
        <v>37</v>
      </c>
      <c r="BE7" s="2" t="s">
        <v>38</v>
      </c>
      <c r="BF7" s="2" t="s">
        <v>39</v>
      </c>
      <c r="BG7" s="2" t="s">
        <v>40</v>
      </c>
      <c r="BH7" s="2" t="s">
        <v>41</v>
      </c>
      <c r="BI7" s="2" t="s">
        <v>42</v>
      </c>
      <c r="BJ7" s="2" t="s">
        <v>43</v>
      </c>
      <c r="BK7" s="2" t="s">
        <v>44</v>
      </c>
      <c r="BL7" s="2" t="s">
        <v>45</v>
      </c>
      <c r="BM7" s="2" t="s">
        <v>46</v>
      </c>
      <c r="BN7" s="2" t="s">
        <v>47</v>
      </c>
      <c r="BO7" s="2" t="s">
        <v>48</v>
      </c>
      <c r="BP7" s="2" t="s">
        <v>49</v>
      </c>
      <c r="BQ7" s="2" t="s">
        <v>50</v>
      </c>
      <c r="BR7" s="2" t="s">
        <v>51</v>
      </c>
      <c r="BS7" s="2" t="s">
        <v>52</v>
      </c>
    </row>
    <row r="8" spans="1:71" x14ac:dyDescent="0.4">
      <c r="A8" s="50" t="s">
        <v>56</v>
      </c>
      <c r="B8" s="68">
        <f>SUM($K10:$K12)</f>
        <v>137.2099</v>
      </c>
      <c r="C8" s="73">
        <f t="shared" ref="C8:E16" si="0">B8/B$16</f>
        <v>8.5996345193404405E-2</v>
      </c>
      <c r="D8" s="42">
        <v>0</v>
      </c>
      <c r="E8" s="43">
        <v>0</v>
      </c>
      <c r="F8" s="29">
        <f>SUM($K10:$K12)</f>
        <v>137.2099</v>
      </c>
      <c r="G8" s="60">
        <f t="shared" ref="G8:G16" si="1">F8/F$16</f>
        <v>5.6892215142407547E-2</v>
      </c>
      <c r="I8" s="14" t="s">
        <v>55</v>
      </c>
      <c r="J8" s="15" t="s">
        <v>48</v>
      </c>
      <c r="K8" s="16">
        <v>0</v>
      </c>
      <c r="M8" s="1" t="str">
        <v>G2</v>
      </c>
      <c r="N8" s="1" t="str">
        <v>F2</v>
      </c>
      <c r="O8" s="9">
        <v>114.67100000000001</v>
      </c>
      <c r="Q8" s="2">
        <v>1977</v>
      </c>
      <c r="R8" s="3">
        <v>0</v>
      </c>
      <c r="S8" s="3">
        <v>336.62599999999998</v>
      </c>
      <c r="T8" s="3">
        <v>168.73400000000001</v>
      </c>
      <c r="U8" s="3">
        <v>412.20699999999999</v>
      </c>
      <c r="V8" s="3">
        <v>0</v>
      </c>
      <c r="W8" s="3">
        <v>301.85599999999999</v>
      </c>
      <c r="X8" s="3">
        <v>2.5247000000000002</v>
      </c>
      <c r="Y8" s="3">
        <v>26.532900000000001</v>
      </c>
      <c r="Z8" s="3">
        <v>3.9299499999999998</v>
      </c>
      <c r="AA8" s="3">
        <v>76.951400000000007</v>
      </c>
      <c r="AB8" s="3">
        <v>6.7431700000000001</v>
      </c>
      <c r="AC8" s="3">
        <v>271</v>
      </c>
      <c r="AD8" s="3">
        <v>0</v>
      </c>
      <c r="AE8" s="3">
        <v>0</v>
      </c>
      <c r="AF8" s="3">
        <v>547</v>
      </c>
      <c r="AG8" s="3">
        <v>0</v>
      </c>
      <c r="AH8" s="3">
        <v>0</v>
      </c>
      <c r="AI8" s="3">
        <v>17</v>
      </c>
      <c r="AJ8" s="3">
        <v>524</v>
      </c>
      <c r="AK8" s="3">
        <v>219</v>
      </c>
      <c r="AL8" s="3">
        <v>45</v>
      </c>
      <c r="AM8" s="3">
        <v>66.536199999999994</v>
      </c>
      <c r="AN8" s="3">
        <v>74.996499999999997</v>
      </c>
      <c r="AO8" s="3">
        <v>1432.8802720000001</v>
      </c>
      <c r="AP8" s="3">
        <v>1279.8181999999999</v>
      </c>
      <c r="AQ8" s="3">
        <f t="shared" ref="AQ8:AQ51" si="2">SUM(R8:AP8)</f>
        <v>5813.336292</v>
      </c>
      <c r="AS8" s="2">
        <v>1977</v>
      </c>
      <c r="AT8" s="4">
        <f>R8/$AQ8</f>
        <v>0</v>
      </c>
      <c r="AU8" s="4">
        <f t="shared" ref="AU8:BS8" si="3">S8/$AQ8</f>
        <v>5.7905819152978738E-2</v>
      </c>
      <c r="AV8" s="4">
        <f t="shared" si="3"/>
        <v>2.9025329264402377E-2</v>
      </c>
      <c r="AW8" s="4">
        <f t="shared" si="3"/>
        <v>7.0907131343365945E-2</v>
      </c>
      <c r="AX8" s="4">
        <f t="shared" si="3"/>
        <v>0</v>
      </c>
      <c r="AY8" s="4">
        <f t="shared" si="3"/>
        <v>5.1924744215365269E-2</v>
      </c>
      <c r="AZ8" s="4">
        <f t="shared" si="3"/>
        <v>4.3429450373864596E-4</v>
      </c>
      <c r="BA8" s="4">
        <f t="shared" si="3"/>
        <v>4.5641433193041227E-3</v>
      </c>
      <c r="BB8" s="4">
        <f t="shared" si="3"/>
        <v>6.7602316511573314E-4</v>
      </c>
      <c r="BC8" s="4">
        <f t="shared" si="3"/>
        <v>1.3237046015365803E-2</v>
      </c>
      <c r="BD8" s="4">
        <f t="shared" si="3"/>
        <v>1.1599483775400344E-3</v>
      </c>
      <c r="BE8" s="4">
        <f t="shared" si="3"/>
        <v>4.6616948751603375E-2</v>
      </c>
      <c r="BF8" s="4">
        <f t="shared" si="3"/>
        <v>0</v>
      </c>
      <c r="BG8" s="4">
        <f t="shared" si="3"/>
        <v>0</v>
      </c>
      <c r="BH8" s="4">
        <f t="shared" si="3"/>
        <v>9.4093988808586895E-2</v>
      </c>
      <c r="BI8" s="4">
        <f t="shared" si="3"/>
        <v>0</v>
      </c>
      <c r="BJ8" s="4">
        <f t="shared" si="3"/>
        <v>0</v>
      </c>
      <c r="BK8" s="4">
        <f t="shared" si="3"/>
        <v>2.9243104382924629E-3</v>
      </c>
      <c r="BL8" s="4">
        <f t="shared" si="3"/>
        <v>9.0137568803838261E-2</v>
      </c>
      <c r="BM8" s="4">
        <f t="shared" si="3"/>
        <v>3.7671999175649964E-2</v>
      </c>
      <c r="BN8" s="4">
        <f t="shared" si="3"/>
        <v>7.7408217484212245E-3</v>
      </c>
      <c r="BO8" s="4">
        <f t="shared" si="3"/>
        <v>1.1445441422606761E-2</v>
      </c>
      <c r="BP8" s="4">
        <f t="shared" si="3"/>
        <v>1.2900767516788274E-2</v>
      </c>
      <c r="BQ8" s="4">
        <f t="shared" si="3"/>
        <v>0.2464815727195849</v>
      </c>
      <c r="BR8" s="4">
        <f t="shared" si="3"/>
        <v>0.22015210125745122</v>
      </c>
      <c r="BS8" s="4">
        <f t="shared" si="3"/>
        <v>1</v>
      </c>
    </row>
    <row r="9" spans="1:71" ht="15" thickBot="1" x14ac:dyDescent="0.45">
      <c r="A9" s="50" t="s">
        <v>57</v>
      </c>
      <c r="B9" s="68">
        <f>SUM($K13:$K16)</f>
        <v>597.90244000000007</v>
      </c>
      <c r="C9" s="73">
        <f t="shared" si="0"/>
        <v>0.37473553017835282</v>
      </c>
      <c r="D9" s="42">
        <v>0</v>
      </c>
      <c r="E9" s="43">
        <v>0</v>
      </c>
      <c r="F9" s="29">
        <f>SUM($K13:$K17)</f>
        <v>716.90244000000007</v>
      </c>
      <c r="G9" s="60">
        <f t="shared" si="1"/>
        <v>0.29725382682005397</v>
      </c>
      <c r="I9" s="17" t="s">
        <v>55</v>
      </c>
      <c r="J9" s="18" t="s">
        <v>50</v>
      </c>
      <c r="K9" s="19">
        <v>0</v>
      </c>
      <c r="M9" s="1" t="str">
        <v>G2</v>
      </c>
      <c r="N9" s="1" t="str">
        <v>F3</v>
      </c>
      <c r="O9" s="9">
        <v>22.538900000000002</v>
      </c>
      <c r="Q9" s="2">
        <v>1978</v>
      </c>
      <c r="R9" s="3">
        <v>0</v>
      </c>
      <c r="S9" s="3">
        <v>275.73099999999999</v>
      </c>
      <c r="T9" s="3">
        <v>136.423</v>
      </c>
      <c r="U9" s="3">
        <v>612.55499999999995</v>
      </c>
      <c r="V9" s="3">
        <v>0</v>
      </c>
      <c r="W9" s="3">
        <v>461.21499999999997</v>
      </c>
      <c r="X9" s="3">
        <v>3.2972299999999999</v>
      </c>
      <c r="Y9" s="3">
        <v>50.429400000000001</v>
      </c>
      <c r="Z9" s="3">
        <v>6.2329699999999999</v>
      </c>
      <c r="AA9" s="3">
        <v>153.21</v>
      </c>
      <c r="AB9" s="3">
        <v>6.3342799999999997</v>
      </c>
      <c r="AC9" s="3">
        <v>270</v>
      </c>
      <c r="AD9" s="3">
        <v>0</v>
      </c>
      <c r="AE9" s="3">
        <v>0</v>
      </c>
      <c r="AF9" s="3">
        <v>546</v>
      </c>
      <c r="AG9" s="3">
        <v>0</v>
      </c>
      <c r="AH9" s="3">
        <v>0</v>
      </c>
      <c r="AI9" s="3">
        <v>0</v>
      </c>
      <c r="AJ9" s="3">
        <v>618</v>
      </c>
      <c r="AK9" s="3">
        <v>78</v>
      </c>
      <c r="AL9" s="3">
        <v>60</v>
      </c>
      <c r="AM9" s="3">
        <v>30.825199999999999</v>
      </c>
      <c r="AN9" s="3">
        <v>93.166499999999999</v>
      </c>
      <c r="AO9" s="3">
        <v>1480.5445999999999</v>
      </c>
      <c r="AP9" s="3">
        <v>2756.9987000000001</v>
      </c>
      <c r="AQ9" s="3">
        <f t="shared" si="2"/>
        <v>7638.96288</v>
      </c>
      <c r="AS9" s="2">
        <v>1978</v>
      </c>
      <c r="AT9" s="4">
        <f t="shared" ref="AT9:AT51" si="4">R9/$AQ9</f>
        <v>0</v>
      </c>
      <c r="AU9" s="4">
        <f t="shared" ref="AU9:AU51" si="5">S9/$AQ9</f>
        <v>3.6095344922005959E-2</v>
      </c>
      <c r="AV9" s="4">
        <f t="shared" ref="AV9:AV51" si="6">T9/$AQ9</f>
        <v>1.7858837926438519E-2</v>
      </c>
      <c r="AW9" s="4">
        <f t="shared" ref="AW9:AW51" si="7">U9/$AQ9</f>
        <v>8.0188241469763485E-2</v>
      </c>
      <c r="AX9" s="4">
        <f t="shared" ref="AX9:AX51" si="8">V9/$AQ9</f>
        <v>0</v>
      </c>
      <c r="AY9" s="4">
        <f t="shared" ref="AY9:AY51" si="9">W9/$AQ9</f>
        <v>6.0376651548802916E-2</v>
      </c>
      <c r="AZ9" s="4">
        <f t="shared" ref="AZ9:AZ51" si="10">X9/$AQ9</f>
        <v>4.3163320097190991E-4</v>
      </c>
      <c r="BA9" s="4">
        <f t="shared" ref="BA9:BA51" si="11">Y9/$AQ9</f>
        <v>6.6016029652444129E-3</v>
      </c>
      <c r="BB9" s="4">
        <f t="shared" ref="BB9:BB51" si="12">Z9/$AQ9</f>
        <v>8.1594453303587724E-4</v>
      </c>
      <c r="BC9" s="4">
        <f t="shared" ref="BC9:BC51" si="13">AA9/$AQ9</f>
        <v>2.0056387549824042E-2</v>
      </c>
      <c r="BD9" s="4">
        <f t="shared" ref="BD9:BD51" si="14">AB9/$AQ9</f>
        <v>8.2920680457606829E-4</v>
      </c>
      <c r="BE9" s="4">
        <f t="shared" ref="BE9:BE51" si="15">AC9/$AQ9</f>
        <v>3.5345112188842051E-2</v>
      </c>
      <c r="BF9" s="4">
        <f t="shared" ref="BF9:BF51" si="16">AD9/$AQ9</f>
        <v>0</v>
      </c>
      <c r="BG9" s="4">
        <f t="shared" ref="BG9:BG51" si="17">AE9/$AQ9</f>
        <v>0</v>
      </c>
      <c r="BH9" s="4">
        <f t="shared" ref="BH9:BH51" si="18">AF9/$AQ9</f>
        <v>7.1475671315213929E-2</v>
      </c>
      <c r="BI9" s="4">
        <f t="shared" ref="BI9:BI51" si="19">AG9/$AQ9</f>
        <v>0</v>
      </c>
      <c r="BJ9" s="4">
        <f t="shared" ref="BJ9:BJ51" si="20">AH9/$AQ9</f>
        <v>0</v>
      </c>
      <c r="BK9" s="4">
        <f t="shared" ref="BK9:BK51" si="21">AI9/$AQ9</f>
        <v>0</v>
      </c>
      <c r="BL9" s="4">
        <f t="shared" ref="BL9:BL51" si="22">AJ9/$AQ9</f>
        <v>8.0901034565571808E-2</v>
      </c>
      <c r="BM9" s="4">
        <f t="shared" ref="BM9:BM51" si="23">AK9/$AQ9</f>
        <v>1.0210810187887704E-2</v>
      </c>
      <c r="BN9" s="4">
        <f t="shared" ref="BN9:BN51" si="24">AL9/$AQ9</f>
        <v>7.8544693752982345E-3</v>
      </c>
      <c r="BO9" s="4">
        <f t="shared" ref="BO9:BO51" si="25">AM9/$AQ9</f>
        <v>4.0352598231240518E-3</v>
      </c>
      <c r="BP9" s="4">
        <f t="shared" ref="BP9:BP51" si="26">AN9/$AQ9</f>
        <v>1.2196223684228716E-2</v>
      </c>
      <c r="BQ9" s="4">
        <f t="shared" ref="BQ9:BQ51" si="27">AO9/$AQ9</f>
        <v>0.19381487032438621</v>
      </c>
      <c r="BR9" s="4">
        <f t="shared" ref="BR9:BR51" si="28">AP9/$AQ9</f>
        <v>0.36091269761478406</v>
      </c>
      <c r="BS9" s="4">
        <f t="shared" ref="BS9:BS51" si="29">AQ9/$AQ9</f>
        <v>1</v>
      </c>
    </row>
    <row r="10" spans="1:71" x14ac:dyDescent="0.4">
      <c r="A10" s="50" t="s">
        <v>58</v>
      </c>
      <c r="B10" s="68">
        <f>SUM($K18:$K21)</f>
        <v>63.744059999999998</v>
      </c>
      <c r="C10" s="73">
        <f t="shared" si="0"/>
        <v>3.9951608359084012E-2</v>
      </c>
      <c r="D10" s="42">
        <v>0</v>
      </c>
      <c r="E10" s="43">
        <v>0</v>
      </c>
      <c r="F10" s="29">
        <f>SUM($K18:$K21)</f>
        <v>63.744059999999998</v>
      </c>
      <c r="G10" s="60">
        <f t="shared" si="1"/>
        <v>2.6430605776773652E-2</v>
      </c>
      <c r="I10" s="11" t="s">
        <v>56</v>
      </c>
      <c r="J10" s="12" t="s">
        <v>28</v>
      </c>
      <c r="K10" s="13">
        <v>114.67100000000001</v>
      </c>
      <c r="M10" s="1" t="str">
        <v>G3</v>
      </c>
      <c r="N10" s="1" t="str">
        <v>F4</v>
      </c>
      <c r="O10" s="9">
        <v>243.37700000000001</v>
      </c>
      <c r="Q10" s="2">
        <v>1979</v>
      </c>
      <c r="R10" s="3">
        <v>0</v>
      </c>
      <c r="S10" s="3">
        <v>472.28300000000002</v>
      </c>
      <c r="T10" s="3">
        <v>478.34800000000001</v>
      </c>
      <c r="U10" s="3">
        <v>1466.03</v>
      </c>
      <c r="V10" s="3">
        <v>0</v>
      </c>
      <c r="W10" s="3">
        <v>540.97199999999998</v>
      </c>
      <c r="X10" s="3">
        <v>14.556699999999999</v>
      </c>
      <c r="Y10" s="3">
        <v>45.548400000000001</v>
      </c>
      <c r="Z10" s="3">
        <v>12.138199999999999</v>
      </c>
      <c r="AA10" s="3">
        <v>112.91200000000001</v>
      </c>
      <c r="AB10" s="3">
        <v>10.4405</v>
      </c>
      <c r="AC10" s="3">
        <v>387</v>
      </c>
      <c r="AD10" s="3">
        <v>0</v>
      </c>
      <c r="AE10" s="3">
        <v>0</v>
      </c>
      <c r="AF10" s="3">
        <v>526</v>
      </c>
      <c r="AG10" s="3">
        <v>0</v>
      </c>
      <c r="AH10" s="3">
        <v>0</v>
      </c>
      <c r="AI10" s="3">
        <v>26</v>
      </c>
      <c r="AJ10" s="3">
        <v>432</v>
      </c>
      <c r="AK10" s="3">
        <v>122</v>
      </c>
      <c r="AL10" s="3">
        <v>80</v>
      </c>
      <c r="AM10" s="3">
        <v>47.8247</v>
      </c>
      <c r="AN10" s="3">
        <v>182.71199999999999</v>
      </c>
      <c r="AO10" s="3">
        <v>1294.5916</v>
      </c>
      <c r="AP10" s="3">
        <v>1643.443</v>
      </c>
      <c r="AQ10" s="3">
        <f t="shared" si="2"/>
        <v>7894.8000999999995</v>
      </c>
      <c r="AS10" s="2">
        <v>1979</v>
      </c>
      <c r="AT10" s="4">
        <f t="shared" si="4"/>
        <v>0</v>
      </c>
      <c r="AU10" s="4">
        <f t="shared" si="5"/>
        <v>5.9822033999315578E-2</v>
      </c>
      <c r="AV10" s="4">
        <f t="shared" si="6"/>
        <v>6.0590261177100611E-2</v>
      </c>
      <c r="AW10" s="4">
        <f t="shared" si="7"/>
        <v>0.18569564541602518</v>
      </c>
      <c r="AX10" s="4">
        <f t="shared" si="8"/>
        <v>0</v>
      </c>
      <c r="AY10" s="4">
        <f t="shared" si="9"/>
        <v>6.852257095147983E-2</v>
      </c>
      <c r="AZ10" s="4">
        <f t="shared" si="10"/>
        <v>1.8438338926402963E-3</v>
      </c>
      <c r="BA10" s="4">
        <f t="shared" si="11"/>
        <v>5.7694177715785361E-3</v>
      </c>
      <c r="BB10" s="4">
        <f t="shared" si="12"/>
        <v>1.5374930139143105E-3</v>
      </c>
      <c r="BC10" s="4">
        <f t="shared" si="13"/>
        <v>1.4302072068930537E-2</v>
      </c>
      <c r="BD10" s="4">
        <f t="shared" si="14"/>
        <v>1.3224527369603697E-3</v>
      </c>
      <c r="BE10" s="4">
        <f t="shared" si="15"/>
        <v>4.9019607222227202E-2</v>
      </c>
      <c r="BF10" s="4">
        <f t="shared" si="16"/>
        <v>0</v>
      </c>
      <c r="BG10" s="4">
        <f t="shared" si="17"/>
        <v>0</v>
      </c>
      <c r="BH10" s="4">
        <f t="shared" si="18"/>
        <v>6.6626132813673147E-2</v>
      </c>
      <c r="BI10" s="4">
        <f t="shared" si="19"/>
        <v>0</v>
      </c>
      <c r="BJ10" s="4">
        <f t="shared" si="20"/>
        <v>0</v>
      </c>
      <c r="BK10" s="4">
        <f t="shared" si="21"/>
        <v>3.2933069451625508E-3</v>
      </c>
      <c r="BL10" s="4">
        <f t="shared" si="22"/>
        <v>5.4719561550393155E-2</v>
      </c>
      <c r="BM10" s="4">
        <f t="shared" si="23"/>
        <v>1.5453209511916585E-2</v>
      </c>
      <c r="BN10" s="4">
        <f t="shared" si="24"/>
        <v>1.0133252138961695E-2</v>
      </c>
      <c r="BO10" s="4">
        <f t="shared" si="25"/>
        <v>6.0577467946275176E-3</v>
      </c>
      <c r="BP10" s="4">
        <f t="shared" si="26"/>
        <v>2.3143334560174613E-2</v>
      </c>
      <c r="BQ10" s="4">
        <f t="shared" si="27"/>
        <v>0.16398028874727305</v>
      </c>
      <c r="BR10" s="4">
        <f t="shared" si="28"/>
        <v>0.20816777868764533</v>
      </c>
      <c r="BS10" s="4">
        <f t="shared" si="29"/>
        <v>1</v>
      </c>
    </row>
    <row r="11" spans="1:71" x14ac:dyDescent="0.4">
      <c r="A11" s="50" t="s">
        <v>59</v>
      </c>
      <c r="B11" s="68">
        <f>SUM($K22:$K24)</f>
        <v>209.49336000000002</v>
      </c>
      <c r="C11" s="73">
        <f t="shared" si="0"/>
        <v>0.13130002501485782</v>
      </c>
      <c r="D11" s="42">
        <v>0</v>
      </c>
      <c r="E11" s="43">
        <v>0</v>
      </c>
      <c r="F11" s="29">
        <f>SUM($K22:$K24)</f>
        <v>209.49336000000002</v>
      </c>
      <c r="G11" s="60">
        <f t="shared" si="1"/>
        <v>8.6863566754482271E-2</v>
      </c>
      <c r="I11" s="14" t="s">
        <v>56</v>
      </c>
      <c r="J11" s="15" t="s">
        <v>29</v>
      </c>
      <c r="K11" s="16">
        <v>22.538900000000002</v>
      </c>
      <c r="M11" s="1" t="str">
        <v>G4</v>
      </c>
      <c r="N11" s="1" t="str">
        <v>F5</v>
      </c>
      <c r="O11" s="9">
        <v>62.1096</v>
      </c>
      <c r="Q11" s="2">
        <v>1980</v>
      </c>
      <c r="R11" s="3">
        <v>0</v>
      </c>
      <c r="S11" s="3">
        <v>582.61300000000006</v>
      </c>
      <c r="T11" s="3">
        <v>872.09199999999998</v>
      </c>
      <c r="U11" s="3">
        <v>1019.98</v>
      </c>
      <c r="V11" s="3">
        <v>0</v>
      </c>
      <c r="W11" s="3">
        <v>521.23900000000003</v>
      </c>
      <c r="X11" s="3">
        <v>23.9541</v>
      </c>
      <c r="Y11" s="3">
        <v>31.2102</v>
      </c>
      <c r="Z11" s="3">
        <v>4.96035</v>
      </c>
      <c r="AA11" s="3">
        <v>15.891400000000001</v>
      </c>
      <c r="AB11" s="3">
        <v>6.3565800000000001</v>
      </c>
      <c r="AC11" s="3">
        <v>612</v>
      </c>
      <c r="AD11" s="3">
        <v>0</v>
      </c>
      <c r="AE11" s="3">
        <v>0</v>
      </c>
      <c r="AF11" s="3">
        <v>536</v>
      </c>
      <c r="AG11" s="3">
        <v>0</v>
      </c>
      <c r="AH11" s="3">
        <v>0</v>
      </c>
      <c r="AI11" s="3">
        <v>61</v>
      </c>
      <c r="AJ11" s="3">
        <v>223</v>
      </c>
      <c r="AK11" s="3">
        <v>131.52000000000001</v>
      </c>
      <c r="AL11" s="3">
        <v>30</v>
      </c>
      <c r="AM11" s="3">
        <v>42.5486</v>
      </c>
      <c r="AN11" s="3">
        <v>196.43</v>
      </c>
      <c r="AO11" s="3">
        <v>1528.482</v>
      </c>
      <c r="AP11" s="3">
        <v>3661.6409999999901</v>
      </c>
      <c r="AQ11" s="3">
        <f t="shared" si="2"/>
        <v>10100.91822999999</v>
      </c>
      <c r="AS11" s="2">
        <v>1980</v>
      </c>
      <c r="AT11" s="4">
        <f t="shared" si="4"/>
        <v>0</v>
      </c>
      <c r="AU11" s="4">
        <f t="shared" si="5"/>
        <v>5.7679211605695835E-2</v>
      </c>
      <c r="AV11" s="4">
        <f t="shared" si="6"/>
        <v>8.6337893262997026E-2</v>
      </c>
      <c r="AW11" s="4">
        <f t="shared" si="7"/>
        <v>0.10097893842667024</v>
      </c>
      <c r="AX11" s="4">
        <f t="shared" si="8"/>
        <v>0</v>
      </c>
      <c r="AY11" s="4">
        <f t="shared" si="9"/>
        <v>5.1603130342339237E-2</v>
      </c>
      <c r="AZ11" s="4">
        <f t="shared" si="10"/>
        <v>2.371477469133024E-3</v>
      </c>
      <c r="BA11" s="4">
        <f t="shared" si="11"/>
        <v>3.0898379027863914E-3</v>
      </c>
      <c r="BB11" s="4">
        <f t="shared" si="12"/>
        <v>4.9107911647751302E-4</v>
      </c>
      <c r="BC11" s="4">
        <f t="shared" si="13"/>
        <v>1.5732629091880111E-3</v>
      </c>
      <c r="BD11" s="4">
        <f t="shared" si="14"/>
        <v>6.293071436932131E-4</v>
      </c>
      <c r="BE11" s="4">
        <f t="shared" si="15"/>
        <v>6.0588551066807377E-2</v>
      </c>
      <c r="BF11" s="4">
        <f t="shared" si="16"/>
        <v>0</v>
      </c>
      <c r="BG11" s="4">
        <f t="shared" si="17"/>
        <v>0</v>
      </c>
      <c r="BH11" s="4">
        <f t="shared" si="18"/>
        <v>5.3064482633674435E-2</v>
      </c>
      <c r="BI11" s="4">
        <f t="shared" si="19"/>
        <v>0</v>
      </c>
      <c r="BJ11" s="4">
        <f t="shared" si="20"/>
        <v>0</v>
      </c>
      <c r="BK11" s="4">
        <f t="shared" si="21"/>
        <v>6.0390549265935461E-3</v>
      </c>
      <c r="BL11" s="4">
        <f t="shared" si="22"/>
        <v>2.2077200797219029E-2</v>
      </c>
      <c r="BM11" s="4">
        <f t="shared" si="23"/>
        <v>1.302059842533743E-2</v>
      </c>
      <c r="BN11" s="4">
        <f t="shared" si="24"/>
        <v>2.9700270130787929E-3</v>
      </c>
      <c r="BO11" s="4">
        <f t="shared" si="25"/>
        <v>4.212349712289478E-3</v>
      </c>
      <c r="BP11" s="4">
        <f t="shared" si="26"/>
        <v>1.9446746872635579E-2</v>
      </c>
      <c r="BQ11" s="4">
        <f t="shared" si="27"/>
        <v>0.15132109430015667</v>
      </c>
      <c r="BR11" s="4">
        <f t="shared" si="28"/>
        <v>0.36250575607322716</v>
      </c>
      <c r="BS11" s="4">
        <f t="shared" si="29"/>
        <v>1</v>
      </c>
    </row>
    <row r="12" spans="1:71" ht="15" thickBot="1" x14ac:dyDescent="0.45">
      <c r="A12" s="50" t="s">
        <v>60</v>
      </c>
      <c r="B12" s="68">
        <f>SUM($K25)</f>
        <v>93.68</v>
      </c>
      <c r="C12" s="73">
        <f t="shared" si="0"/>
        <v>5.8713967561510691E-2</v>
      </c>
      <c r="D12" s="42">
        <v>0</v>
      </c>
      <c r="E12" s="43">
        <v>0</v>
      </c>
      <c r="F12" s="29">
        <f>SUM($K25)</f>
        <v>93.68</v>
      </c>
      <c r="G12" s="60">
        <f t="shared" si="1"/>
        <v>3.8843135331639619E-2</v>
      </c>
      <c r="I12" s="17" t="s">
        <v>56</v>
      </c>
      <c r="J12" s="18" t="s">
        <v>33</v>
      </c>
      <c r="K12" s="19">
        <v>0</v>
      </c>
      <c r="M12" s="1" t="str">
        <v>G5</v>
      </c>
      <c r="N12" s="1" t="str">
        <v>F6</v>
      </c>
      <c r="O12" s="9">
        <v>208.31200000000001</v>
      </c>
      <c r="Q12" s="2">
        <v>1981</v>
      </c>
      <c r="R12" s="3">
        <v>0</v>
      </c>
      <c r="S12" s="3">
        <v>420.19099999999997</v>
      </c>
      <c r="T12" s="3">
        <v>443.51299999999998</v>
      </c>
      <c r="U12" s="3">
        <v>664.56899999999996</v>
      </c>
      <c r="V12" s="3">
        <v>0</v>
      </c>
      <c r="W12" s="3">
        <v>465.29700000000003</v>
      </c>
      <c r="X12" s="3">
        <v>6.9554499999999999</v>
      </c>
      <c r="Y12" s="3">
        <v>21.715</v>
      </c>
      <c r="Z12" s="3">
        <v>13.6144</v>
      </c>
      <c r="AA12" s="3">
        <v>5.0745500000000003</v>
      </c>
      <c r="AB12" s="3">
        <v>3.9035000000000002</v>
      </c>
      <c r="AC12" s="3">
        <v>271</v>
      </c>
      <c r="AD12" s="3">
        <v>0</v>
      </c>
      <c r="AE12" s="3">
        <v>0</v>
      </c>
      <c r="AF12" s="3">
        <v>542</v>
      </c>
      <c r="AG12" s="3">
        <v>0</v>
      </c>
      <c r="AH12" s="3">
        <v>0</v>
      </c>
      <c r="AI12" s="3">
        <v>16</v>
      </c>
      <c r="AJ12" s="3">
        <v>491</v>
      </c>
      <c r="AK12" s="3">
        <v>95</v>
      </c>
      <c r="AL12" s="3">
        <v>108</v>
      </c>
      <c r="AM12" s="3">
        <v>65.854200000000006</v>
      </c>
      <c r="AN12" s="3">
        <v>112.157</v>
      </c>
      <c r="AO12" s="3">
        <v>1551.9480000000001</v>
      </c>
      <c r="AP12" s="3">
        <v>3377.3332</v>
      </c>
      <c r="AQ12" s="3">
        <f t="shared" si="2"/>
        <v>8675.1252999999997</v>
      </c>
      <c r="AS12" s="2">
        <v>1981</v>
      </c>
      <c r="AT12" s="4">
        <f t="shared" si="4"/>
        <v>0</v>
      </c>
      <c r="AU12" s="4">
        <f t="shared" si="5"/>
        <v>4.8436303277371681E-2</v>
      </c>
      <c r="AV12" s="4">
        <f t="shared" si="6"/>
        <v>5.11246794325841E-2</v>
      </c>
      <c r="AW12" s="4">
        <f t="shared" si="7"/>
        <v>7.6606271035647169E-2</v>
      </c>
      <c r="AX12" s="4">
        <f t="shared" si="8"/>
        <v>0</v>
      </c>
      <c r="AY12" s="4">
        <f t="shared" si="9"/>
        <v>5.3635767082234539E-2</v>
      </c>
      <c r="AZ12" s="4">
        <f t="shared" si="10"/>
        <v>8.0176939922700597E-4</v>
      </c>
      <c r="BA12" s="4">
        <f t="shared" si="11"/>
        <v>2.503133874043295E-3</v>
      </c>
      <c r="BB12" s="4">
        <f t="shared" si="12"/>
        <v>1.5693606177653711E-3</v>
      </c>
      <c r="BC12" s="4">
        <f t="shared" si="13"/>
        <v>5.8495408706085207E-4</v>
      </c>
      <c r="BD12" s="4">
        <f t="shared" si="14"/>
        <v>4.4996468235450159E-4</v>
      </c>
      <c r="BE12" s="4">
        <f t="shared" si="15"/>
        <v>3.1238741877307526E-2</v>
      </c>
      <c r="BF12" s="4">
        <f t="shared" si="16"/>
        <v>0</v>
      </c>
      <c r="BG12" s="4">
        <f t="shared" si="17"/>
        <v>0</v>
      </c>
      <c r="BH12" s="4">
        <f t="shared" si="18"/>
        <v>6.2477483754615051E-2</v>
      </c>
      <c r="BI12" s="4">
        <f t="shared" si="19"/>
        <v>0</v>
      </c>
      <c r="BJ12" s="4">
        <f t="shared" si="20"/>
        <v>0</v>
      </c>
      <c r="BK12" s="4">
        <f t="shared" si="21"/>
        <v>1.8443537639738761E-3</v>
      </c>
      <c r="BL12" s="4">
        <f t="shared" si="22"/>
        <v>5.6598606131948323E-2</v>
      </c>
      <c r="BM12" s="4">
        <f t="shared" si="23"/>
        <v>1.0950850473594889E-2</v>
      </c>
      <c r="BN12" s="4">
        <f t="shared" si="24"/>
        <v>1.2449387906823664E-2</v>
      </c>
      <c r="BO12" s="4">
        <f t="shared" si="25"/>
        <v>7.5911526027180277E-3</v>
      </c>
      <c r="BP12" s="4">
        <f t="shared" si="26"/>
        <v>1.2928574069126125E-2</v>
      </c>
      <c r="BQ12" s="4">
        <f t="shared" si="27"/>
        <v>0.17889632095573307</v>
      </c>
      <c r="BR12" s="4">
        <f t="shared" si="28"/>
        <v>0.38931232497587098</v>
      </c>
      <c r="BS12" s="4">
        <f t="shared" si="29"/>
        <v>1</v>
      </c>
    </row>
    <row r="13" spans="1:71" x14ac:dyDescent="0.4">
      <c r="A13" s="50" t="s">
        <v>61</v>
      </c>
      <c r="B13" s="68">
        <f>SUM($K26)</f>
        <v>147.32999999999899</v>
      </c>
      <c r="C13" s="73">
        <f t="shared" si="0"/>
        <v>9.2339120845829528E-2</v>
      </c>
      <c r="D13" s="29">
        <f>SUM(K27)</f>
        <v>33.4</v>
      </c>
      <c r="E13" s="73">
        <f t="shared" si="0"/>
        <v>8.9804258980425905E-2</v>
      </c>
      <c r="F13" s="29">
        <f>SUM($K26:$K27)</f>
        <v>180.729999999999</v>
      </c>
      <c r="G13" s="60">
        <f t="shared" si="1"/>
        <v>7.493723151672918E-2</v>
      </c>
      <c r="I13" s="11" t="s">
        <v>57</v>
      </c>
      <c r="J13" s="12" t="s">
        <v>30</v>
      </c>
      <c r="K13" s="13">
        <v>243.37700000000001</v>
      </c>
      <c r="M13" s="1" t="str">
        <v>G2</v>
      </c>
      <c r="N13" s="1" t="str">
        <v>F7</v>
      </c>
      <c r="O13" s="10">
        <v>0</v>
      </c>
      <c r="Q13" s="2">
        <v>1982</v>
      </c>
      <c r="R13" s="3">
        <v>0</v>
      </c>
      <c r="S13" s="3">
        <v>339.47300000000001</v>
      </c>
      <c r="T13" s="3">
        <v>423.339</v>
      </c>
      <c r="U13" s="3">
        <v>548.18700000000001</v>
      </c>
      <c r="V13" s="3">
        <v>0</v>
      </c>
      <c r="W13" s="3">
        <v>212.00200000000001</v>
      </c>
      <c r="X13" s="3">
        <v>6.0190299999999999</v>
      </c>
      <c r="Y13" s="3">
        <v>21.220199999999998</v>
      </c>
      <c r="Z13" s="3">
        <v>3.8661599999999998</v>
      </c>
      <c r="AA13" s="3">
        <v>7.0019099999999996</v>
      </c>
      <c r="AB13" s="3">
        <v>3.50095</v>
      </c>
      <c r="AC13" s="3">
        <v>283</v>
      </c>
      <c r="AD13" s="3">
        <v>0</v>
      </c>
      <c r="AE13" s="3">
        <v>0</v>
      </c>
      <c r="AF13" s="3">
        <v>656</v>
      </c>
      <c r="AG13" s="3">
        <v>0</v>
      </c>
      <c r="AH13" s="3">
        <v>0</v>
      </c>
      <c r="AI13" s="3">
        <v>7</v>
      </c>
      <c r="AJ13" s="3">
        <v>397</v>
      </c>
      <c r="AK13" s="3">
        <v>138</v>
      </c>
      <c r="AL13" s="3">
        <v>117</v>
      </c>
      <c r="AM13" s="3">
        <v>39.113100000000003</v>
      </c>
      <c r="AN13" s="3">
        <v>104.386</v>
      </c>
      <c r="AO13" s="3">
        <v>665.45699999999999</v>
      </c>
      <c r="AP13" s="3">
        <v>958.822</v>
      </c>
      <c r="AQ13" s="3">
        <f t="shared" si="2"/>
        <v>4930.38735</v>
      </c>
      <c r="AS13" s="2">
        <v>1982</v>
      </c>
      <c r="AT13" s="4">
        <f t="shared" si="4"/>
        <v>0</v>
      </c>
      <c r="AU13" s="4">
        <f t="shared" si="5"/>
        <v>6.8853210894271835E-2</v>
      </c>
      <c r="AV13" s="4">
        <f t="shared" si="6"/>
        <v>8.5863233443514334E-2</v>
      </c>
      <c r="AW13" s="4">
        <f t="shared" si="7"/>
        <v>0.11118538181386499</v>
      </c>
      <c r="AX13" s="4">
        <f t="shared" si="8"/>
        <v>0</v>
      </c>
      <c r="AY13" s="4">
        <f t="shared" si="9"/>
        <v>4.2999055642149495E-2</v>
      </c>
      <c r="AZ13" s="4">
        <f t="shared" si="10"/>
        <v>1.2208026616813382E-3</v>
      </c>
      <c r="BA13" s="4">
        <f t="shared" si="11"/>
        <v>4.3039620406295255E-3</v>
      </c>
      <c r="BB13" s="4">
        <f t="shared" si="12"/>
        <v>7.8414934274890179E-4</v>
      </c>
      <c r="BC13" s="4">
        <f t="shared" si="13"/>
        <v>1.4201541385992725E-3</v>
      </c>
      <c r="BD13" s="4">
        <f t="shared" si="14"/>
        <v>7.1007605518053258E-4</v>
      </c>
      <c r="BE13" s="4">
        <f t="shared" si="15"/>
        <v>5.7399141266253652E-2</v>
      </c>
      <c r="BF13" s="4">
        <f t="shared" si="16"/>
        <v>0</v>
      </c>
      <c r="BG13" s="4">
        <f t="shared" si="17"/>
        <v>0</v>
      </c>
      <c r="BH13" s="4">
        <f t="shared" si="18"/>
        <v>0.13305242639810033</v>
      </c>
      <c r="BI13" s="4">
        <f t="shared" si="19"/>
        <v>0</v>
      </c>
      <c r="BJ13" s="4">
        <f t="shared" si="20"/>
        <v>0</v>
      </c>
      <c r="BK13" s="4">
        <f t="shared" si="21"/>
        <v>1.4197667451016805E-3</v>
      </c>
      <c r="BL13" s="4">
        <f t="shared" si="22"/>
        <v>8.0521056829338161E-2</v>
      </c>
      <c r="BM13" s="4">
        <f t="shared" si="23"/>
        <v>2.7989687260575987E-2</v>
      </c>
      <c r="BN13" s="4">
        <f t="shared" si="24"/>
        <v>2.3730387025270947E-2</v>
      </c>
      <c r="BO13" s="4">
        <f t="shared" si="25"/>
        <v>7.933068382548078E-3</v>
      </c>
      <c r="BP13" s="4">
        <f t="shared" si="26"/>
        <v>2.1171967350597717E-2</v>
      </c>
      <c r="BQ13" s="4">
        <f t="shared" si="27"/>
        <v>0.13497053127073272</v>
      </c>
      <c r="BR13" s="4">
        <f t="shared" si="28"/>
        <v>0.1944719414388405</v>
      </c>
      <c r="BS13" s="4">
        <f t="shared" si="29"/>
        <v>1</v>
      </c>
    </row>
    <row r="14" spans="1:71" x14ac:dyDescent="0.4">
      <c r="A14" s="50" t="s">
        <v>62</v>
      </c>
      <c r="B14" s="14">
        <v>0</v>
      </c>
      <c r="C14" s="43">
        <f t="shared" si="0"/>
        <v>0</v>
      </c>
      <c r="D14" s="42">
        <v>0</v>
      </c>
      <c r="E14" s="43">
        <v>0</v>
      </c>
      <c r="F14" s="29">
        <f>SUM($K28:$K29)</f>
        <v>325.3</v>
      </c>
      <c r="G14" s="60">
        <f t="shared" si="1"/>
        <v>0.13488121182090487</v>
      </c>
      <c r="I14" s="14" t="s">
        <v>57</v>
      </c>
      <c r="J14" s="15" t="s">
        <v>34</v>
      </c>
      <c r="K14" s="16">
        <v>3.92544</v>
      </c>
      <c r="M14" s="1" t="str">
        <v>G3</v>
      </c>
      <c r="N14" s="1" t="str">
        <v>F8</v>
      </c>
      <c r="O14" s="9">
        <v>3.92544</v>
      </c>
      <c r="Q14" s="2">
        <v>1983</v>
      </c>
      <c r="R14" s="3">
        <v>0</v>
      </c>
      <c r="S14" s="3">
        <v>225.31100000000001</v>
      </c>
      <c r="T14" s="3">
        <v>186.77600000000001</v>
      </c>
      <c r="U14" s="3">
        <v>479.77199999999999</v>
      </c>
      <c r="V14" s="3">
        <v>0</v>
      </c>
      <c r="W14" s="3">
        <v>339.584</v>
      </c>
      <c r="X14" s="3">
        <v>9.8302999999999994</v>
      </c>
      <c r="Y14" s="3">
        <v>10.738</v>
      </c>
      <c r="Z14" s="3">
        <v>5.9915000000000003</v>
      </c>
      <c r="AA14" s="3">
        <v>3.4378600000000001</v>
      </c>
      <c r="AB14" s="3">
        <v>2.6738900000000001</v>
      </c>
      <c r="AC14" s="3">
        <v>330</v>
      </c>
      <c r="AD14" s="3">
        <v>0</v>
      </c>
      <c r="AE14" s="3">
        <v>0</v>
      </c>
      <c r="AF14" s="3">
        <v>849</v>
      </c>
      <c r="AG14" s="3">
        <v>0</v>
      </c>
      <c r="AH14" s="3">
        <v>0</v>
      </c>
      <c r="AI14" s="3">
        <v>0</v>
      </c>
      <c r="AJ14" s="3">
        <v>555</v>
      </c>
      <c r="AK14" s="3">
        <v>214</v>
      </c>
      <c r="AL14" s="3">
        <v>64</v>
      </c>
      <c r="AM14" s="3">
        <v>41.008099999999999</v>
      </c>
      <c r="AN14" s="3">
        <v>86.088499999999996</v>
      </c>
      <c r="AO14" s="3">
        <v>611.21299999999997</v>
      </c>
      <c r="AP14" s="3">
        <v>1234.8150000000001</v>
      </c>
      <c r="AQ14" s="3">
        <f t="shared" si="2"/>
        <v>5249.2391499999994</v>
      </c>
      <c r="AS14" s="2">
        <v>1983</v>
      </c>
      <c r="AT14" s="4">
        <f t="shared" si="4"/>
        <v>0</v>
      </c>
      <c r="AU14" s="4">
        <f t="shared" si="5"/>
        <v>4.292260145929911E-2</v>
      </c>
      <c r="AV14" s="4">
        <f t="shared" si="6"/>
        <v>3.5581537564353498E-2</v>
      </c>
      <c r="AW14" s="4">
        <f t="shared" si="7"/>
        <v>9.1398388659811786E-2</v>
      </c>
      <c r="AX14" s="4">
        <f t="shared" si="8"/>
        <v>0</v>
      </c>
      <c r="AY14" s="4">
        <f t="shared" si="9"/>
        <v>6.4692042083851334E-2</v>
      </c>
      <c r="AZ14" s="4">
        <f t="shared" si="10"/>
        <v>1.8727094954323047E-3</v>
      </c>
      <c r="BA14" s="4">
        <f t="shared" si="11"/>
        <v>2.0456297937959259E-3</v>
      </c>
      <c r="BB14" s="4">
        <f t="shared" si="12"/>
        <v>1.1414035117832269E-3</v>
      </c>
      <c r="BC14" s="4">
        <f t="shared" si="13"/>
        <v>6.5492539047301752E-4</v>
      </c>
      <c r="BD14" s="4">
        <f t="shared" si="14"/>
        <v>5.0938620314145918E-4</v>
      </c>
      <c r="BE14" s="4">
        <f t="shared" si="15"/>
        <v>6.2866253674115802E-2</v>
      </c>
      <c r="BF14" s="4">
        <f t="shared" si="16"/>
        <v>0</v>
      </c>
      <c r="BG14" s="4">
        <f t="shared" si="17"/>
        <v>0</v>
      </c>
      <c r="BH14" s="4">
        <f t="shared" si="18"/>
        <v>0.16173772536158884</v>
      </c>
      <c r="BI14" s="4">
        <f t="shared" si="19"/>
        <v>0</v>
      </c>
      <c r="BJ14" s="4">
        <f t="shared" si="20"/>
        <v>0</v>
      </c>
      <c r="BK14" s="4">
        <f t="shared" si="21"/>
        <v>0</v>
      </c>
      <c r="BL14" s="4">
        <f t="shared" si="22"/>
        <v>0.10572960845192204</v>
      </c>
      <c r="BM14" s="4">
        <f t="shared" si="23"/>
        <v>4.0767812988669036E-2</v>
      </c>
      <c r="BN14" s="4">
        <f t="shared" si="24"/>
        <v>1.2192243136798217E-2</v>
      </c>
      <c r="BO14" s="4">
        <f t="shared" si="25"/>
        <v>7.8121988402833588E-3</v>
      </c>
      <c r="BP14" s="4">
        <f t="shared" si="26"/>
        <v>1.6400186301285206E-2</v>
      </c>
      <c r="BQ14" s="4">
        <f t="shared" si="27"/>
        <v>0.11643839850581013</v>
      </c>
      <c r="BR14" s="4">
        <f t="shared" si="28"/>
        <v>0.23523694857758579</v>
      </c>
      <c r="BS14" s="4">
        <f t="shared" si="29"/>
        <v>1</v>
      </c>
    </row>
    <row r="15" spans="1:71" ht="15" thickBot="1" x14ac:dyDescent="0.45">
      <c r="A15" s="51" t="s">
        <v>63</v>
      </c>
      <c r="B15" s="17">
        <v>0</v>
      </c>
      <c r="C15" s="37">
        <f t="shared" si="0"/>
        <v>0</v>
      </c>
      <c r="D15" s="31">
        <f>SUM(K30:K31)</f>
        <v>338.52</v>
      </c>
      <c r="E15" s="74">
        <f t="shared" si="0"/>
        <v>0.91019574101957412</v>
      </c>
      <c r="F15" s="31">
        <f>SUM(K30:K31)</f>
        <v>338.52</v>
      </c>
      <c r="G15" s="61">
        <f t="shared" si="1"/>
        <v>0.14036270465912301</v>
      </c>
      <c r="I15" s="14" t="s">
        <v>57</v>
      </c>
      <c r="J15" s="15" t="s">
        <v>38</v>
      </c>
      <c r="K15" s="16">
        <v>221.6</v>
      </c>
      <c r="M15" s="1" t="str">
        <v>G4</v>
      </c>
      <c r="N15" s="1" t="str">
        <v>F9</v>
      </c>
      <c r="O15" s="9">
        <v>1.63446</v>
      </c>
      <c r="Q15" s="2">
        <v>1984</v>
      </c>
      <c r="R15" s="3">
        <v>0</v>
      </c>
      <c r="S15" s="3">
        <v>350</v>
      </c>
      <c r="T15" s="3">
        <v>170.227</v>
      </c>
      <c r="U15" s="3">
        <v>601.33399999999995</v>
      </c>
      <c r="V15" s="3">
        <v>0</v>
      </c>
      <c r="W15" s="3">
        <v>705.25099999999998</v>
      </c>
      <c r="X15" s="3">
        <v>6.3636299999999997</v>
      </c>
      <c r="Y15" s="3">
        <v>9.6635100000000005</v>
      </c>
      <c r="Z15" s="3">
        <v>8.7931299999999997</v>
      </c>
      <c r="AA15" s="3">
        <v>5.8869100000000003</v>
      </c>
      <c r="AB15" s="3">
        <v>6.6718299999999999</v>
      </c>
      <c r="AC15" s="3">
        <v>395</v>
      </c>
      <c r="AD15" s="3">
        <v>0</v>
      </c>
      <c r="AE15" s="3">
        <v>0</v>
      </c>
      <c r="AF15" s="3">
        <v>795</v>
      </c>
      <c r="AG15" s="3">
        <v>0</v>
      </c>
      <c r="AH15" s="3">
        <v>0</v>
      </c>
      <c r="AI15" s="3">
        <v>0</v>
      </c>
      <c r="AJ15" s="3">
        <v>965</v>
      </c>
      <c r="AK15" s="3">
        <v>330</v>
      </c>
      <c r="AL15" s="3">
        <v>83</v>
      </c>
      <c r="AM15" s="3">
        <v>72.400099999999995</v>
      </c>
      <c r="AN15" s="3">
        <v>179.119</v>
      </c>
      <c r="AO15" s="3">
        <v>970.04600000000005</v>
      </c>
      <c r="AP15" s="3">
        <v>1325.0319999999999</v>
      </c>
      <c r="AQ15" s="3">
        <f t="shared" si="2"/>
        <v>6978.7881100000004</v>
      </c>
      <c r="AS15" s="2">
        <v>1984</v>
      </c>
      <c r="AT15" s="4">
        <f t="shared" si="4"/>
        <v>0</v>
      </c>
      <c r="AU15" s="4">
        <f t="shared" si="5"/>
        <v>5.0151974022320613E-2</v>
      </c>
      <c r="AV15" s="4">
        <f t="shared" si="6"/>
        <v>2.4392057376850206E-2</v>
      </c>
      <c r="AW15" s="4">
        <f t="shared" si="7"/>
        <v>8.6165963276394697E-2</v>
      </c>
      <c r="AX15" s="4">
        <f t="shared" si="8"/>
        <v>0</v>
      </c>
      <c r="AY15" s="4">
        <f t="shared" si="9"/>
        <v>0.10105637094633038</v>
      </c>
      <c r="AZ15" s="4">
        <f t="shared" si="10"/>
        <v>9.1185316127902888E-4</v>
      </c>
      <c r="BA15" s="4">
        <f t="shared" si="11"/>
        <v>1.3846974356698158E-3</v>
      </c>
      <c r="BB15" s="4">
        <f t="shared" si="12"/>
        <v>1.2599795066711088E-3</v>
      </c>
      <c r="BC15" s="4">
        <f t="shared" si="13"/>
        <v>8.4354330683354131E-4</v>
      </c>
      <c r="BD15" s="4">
        <f t="shared" si="14"/>
        <v>9.5601555668954098E-4</v>
      </c>
      <c r="BE15" s="4">
        <f t="shared" si="15"/>
        <v>5.6600084968047554E-2</v>
      </c>
      <c r="BF15" s="4">
        <f t="shared" si="16"/>
        <v>0</v>
      </c>
      <c r="BG15" s="4">
        <f t="shared" si="17"/>
        <v>0</v>
      </c>
      <c r="BH15" s="4">
        <f t="shared" si="18"/>
        <v>0.11391662670784254</v>
      </c>
      <c r="BI15" s="4">
        <f t="shared" si="19"/>
        <v>0</v>
      </c>
      <c r="BJ15" s="4">
        <f t="shared" si="20"/>
        <v>0</v>
      </c>
      <c r="BK15" s="4">
        <f t="shared" si="21"/>
        <v>0</v>
      </c>
      <c r="BL15" s="4">
        <f t="shared" si="22"/>
        <v>0.1382761569472554</v>
      </c>
      <c r="BM15" s="4">
        <f t="shared" si="23"/>
        <v>4.7286146935330862E-2</v>
      </c>
      <c r="BN15" s="4">
        <f t="shared" si="24"/>
        <v>1.1893182411007459E-2</v>
      </c>
      <c r="BO15" s="4">
        <f t="shared" si="25"/>
        <v>1.0374308384038328E-2</v>
      </c>
      <c r="BP15" s="4">
        <f t="shared" si="26"/>
        <v>2.5666204099725847E-2</v>
      </c>
      <c r="BQ15" s="4">
        <f t="shared" si="27"/>
        <v>0.13899920512130293</v>
      </c>
      <c r="BR15" s="4">
        <f t="shared" si="28"/>
        <v>0.18986562983641006</v>
      </c>
      <c r="BS15" s="4">
        <f t="shared" si="29"/>
        <v>1</v>
      </c>
    </row>
    <row r="16" spans="1:71" ht="15" thickBot="1" x14ac:dyDescent="0.45">
      <c r="A16" s="51" t="s">
        <v>96</v>
      </c>
      <c r="B16" s="66">
        <f>SUM(B7:B15)</f>
        <v>1595.5317599999992</v>
      </c>
      <c r="C16" s="61">
        <f t="shared" si="0"/>
        <v>1</v>
      </c>
      <c r="D16" s="31">
        <f>SUM(D7:D15)</f>
        <v>371.91999999999996</v>
      </c>
      <c r="E16" s="61">
        <f t="shared" si="0"/>
        <v>1</v>
      </c>
      <c r="F16" s="31">
        <f>SUM(F7:F15)</f>
        <v>2411.7517599999992</v>
      </c>
      <c r="G16" s="61">
        <f t="shared" si="1"/>
        <v>1</v>
      </c>
      <c r="I16" s="14" t="s">
        <v>57</v>
      </c>
      <c r="J16" s="15" t="s">
        <v>41</v>
      </c>
      <c r="K16" s="16">
        <v>129</v>
      </c>
      <c r="M16" s="1" t="str">
        <v>G5</v>
      </c>
      <c r="N16" s="1" t="str">
        <v>F10</v>
      </c>
      <c r="O16" s="10">
        <v>0</v>
      </c>
      <c r="Q16" s="2">
        <v>1985</v>
      </c>
      <c r="R16" s="3">
        <v>0</v>
      </c>
      <c r="S16" s="3">
        <v>379.65600000000001</v>
      </c>
      <c r="T16" s="3">
        <v>340.53699999999998</v>
      </c>
      <c r="U16" s="3">
        <v>1613.65</v>
      </c>
      <c r="V16" s="3">
        <v>0</v>
      </c>
      <c r="W16" s="3">
        <v>414.49</v>
      </c>
      <c r="X16" s="3">
        <v>9.4708000000000006</v>
      </c>
      <c r="Y16" s="3">
        <v>32.0169</v>
      </c>
      <c r="Z16" s="3">
        <v>3.98061</v>
      </c>
      <c r="AA16" s="3">
        <v>9.17544</v>
      </c>
      <c r="AB16" s="3">
        <v>6.7818500000000004</v>
      </c>
      <c r="AC16" s="3">
        <v>735</v>
      </c>
      <c r="AD16" s="3">
        <v>0</v>
      </c>
      <c r="AE16" s="3">
        <v>0</v>
      </c>
      <c r="AF16" s="3">
        <v>773</v>
      </c>
      <c r="AG16" s="3">
        <v>0</v>
      </c>
      <c r="AH16" s="3">
        <v>0</v>
      </c>
      <c r="AI16" s="3">
        <v>0</v>
      </c>
      <c r="AJ16" s="3">
        <v>513</v>
      </c>
      <c r="AK16" s="3">
        <v>181</v>
      </c>
      <c r="AL16" s="3">
        <v>69</v>
      </c>
      <c r="AM16" s="3">
        <v>80.554100000000005</v>
      </c>
      <c r="AN16" s="3">
        <v>516.15200000000004</v>
      </c>
      <c r="AO16" s="3">
        <v>1244.527</v>
      </c>
      <c r="AP16" s="3">
        <v>2514.4229999999998</v>
      </c>
      <c r="AQ16" s="3">
        <f t="shared" si="2"/>
        <v>9436.4146999999994</v>
      </c>
      <c r="AS16" s="2">
        <v>1985</v>
      </c>
      <c r="AT16" s="4">
        <f t="shared" si="4"/>
        <v>0</v>
      </c>
      <c r="AU16" s="4">
        <f t="shared" si="5"/>
        <v>4.0233077081701381E-2</v>
      </c>
      <c r="AV16" s="4">
        <f t="shared" si="6"/>
        <v>3.6087540747864758E-2</v>
      </c>
      <c r="AW16" s="4">
        <f t="shared" si="7"/>
        <v>0.17100244651180921</v>
      </c>
      <c r="AX16" s="4">
        <f t="shared" si="8"/>
        <v>0</v>
      </c>
      <c r="AY16" s="4">
        <f t="shared" si="9"/>
        <v>4.3924521460465278E-2</v>
      </c>
      <c r="AZ16" s="4">
        <f t="shared" si="10"/>
        <v>1.0036438945397346E-3</v>
      </c>
      <c r="BA16" s="4">
        <f t="shared" si="11"/>
        <v>3.3929093853834126E-3</v>
      </c>
      <c r="BB16" s="4">
        <f t="shared" si="12"/>
        <v>4.2183500053256457E-4</v>
      </c>
      <c r="BC16" s="4">
        <f t="shared" si="13"/>
        <v>9.7234387123745216E-4</v>
      </c>
      <c r="BD16" s="4">
        <f t="shared" si="14"/>
        <v>7.1868927083079562E-4</v>
      </c>
      <c r="BE16" s="4">
        <f t="shared" si="15"/>
        <v>7.7889751920292363E-2</v>
      </c>
      <c r="BF16" s="4">
        <f t="shared" si="16"/>
        <v>0</v>
      </c>
      <c r="BG16" s="4">
        <f t="shared" si="17"/>
        <v>0</v>
      </c>
      <c r="BH16" s="4">
        <f t="shared" si="18"/>
        <v>8.1916705080797264E-2</v>
      </c>
      <c r="BI16" s="4">
        <f t="shared" si="19"/>
        <v>0</v>
      </c>
      <c r="BJ16" s="4">
        <f t="shared" si="20"/>
        <v>0</v>
      </c>
      <c r="BK16" s="4">
        <f t="shared" si="21"/>
        <v>0</v>
      </c>
      <c r="BL16" s="4">
        <f t="shared" si="22"/>
        <v>5.43638676668163E-2</v>
      </c>
      <c r="BM16" s="4">
        <f t="shared" si="23"/>
        <v>1.9181013738194443E-2</v>
      </c>
      <c r="BN16" s="4">
        <f t="shared" si="24"/>
        <v>7.3120991598641808E-3</v>
      </c>
      <c r="BO16" s="4">
        <f t="shared" si="25"/>
        <v>8.5365154628060172E-3</v>
      </c>
      <c r="BP16" s="4">
        <f t="shared" si="26"/>
        <v>5.4697892834235026E-2</v>
      </c>
      <c r="BQ16" s="4">
        <f t="shared" si="27"/>
        <v>0.13188557726272884</v>
      </c>
      <c r="BR16" s="4">
        <f t="shared" si="28"/>
        <v>0.26645956964990103</v>
      </c>
      <c r="BS16" s="4">
        <f t="shared" si="29"/>
        <v>1</v>
      </c>
    </row>
    <row r="17" spans="9:71" ht="15" thickBot="1" x14ac:dyDescent="0.45">
      <c r="I17" s="17" t="s">
        <v>57</v>
      </c>
      <c r="J17" s="18" t="s">
        <v>47</v>
      </c>
      <c r="K17" s="19">
        <v>119</v>
      </c>
      <c r="M17" s="1" t="str">
        <v>G5</v>
      </c>
      <c r="N17" s="1" t="str">
        <v>F11</v>
      </c>
      <c r="O17" s="9">
        <v>1.18136</v>
      </c>
      <c r="Q17" s="2">
        <v>1986</v>
      </c>
      <c r="R17" s="3">
        <v>0</v>
      </c>
      <c r="S17" s="3">
        <v>717.33799999999997</v>
      </c>
      <c r="T17" s="3">
        <v>663.84100000000001</v>
      </c>
      <c r="U17" s="3">
        <v>2119.54</v>
      </c>
      <c r="V17" s="3">
        <v>0</v>
      </c>
      <c r="W17" s="3">
        <v>613.77300000000002</v>
      </c>
      <c r="X17" s="3">
        <v>19.858499999999999</v>
      </c>
      <c r="Y17" s="3">
        <v>19.870699999999999</v>
      </c>
      <c r="Z17" s="3">
        <v>2.8467600000000002</v>
      </c>
      <c r="AA17" s="3">
        <v>17.973400000000002</v>
      </c>
      <c r="AB17" s="3">
        <v>4.9713700000000003</v>
      </c>
      <c r="AC17" s="3">
        <v>934</v>
      </c>
      <c r="AD17" s="3">
        <v>0</v>
      </c>
      <c r="AE17" s="3">
        <v>0</v>
      </c>
      <c r="AF17" s="3">
        <v>625</v>
      </c>
      <c r="AG17" s="3">
        <v>0</v>
      </c>
      <c r="AH17" s="3">
        <v>0</v>
      </c>
      <c r="AI17" s="3">
        <v>0</v>
      </c>
      <c r="AJ17" s="3">
        <v>179</v>
      </c>
      <c r="AK17" s="3">
        <v>148</v>
      </c>
      <c r="AL17" s="3">
        <v>74</v>
      </c>
      <c r="AM17" s="3">
        <v>62.365900000000003</v>
      </c>
      <c r="AN17" s="3">
        <v>307.13299999999998</v>
      </c>
      <c r="AO17" s="3">
        <v>1247.5940000000001</v>
      </c>
      <c r="AP17" s="3">
        <v>2375.2485999999999</v>
      </c>
      <c r="AQ17" s="3">
        <f t="shared" si="2"/>
        <v>10132.354230000001</v>
      </c>
      <c r="AS17" s="2">
        <v>1986</v>
      </c>
      <c r="AT17" s="4">
        <f t="shared" si="4"/>
        <v>0</v>
      </c>
      <c r="AU17" s="4">
        <f t="shared" si="5"/>
        <v>7.0796774739289775E-2</v>
      </c>
      <c r="AV17" s="4">
        <f t="shared" si="6"/>
        <v>6.5516955381849096E-2</v>
      </c>
      <c r="AW17" s="4">
        <f t="shared" si="7"/>
        <v>0.20918534349346368</v>
      </c>
      <c r="AX17" s="4">
        <f t="shared" si="8"/>
        <v>0</v>
      </c>
      <c r="AY17" s="4">
        <f t="shared" si="9"/>
        <v>6.0575556881216533E-2</v>
      </c>
      <c r="AZ17" s="4">
        <f t="shared" si="10"/>
        <v>1.9599097652155412E-3</v>
      </c>
      <c r="BA17" s="4">
        <f t="shared" si="11"/>
        <v>1.9611138289230535E-3</v>
      </c>
      <c r="BB17" s="4">
        <f t="shared" si="12"/>
        <v>2.8095740983583831E-4</v>
      </c>
      <c r="BC17" s="4">
        <f t="shared" si="13"/>
        <v>1.7738621836556143E-3</v>
      </c>
      <c r="BD17" s="4">
        <f t="shared" si="14"/>
        <v>4.9064313062414521E-4</v>
      </c>
      <c r="BE17" s="4">
        <f t="shared" si="15"/>
        <v>9.2179959247240012E-2</v>
      </c>
      <c r="BF17" s="4">
        <f t="shared" si="16"/>
        <v>0</v>
      </c>
      <c r="BG17" s="4">
        <f t="shared" si="17"/>
        <v>0</v>
      </c>
      <c r="BH17" s="4">
        <f t="shared" si="18"/>
        <v>6.1683591573367245E-2</v>
      </c>
      <c r="BI17" s="4">
        <f t="shared" si="19"/>
        <v>0</v>
      </c>
      <c r="BJ17" s="4">
        <f t="shared" si="20"/>
        <v>0</v>
      </c>
      <c r="BK17" s="4">
        <f t="shared" si="21"/>
        <v>0</v>
      </c>
      <c r="BL17" s="4">
        <f t="shared" si="22"/>
        <v>1.766618062661238E-2</v>
      </c>
      <c r="BM17" s="4">
        <f t="shared" si="23"/>
        <v>1.4606674484573364E-2</v>
      </c>
      <c r="BN17" s="4">
        <f t="shared" si="24"/>
        <v>7.3033372422866821E-3</v>
      </c>
      <c r="BO17" s="4">
        <f t="shared" si="25"/>
        <v>6.1551243259287429E-3</v>
      </c>
      <c r="BP17" s="4">
        <f t="shared" si="26"/>
        <v>3.0312106449124802E-2</v>
      </c>
      <c r="BQ17" s="4">
        <f t="shared" si="27"/>
        <v>0.12312972599261365</v>
      </c>
      <c r="BR17" s="4">
        <f t="shared" si="28"/>
        <v>0.23442218324417974</v>
      </c>
      <c r="BS17" s="4">
        <f t="shared" si="29"/>
        <v>1</v>
      </c>
    </row>
    <row r="18" spans="9:71" x14ac:dyDescent="0.4">
      <c r="I18" s="11" t="s">
        <v>58</v>
      </c>
      <c r="J18" s="12" t="s">
        <v>31</v>
      </c>
      <c r="K18" s="13">
        <v>62.1096</v>
      </c>
      <c r="M18" s="1" t="str">
        <v>G3</v>
      </c>
      <c r="N18" s="1" t="str">
        <v>F12</v>
      </c>
      <c r="O18" s="9">
        <v>221.6</v>
      </c>
      <c r="Q18" s="2">
        <v>1987</v>
      </c>
      <c r="R18" s="3">
        <v>0</v>
      </c>
      <c r="S18" s="3">
        <v>337.93799999999999</v>
      </c>
      <c r="T18" s="3">
        <v>306.53899999999999</v>
      </c>
      <c r="U18" s="3">
        <v>1099.98</v>
      </c>
      <c r="V18" s="3">
        <v>0</v>
      </c>
      <c r="W18" s="3">
        <v>612.745</v>
      </c>
      <c r="X18" s="3">
        <v>6.6724199999999998</v>
      </c>
      <c r="Y18" s="3">
        <v>24.940999999999999</v>
      </c>
      <c r="Z18" s="3">
        <v>7.9670199999999998</v>
      </c>
      <c r="AA18" s="3">
        <v>42.311300000000003</v>
      </c>
      <c r="AB18" s="3">
        <v>4.2311300000000003</v>
      </c>
      <c r="AC18" s="3">
        <v>1193</v>
      </c>
      <c r="AD18" s="3">
        <v>0</v>
      </c>
      <c r="AE18" s="3">
        <v>0</v>
      </c>
      <c r="AF18" s="3">
        <v>545</v>
      </c>
      <c r="AG18" s="3">
        <v>276.68</v>
      </c>
      <c r="AH18" s="3">
        <v>31</v>
      </c>
      <c r="AI18" s="3">
        <v>31</v>
      </c>
      <c r="AJ18" s="3">
        <v>383</v>
      </c>
      <c r="AK18" s="3">
        <v>151</v>
      </c>
      <c r="AL18" s="3">
        <v>148</v>
      </c>
      <c r="AM18" s="3">
        <v>63.615600000000001</v>
      </c>
      <c r="AN18" s="3">
        <v>218.29599999999999</v>
      </c>
      <c r="AO18" s="3">
        <v>506.974999999999</v>
      </c>
      <c r="AP18" s="3">
        <v>2124.8519999999999</v>
      </c>
      <c r="AQ18" s="3">
        <f t="shared" si="2"/>
        <v>8115.7434699999985</v>
      </c>
      <c r="AS18" s="2">
        <v>1987</v>
      </c>
      <c r="AT18" s="4">
        <f t="shared" si="4"/>
        <v>0</v>
      </c>
      <c r="AU18" s="4">
        <f t="shared" si="5"/>
        <v>4.1639808016258065E-2</v>
      </c>
      <c r="AV18" s="4">
        <f t="shared" si="6"/>
        <v>3.7770908005301952E-2</v>
      </c>
      <c r="AW18" s="4">
        <f t="shared" si="7"/>
        <v>0.13553656594323085</v>
      </c>
      <c r="AX18" s="4">
        <f t="shared" si="8"/>
        <v>0</v>
      </c>
      <c r="AY18" s="4">
        <f t="shared" si="9"/>
        <v>7.5500784649616348E-2</v>
      </c>
      <c r="AZ18" s="4">
        <f t="shared" si="10"/>
        <v>8.2215757862045896E-4</v>
      </c>
      <c r="BA18" s="4">
        <f t="shared" si="11"/>
        <v>3.0731626858580344E-3</v>
      </c>
      <c r="BB18" s="4">
        <f t="shared" si="12"/>
        <v>9.8167469554086349E-4</v>
      </c>
      <c r="BC18" s="4">
        <f t="shared" si="13"/>
        <v>5.2134841566154151E-3</v>
      </c>
      <c r="BD18" s="4">
        <f t="shared" si="14"/>
        <v>5.2134841566154146E-4</v>
      </c>
      <c r="BE18" s="4">
        <f t="shared" si="15"/>
        <v>0.14699823921368971</v>
      </c>
      <c r="BF18" s="4">
        <f t="shared" si="16"/>
        <v>0</v>
      </c>
      <c r="BG18" s="4">
        <f t="shared" si="17"/>
        <v>0</v>
      </c>
      <c r="BH18" s="4">
        <f t="shared" si="18"/>
        <v>6.7153428643303342E-2</v>
      </c>
      <c r="BI18" s="4">
        <f t="shared" si="19"/>
        <v>3.4091762636750775E-2</v>
      </c>
      <c r="BJ18" s="4">
        <f t="shared" si="20"/>
        <v>3.8197363081511997E-3</v>
      </c>
      <c r="BK18" s="4">
        <f t="shared" si="21"/>
        <v>3.8197363081511997E-3</v>
      </c>
      <c r="BL18" s="4">
        <f t="shared" si="22"/>
        <v>4.7192226000706758E-2</v>
      </c>
      <c r="BM18" s="4">
        <f t="shared" si="23"/>
        <v>1.8605812339704229E-2</v>
      </c>
      <c r="BN18" s="4">
        <f t="shared" si="24"/>
        <v>1.8236160438915405E-2</v>
      </c>
      <c r="BO18" s="4">
        <f t="shared" si="25"/>
        <v>7.8385424866072081E-3</v>
      </c>
      <c r="BP18" s="4">
        <f t="shared" si="26"/>
        <v>2.6897843778199169E-2</v>
      </c>
      <c r="BQ18" s="4">
        <f t="shared" si="27"/>
        <v>6.2468090800804857E-2</v>
      </c>
      <c r="BR18" s="4">
        <f t="shared" si="28"/>
        <v>0.26181852689831264</v>
      </c>
      <c r="BS18" s="4">
        <f t="shared" si="29"/>
        <v>1</v>
      </c>
    </row>
    <row r="19" spans="9:71" x14ac:dyDescent="0.4">
      <c r="I19" s="14" t="s">
        <v>58</v>
      </c>
      <c r="J19" s="15" t="s">
        <v>35</v>
      </c>
      <c r="K19" s="16">
        <v>1.63446</v>
      </c>
      <c r="M19" s="1" t="str">
        <v>G6</v>
      </c>
      <c r="N19" s="1" t="str">
        <v>F13</v>
      </c>
      <c r="O19" s="9">
        <v>93.68</v>
      </c>
      <c r="Q19" s="2">
        <v>1988</v>
      </c>
      <c r="R19" s="3">
        <v>0</v>
      </c>
      <c r="S19" s="3">
        <v>371.57799999999997</v>
      </c>
      <c r="T19" s="3">
        <v>1058.72</v>
      </c>
      <c r="U19" s="3">
        <v>1860.22</v>
      </c>
      <c r="V19" s="3">
        <v>0</v>
      </c>
      <c r="W19" s="3">
        <v>915.15300000000002</v>
      </c>
      <c r="X19" s="3">
        <v>5.5223899999999997</v>
      </c>
      <c r="Y19" s="3">
        <v>13.7064</v>
      </c>
      <c r="Z19" s="3">
        <v>4.4377000000000004</v>
      </c>
      <c r="AA19" s="3">
        <v>79.228999999999999</v>
      </c>
      <c r="AB19" s="3">
        <v>1.5309999999999999</v>
      </c>
      <c r="AC19" s="3">
        <v>759</v>
      </c>
      <c r="AD19" s="3">
        <v>0</v>
      </c>
      <c r="AE19" s="3">
        <v>0</v>
      </c>
      <c r="AF19" s="3">
        <v>722</v>
      </c>
      <c r="AG19" s="3">
        <v>482.57</v>
      </c>
      <c r="AH19" s="3">
        <v>55</v>
      </c>
      <c r="AI19" s="3">
        <v>7</v>
      </c>
      <c r="AJ19" s="3">
        <v>457</v>
      </c>
      <c r="AK19" s="3">
        <v>169</v>
      </c>
      <c r="AL19" s="3">
        <v>127</v>
      </c>
      <c r="AM19" s="3">
        <v>119.512</v>
      </c>
      <c r="AN19" s="3">
        <v>439.96600000000001</v>
      </c>
      <c r="AO19" s="3">
        <v>873.96299999999997</v>
      </c>
      <c r="AP19" s="3">
        <v>2389.9589999999998</v>
      </c>
      <c r="AQ19" s="3">
        <f t="shared" si="2"/>
        <v>10912.067490000001</v>
      </c>
      <c r="AS19" s="2">
        <v>1988</v>
      </c>
      <c r="AT19" s="4">
        <f t="shared" si="4"/>
        <v>0</v>
      </c>
      <c r="AU19" s="4">
        <f t="shared" si="5"/>
        <v>3.4052025460850587E-2</v>
      </c>
      <c r="AV19" s="4">
        <f t="shared" si="6"/>
        <v>9.7022860330567839E-2</v>
      </c>
      <c r="AW19" s="4">
        <f t="shared" si="7"/>
        <v>0.17047365237657633</v>
      </c>
      <c r="AX19" s="4">
        <f t="shared" si="8"/>
        <v>0</v>
      </c>
      <c r="AY19" s="4">
        <f t="shared" si="9"/>
        <v>8.3866141850631085E-2</v>
      </c>
      <c r="AZ19" s="4">
        <f t="shared" si="10"/>
        <v>5.0608099748840525E-4</v>
      </c>
      <c r="BA19" s="4">
        <f t="shared" si="11"/>
        <v>1.2560772752332014E-3</v>
      </c>
      <c r="BB19" s="4">
        <f t="shared" si="12"/>
        <v>4.0667820319722012E-4</v>
      </c>
      <c r="BC19" s="4">
        <f t="shared" si="13"/>
        <v>7.2606772339528476E-3</v>
      </c>
      <c r="BD19" s="4">
        <f t="shared" si="14"/>
        <v>1.4030338443223831E-4</v>
      </c>
      <c r="BE19" s="4">
        <f t="shared" si="15"/>
        <v>6.9556021413500244E-2</v>
      </c>
      <c r="BF19" s="4">
        <f t="shared" si="16"/>
        <v>0</v>
      </c>
      <c r="BG19" s="4">
        <f t="shared" si="17"/>
        <v>0</v>
      </c>
      <c r="BH19" s="4">
        <f t="shared" si="18"/>
        <v>6.616527992166954E-2</v>
      </c>
      <c r="BI19" s="4">
        <f t="shared" si="19"/>
        <v>4.4223516803047189E-2</v>
      </c>
      <c r="BJ19" s="4">
        <f t="shared" si="20"/>
        <v>5.0402914067753804E-3</v>
      </c>
      <c r="BK19" s="4">
        <f t="shared" si="21"/>
        <v>6.4149163358959388E-4</v>
      </c>
      <c r="BL19" s="4">
        <f t="shared" si="22"/>
        <v>4.1880239507206339E-2</v>
      </c>
      <c r="BM19" s="4">
        <f t="shared" si="23"/>
        <v>1.5487440868091623E-2</v>
      </c>
      <c r="BN19" s="4">
        <f t="shared" si="24"/>
        <v>1.163849106655406E-2</v>
      </c>
      <c r="BO19" s="4">
        <f t="shared" si="25"/>
        <v>1.0952278301937077E-2</v>
      </c>
      <c r="BP19" s="4">
        <f t="shared" si="26"/>
        <v>4.0319215437697037E-2</v>
      </c>
      <c r="BQ19" s="4">
        <f t="shared" si="27"/>
        <v>8.009142179526603E-2</v>
      </c>
      <c r="BR19" s="4">
        <f t="shared" si="28"/>
        <v>0.21901981473173601</v>
      </c>
      <c r="BS19" s="4">
        <f t="shared" si="29"/>
        <v>1</v>
      </c>
    </row>
    <row r="20" spans="9:71" x14ac:dyDescent="0.4">
      <c r="I20" s="14" t="s">
        <v>58</v>
      </c>
      <c r="J20" s="15" t="s">
        <v>49</v>
      </c>
      <c r="K20" s="16">
        <v>0</v>
      </c>
      <c r="M20" s="1" t="str">
        <v>G7</v>
      </c>
      <c r="N20" s="1" t="str">
        <v>F14</v>
      </c>
      <c r="O20" s="9">
        <v>147.32999999999899</v>
      </c>
      <c r="Q20" s="2">
        <v>1989</v>
      </c>
      <c r="R20" s="3">
        <v>0</v>
      </c>
      <c r="S20" s="3">
        <v>311.73599999999999</v>
      </c>
      <c r="T20" s="3">
        <v>578.25199999999995</v>
      </c>
      <c r="U20" s="3">
        <v>1297.6300000000001</v>
      </c>
      <c r="V20" s="3">
        <v>0</v>
      </c>
      <c r="W20" s="3">
        <v>472.05</v>
      </c>
      <c r="X20" s="3">
        <v>5.6024399999999996</v>
      </c>
      <c r="Y20" s="3">
        <v>14.104699999999999</v>
      </c>
      <c r="Z20" s="3">
        <v>3.2663099999999998</v>
      </c>
      <c r="AA20" s="3">
        <v>65.245800000000003</v>
      </c>
      <c r="AB20" s="3">
        <v>3.9304700000000001</v>
      </c>
      <c r="AC20" s="3">
        <v>1094</v>
      </c>
      <c r="AD20" s="3">
        <v>0</v>
      </c>
      <c r="AE20" s="3">
        <v>0</v>
      </c>
      <c r="AF20" s="3">
        <v>639</v>
      </c>
      <c r="AG20" s="3">
        <v>586.84</v>
      </c>
      <c r="AH20" s="3">
        <v>24</v>
      </c>
      <c r="AI20" s="3">
        <v>6</v>
      </c>
      <c r="AJ20" s="3">
        <v>184</v>
      </c>
      <c r="AK20" s="3">
        <v>157</v>
      </c>
      <c r="AL20" s="3">
        <v>109</v>
      </c>
      <c r="AM20" s="3">
        <v>66.392200000000003</v>
      </c>
      <c r="AN20" s="3">
        <v>282.209</v>
      </c>
      <c r="AO20" s="3">
        <v>756.55</v>
      </c>
      <c r="AP20" s="3">
        <v>1745.54</v>
      </c>
      <c r="AQ20" s="3">
        <f t="shared" si="2"/>
        <v>8402.3489200000004</v>
      </c>
      <c r="AS20" s="2">
        <v>1989</v>
      </c>
      <c r="AT20" s="4">
        <f t="shared" si="4"/>
        <v>0</v>
      </c>
      <c r="AU20" s="4">
        <f t="shared" si="5"/>
        <v>3.7101053880061907E-2</v>
      </c>
      <c r="AV20" s="4">
        <f t="shared" si="6"/>
        <v>6.8820279365403927E-2</v>
      </c>
      <c r="AW20" s="4">
        <f t="shared" si="7"/>
        <v>0.15443657629014532</v>
      </c>
      <c r="AX20" s="4">
        <f t="shared" si="8"/>
        <v>0</v>
      </c>
      <c r="AY20" s="4">
        <f t="shared" si="9"/>
        <v>5.618071856982583E-2</v>
      </c>
      <c r="AZ20" s="4">
        <f t="shared" si="10"/>
        <v>6.6677069154609677E-4</v>
      </c>
      <c r="BA20" s="4">
        <f t="shared" si="11"/>
        <v>1.6786615426582403E-3</v>
      </c>
      <c r="BB20" s="4">
        <f t="shared" si="12"/>
        <v>3.8873772454572138E-4</v>
      </c>
      <c r="BC20" s="4">
        <f t="shared" si="13"/>
        <v>7.76518573808525E-3</v>
      </c>
      <c r="BD20" s="4">
        <f t="shared" si="14"/>
        <v>4.6778228771770646E-4</v>
      </c>
      <c r="BE20" s="4">
        <f t="shared" si="15"/>
        <v>0.1302016865064918</v>
      </c>
      <c r="BF20" s="4">
        <f t="shared" si="16"/>
        <v>0</v>
      </c>
      <c r="BG20" s="4">
        <f t="shared" si="17"/>
        <v>0</v>
      </c>
      <c r="BH20" s="4">
        <f t="shared" si="18"/>
        <v>7.6050162411013034E-2</v>
      </c>
      <c r="BI20" s="4">
        <f t="shared" si="19"/>
        <v>6.9842374505913754E-2</v>
      </c>
      <c r="BJ20" s="4">
        <f t="shared" si="20"/>
        <v>2.8563441281131657E-3</v>
      </c>
      <c r="BK20" s="4">
        <f t="shared" si="21"/>
        <v>7.1408603202829143E-4</v>
      </c>
      <c r="BL20" s="4">
        <f t="shared" si="22"/>
        <v>2.189863831553427E-2</v>
      </c>
      <c r="BM20" s="4">
        <f t="shared" si="23"/>
        <v>1.8685251171406958E-2</v>
      </c>
      <c r="BN20" s="4">
        <f t="shared" si="24"/>
        <v>1.2972562915180627E-2</v>
      </c>
      <c r="BO20" s="4">
        <f t="shared" si="25"/>
        <v>7.901623775938121E-3</v>
      </c>
      <c r="BP20" s="4">
        <f t="shared" si="26"/>
        <v>3.3586917502112013E-2</v>
      </c>
      <c r="BQ20" s="4">
        <f t="shared" si="27"/>
        <v>9.0040297921833976E-2</v>
      </c>
      <c r="BR20" s="4">
        <f t="shared" si="28"/>
        <v>0.20774428872444395</v>
      </c>
      <c r="BS20" s="4">
        <f t="shared" si="29"/>
        <v>1</v>
      </c>
    </row>
    <row r="21" spans="9:71" ht="15" thickBot="1" x14ac:dyDescent="0.45">
      <c r="I21" s="17" t="s">
        <v>58</v>
      </c>
      <c r="J21" s="18" t="s">
        <v>51</v>
      </c>
      <c r="K21" s="19">
        <v>0</v>
      </c>
      <c r="M21" s="1" t="str">
        <v>G3</v>
      </c>
      <c r="N21" s="1" t="str">
        <v>F15</v>
      </c>
      <c r="O21" s="9">
        <v>129</v>
      </c>
      <c r="Q21" s="2">
        <v>1990</v>
      </c>
      <c r="R21" s="3">
        <v>0</v>
      </c>
      <c r="S21" s="3">
        <v>192.893</v>
      </c>
      <c r="T21" s="3">
        <v>386.59399999999999</v>
      </c>
      <c r="U21" s="3">
        <v>754.59100000000001</v>
      </c>
      <c r="V21" s="3">
        <v>0</v>
      </c>
      <c r="W21" s="3">
        <v>295.23399999999998</v>
      </c>
      <c r="X21" s="3">
        <v>1.61755</v>
      </c>
      <c r="Y21" s="3">
        <v>7.5459100000000001</v>
      </c>
      <c r="Z21" s="3">
        <v>7.7337899999999999</v>
      </c>
      <c r="AA21" s="3">
        <v>22.9497</v>
      </c>
      <c r="AB21" s="3">
        <v>5.4456899999999999</v>
      </c>
      <c r="AC21" s="3">
        <v>1128</v>
      </c>
      <c r="AD21" s="3">
        <v>0</v>
      </c>
      <c r="AE21" s="3">
        <v>0</v>
      </c>
      <c r="AF21" s="3">
        <v>564</v>
      </c>
      <c r="AG21" s="3">
        <v>483.69</v>
      </c>
      <c r="AH21" s="3">
        <v>27</v>
      </c>
      <c r="AI21" s="3">
        <v>2</v>
      </c>
      <c r="AJ21" s="3">
        <v>137</v>
      </c>
      <c r="AK21" s="3">
        <v>256</v>
      </c>
      <c r="AL21" s="3">
        <v>43</v>
      </c>
      <c r="AM21" s="3">
        <v>69.875299999999996</v>
      </c>
      <c r="AN21" s="3">
        <v>198.82300000000001</v>
      </c>
      <c r="AO21" s="3">
        <v>1293.7829999999999</v>
      </c>
      <c r="AP21" s="3">
        <v>946.77700000000004</v>
      </c>
      <c r="AQ21" s="3">
        <f t="shared" si="2"/>
        <v>6824.5529399999996</v>
      </c>
      <c r="AS21" s="2">
        <v>1990</v>
      </c>
      <c r="AT21" s="4">
        <f t="shared" si="4"/>
        <v>0</v>
      </c>
      <c r="AU21" s="4">
        <f t="shared" si="5"/>
        <v>2.8264562044704428E-2</v>
      </c>
      <c r="AV21" s="4">
        <f t="shared" si="6"/>
        <v>5.6647520123127661E-2</v>
      </c>
      <c r="AW21" s="4">
        <f t="shared" si="7"/>
        <v>0.11057002658404172</v>
      </c>
      <c r="AX21" s="4">
        <f t="shared" si="8"/>
        <v>0</v>
      </c>
      <c r="AY21" s="4">
        <f t="shared" si="9"/>
        <v>4.3260562647199567E-2</v>
      </c>
      <c r="AZ21" s="4">
        <f t="shared" si="10"/>
        <v>2.3701918854189446E-4</v>
      </c>
      <c r="BA21" s="4">
        <f t="shared" si="11"/>
        <v>1.1057002658404172E-3</v>
      </c>
      <c r="BB21" s="4">
        <f t="shared" si="12"/>
        <v>1.1332302742749331E-3</v>
      </c>
      <c r="BC21" s="4">
        <f t="shared" si="13"/>
        <v>3.362813681975775E-3</v>
      </c>
      <c r="BD21" s="4">
        <f t="shared" si="14"/>
        <v>7.9795556542345473E-4</v>
      </c>
      <c r="BE21" s="4">
        <f t="shared" si="15"/>
        <v>0.16528555202328024</v>
      </c>
      <c r="BF21" s="4">
        <f t="shared" si="16"/>
        <v>0</v>
      </c>
      <c r="BG21" s="4">
        <f t="shared" si="17"/>
        <v>0</v>
      </c>
      <c r="BH21" s="4">
        <f t="shared" si="18"/>
        <v>8.2642776011640121E-2</v>
      </c>
      <c r="BI21" s="4">
        <f t="shared" si="19"/>
        <v>7.087497221466349E-2</v>
      </c>
      <c r="BJ21" s="4">
        <f t="shared" si="20"/>
        <v>3.9563031069402184E-3</v>
      </c>
      <c r="BK21" s="4">
        <f t="shared" si="21"/>
        <v>2.9305948940297916E-4</v>
      </c>
      <c r="BL21" s="4">
        <f t="shared" si="22"/>
        <v>2.007457502410407E-2</v>
      </c>
      <c r="BM21" s="4">
        <f t="shared" si="23"/>
        <v>3.7511614643581333E-2</v>
      </c>
      <c r="BN21" s="4">
        <f t="shared" si="24"/>
        <v>6.3007790221640513E-3</v>
      </c>
      <c r="BO21" s="4">
        <f t="shared" si="25"/>
        <v>1.0238809869939993E-2</v>
      </c>
      <c r="BP21" s="4">
        <f t="shared" si="26"/>
        <v>2.9133483430784261E-2</v>
      </c>
      <c r="BQ21" s="4">
        <f t="shared" si="27"/>
        <v>0.18957769268912728</v>
      </c>
      <c r="BR21" s="4">
        <f t="shared" si="28"/>
        <v>0.1387309920992422</v>
      </c>
      <c r="BS21" s="4">
        <f t="shared" si="29"/>
        <v>1</v>
      </c>
    </row>
    <row r="22" spans="9:71" x14ac:dyDescent="0.4">
      <c r="I22" s="11" t="s">
        <v>59</v>
      </c>
      <c r="J22" s="12" t="s">
        <v>32</v>
      </c>
      <c r="K22" s="13">
        <v>208.31200000000001</v>
      </c>
      <c r="M22" s="1" t="str">
        <v>G8</v>
      </c>
      <c r="N22" s="1" t="str">
        <v>F16</v>
      </c>
      <c r="O22" s="9">
        <v>319.3</v>
      </c>
      <c r="Q22" s="2">
        <v>1991</v>
      </c>
      <c r="R22" s="3">
        <v>0</v>
      </c>
      <c r="S22" s="3">
        <v>270.185</v>
      </c>
      <c r="T22" s="3">
        <v>557.00800000000004</v>
      </c>
      <c r="U22" s="3">
        <v>1039.1099999999999</v>
      </c>
      <c r="V22" s="3">
        <v>0</v>
      </c>
      <c r="W22" s="3">
        <v>473.84100000000001</v>
      </c>
      <c r="X22" s="3">
        <v>4.7539800000000003</v>
      </c>
      <c r="Y22" s="3">
        <v>9.0808800000000005</v>
      </c>
      <c r="Z22" s="3">
        <v>15.8592</v>
      </c>
      <c r="AA22" s="3">
        <v>11.1266</v>
      </c>
      <c r="AB22" s="3">
        <v>1.91839</v>
      </c>
      <c r="AC22" s="3">
        <v>1200</v>
      </c>
      <c r="AD22" s="3">
        <v>0</v>
      </c>
      <c r="AE22" s="3">
        <v>0</v>
      </c>
      <c r="AF22" s="3">
        <v>534</v>
      </c>
      <c r="AG22" s="3">
        <v>549.86</v>
      </c>
      <c r="AH22" s="3">
        <v>40</v>
      </c>
      <c r="AI22" s="3">
        <v>36</v>
      </c>
      <c r="AJ22" s="3">
        <v>254</v>
      </c>
      <c r="AK22" s="3">
        <v>286</v>
      </c>
      <c r="AL22" s="3">
        <v>24</v>
      </c>
      <c r="AM22" s="3">
        <v>31.690200000000001</v>
      </c>
      <c r="AN22" s="3">
        <v>243.59700000000001</v>
      </c>
      <c r="AO22" s="3">
        <v>999.86199999999997</v>
      </c>
      <c r="AP22" s="3">
        <v>713.43899999999996</v>
      </c>
      <c r="AQ22" s="3">
        <f t="shared" si="2"/>
        <v>7295.3312499999993</v>
      </c>
      <c r="AS22" s="2">
        <v>1991</v>
      </c>
      <c r="AT22" s="4">
        <f t="shared" si="4"/>
        <v>0</v>
      </c>
      <c r="AU22" s="4">
        <f t="shared" si="5"/>
        <v>3.7035329958458027E-2</v>
      </c>
      <c r="AV22" s="4">
        <f t="shared" si="6"/>
        <v>7.6351296591227455E-2</v>
      </c>
      <c r="AW22" s="4">
        <f t="shared" si="7"/>
        <v>0.14243493055918469</v>
      </c>
      <c r="AX22" s="4">
        <f t="shared" si="8"/>
        <v>0</v>
      </c>
      <c r="AY22" s="4">
        <f t="shared" si="9"/>
        <v>6.4951265920927176E-2</v>
      </c>
      <c r="AZ22" s="4">
        <f t="shared" si="10"/>
        <v>6.5164690088609768E-4</v>
      </c>
      <c r="BA22" s="4">
        <f t="shared" si="11"/>
        <v>1.2447522516540975E-3</v>
      </c>
      <c r="BB22" s="4">
        <f t="shared" si="12"/>
        <v>2.1738834682797988E-3</v>
      </c>
      <c r="BC22" s="4">
        <f t="shared" si="13"/>
        <v>1.525167208822766E-3</v>
      </c>
      <c r="BD22" s="4">
        <f t="shared" si="14"/>
        <v>2.6296132886357974E-4</v>
      </c>
      <c r="BE22" s="4">
        <f t="shared" si="15"/>
        <v>0.16448876121971845</v>
      </c>
      <c r="BF22" s="4">
        <f t="shared" si="16"/>
        <v>0</v>
      </c>
      <c r="BG22" s="4">
        <f t="shared" si="17"/>
        <v>0</v>
      </c>
      <c r="BH22" s="4">
        <f t="shared" si="18"/>
        <v>7.3197498742774716E-2</v>
      </c>
      <c r="BI22" s="4">
        <f t="shared" si="19"/>
        <v>7.5371491870228652E-2</v>
      </c>
      <c r="BJ22" s="4">
        <f t="shared" si="20"/>
        <v>5.4829587073239481E-3</v>
      </c>
      <c r="BK22" s="4">
        <f t="shared" si="21"/>
        <v>4.9346628365915532E-3</v>
      </c>
      <c r="BL22" s="4">
        <f t="shared" si="22"/>
        <v>3.481678779150707E-2</v>
      </c>
      <c r="BM22" s="4">
        <f t="shared" si="23"/>
        <v>3.9203154757366229E-2</v>
      </c>
      <c r="BN22" s="4">
        <f t="shared" si="24"/>
        <v>3.289775224394369E-3</v>
      </c>
      <c r="BO22" s="4">
        <f t="shared" si="25"/>
        <v>4.3439014506709344E-3</v>
      </c>
      <c r="BP22" s="4">
        <f t="shared" si="26"/>
        <v>3.33908073056998E-2</v>
      </c>
      <c r="BQ22" s="4">
        <f t="shared" si="27"/>
        <v>0.13705505147555844</v>
      </c>
      <c r="BR22" s="4">
        <f t="shared" si="28"/>
        <v>9.7793914429862253E-2</v>
      </c>
      <c r="BS22" s="4">
        <f t="shared" si="29"/>
        <v>1</v>
      </c>
    </row>
    <row r="23" spans="9:71" x14ac:dyDescent="0.4">
      <c r="I23" s="14" t="s">
        <v>59</v>
      </c>
      <c r="J23" s="15" t="s">
        <v>36</v>
      </c>
      <c r="K23" s="16">
        <v>0</v>
      </c>
      <c r="M23" s="1" t="str">
        <v>G8</v>
      </c>
      <c r="N23" s="1" t="str">
        <v>F17</v>
      </c>
      <c r="O23" s="9">
        <v>6</v>
      </c>
      <c r="Q23" s="2">
        <v>1992</v>
      </c>
      <c r="R23" s="3">
        <v>0</v>
      </c>
      <c r="S23" s="3">
        <v>175.179</v>
      </c>
      <c r="T23" s="3">
        <v>458.06599999999997</v>
      </c>
      <c r="U23" s="3">
        <v>1070.43</v>
      </c>
      <c r="V23" s="3">
        <v>0</v>
      </c>
      <c r="W23" s="3">
        <v>353.67</v>
      </c>
      <c r="X23" s="3">
        <v>8.5353999999999992</v>
      </c>
      <c r="Y23" s="3">
        <v>17.666799999999999</v>
      </c>
      <c r="Z23" s="3">
        <v>24.520900000000001</v>
      </c>
      <c r="AA23" s="3">
        <v>64.523700000000005</v>
      </c>
      <c r="AB23" s="3">
        <v>5.6458199999999996</v>
      </c>
      <c r="AC23" s="3">
        <v>1257</v>
      </c>
      <c r="AD23" s="3">
        <v>0</v>
      </c>
      <c r="AE23" s="3">
        <v>0</v>
      </c>
      <c r="AF23" s="3">
        <v>338</v>
      </c>
      <c r="AG23" s="3">
        <v>545.41999999999996</v>
      </c>
      <c r="AH23" s="3">
        <v>39</v>
      </c>
      <c r="AI23" s="3">
        <v>1</v>
      </c>
      <c r="AJ23" s="3">
        <v>219</v>
      </c>
      <c r="AK23" s="3">
        <v>197</v>
      </c>
      <c r="AL23" s="3">
        <v>70</v>
      </c>
      <c r="AM23" s="3">
        <v>36.595799999999997</v>
      </c>
      <c r="AN23" s="3">
        <v>289.88400000000001</v>
      </c>
      <c r="AO23" s="3">
        <v>764.58499999999901</v>
      </c>
      <c r="AP23" s="3">
        <v>806.02</v>
      </c>
      <c r="AQ23" s="3">
        <f t="shared" si="2"/>
        <v>6741.7424200000005</v>
      </c>
      <c r="AS23" s="2">
        <v>1992</v>
      </c>
      <c r="AT23" s="4">
        <f t="shared" si="4"/>
        <v>0</v>
      </c>
      <c r="AU23" s="4">
        <f t="shared" si="5"/>
        <v>2.5984232129711057E-2</v>
      </c>
      <c r="AV23" s="4">
        <f t="shared" si="6"/>
        <v>6.7944749511803501E-2</v>
      </c>
      <c r="AW23" s="4">
        <f t="shared" si="7"/>
        <v>0.15877646064086798</v>
      </c>
      <c r="AX23" s="4">
        <f t="shared" si="8"/>
        <v>0</v>
      </c>
      <c r="AY23" s="4">
        <f t="shared" si="9"/>
        <v>5.245973191601111E-2</v>
      </c>
      <c r="AZ23" s="4">
        <f t="shared" si="10"/>
        <v>1.2660525229618604E-3</v>
      </c>
      <c r="BA23" s="4">
        <f t="shared" si="11"/>
        <v>2.620509491372706E-3</v>
      </c>
      <c r="BB23" s="4">
        <f t="shared" si="12"/>
        <v>3.637175446996683E-3</v>
      </c>
      <c r="BC23" s="4">
        <f t="shared" si="13"/>
        <v>9.5707750282159245E-3</v>
      </c>
      <c r="BD23" s="4">
        <f t="shared" si="14"/>
        <v>8.374422587328691E-4</v>
      </c>
      <c r="BE23" s="4">
        <f t="shared" si="15"/>
        <v>0.18645031531774242</v>
      </c>
      <c r="BF23" s="4">
        <f t="shared" si="16"/>
        <v>0</v>
      </c>
      <c r="BG23" s="4">
        <f t="shared" si="17"/>
        <v>0</v>
      </c>
      <c r="BH23" s="4">
        <f t="shared" si="18"/>
        <v>5.0135406982813796E-2</v>
      </c>
      <c r="BI23" s="4">
        <f t="shared" si="19"/>
        <v>8.0901933954338159E-2</v>
      </c>
      <c r="BJ23" s="4">
        <f t="shared" si="20"/>
        <v>5.7848546518631302E-3</v>
      </c>
      <c r="BK23" s="4">
        <f t="shared" si="21"/>
        <v>1.4832960645802897E-4</v>
      </c>
      <c r="BL23" s="4">
        <f t="shared" si="22"/>
        <v>3.248418381430835E-2</v>
      </c>
      <c r="BM23" s="4">
        <f t="shared" si="23"/>
        <v>2.922093247223171E-2</v>
      </c>
      <c r="BN23" s="4">
        <f t="shared" si="24"/>
        <v>1.0383072452062029E-2</v>
      </c>
      <c r="BO23" s="4">
        <f t="shared" si="25"/>
        <v>5.4282406120167367E-3</v>
      </c>
      <c r="BP23" s="4">
        <f t="shared" si="26"/>
        <v>4.2998379638479273E-2</v>
      </c>
      <c r="BQ23" s="4">
        <f t="shared" si="27"/>
        <v>0.11341059215371194</v>
      </c>
      <c r="BR23" s="4">
        <f t="shared" si="28"/>
        <v>0.11955662939730051</v>
      </c>
      <c r="BS23" s="4">
        <f t="shared" si="29"/>
        <v>1</v>
      </c>
    </row>
    <row r="24" spans="9:71" ht="15" thickBot="1" x14ac:dyDescent="0.45">
      <c r="I24" s="17" t="s">
        <v>59</v>
      </c>
      <c r="J24" s="18" t="s">
        <v>37</v>
      </c>
      <c r="K24" s="19">
        <v>1.18136</v>
      </c>
      <c r="M24" s="1" t="str">
        <v>G9</v>
      </c>
      <c r="N24" s="1" t="str">
        <v>F18</v>
      </c>
      <c r="O24" s="9">
        <v>31.52</v>
      </c>
      <c r="Q24" s="2">
        <v>1993</v>
      </c>
      <c r="R24" s="3">
        <v>0</v>
      </c>
      <c r="S24" s="3">
        <v>317.06900000000002</v>
      </c>
      <c r="T24" s="3">
        <v>694.00199999999995</v>
      </c>
      <c r="U24" s="3">
        <v>1304.4000000000001</v>
      </c>
      <c r="V24" s="3">
        <v>0</v>
      </c>
      <c r="W24" s="3">
        <v>758.96600000000001</v>
      </c>
      <c r="X24" s="3">
        <v>3.3028</v>
      </c>
      <c r="Y24" s="3">
        <v>11.3033</v>
      </c>
      <c r="Z24" s="3">
        <v>4.8051899999999996</v>
      </c>
      <c r="AA24" s="3">
        <v>73.686000000000007</v>
      </c>
      <c r="AB24" s="3">
        <v>5.0416699999999999</v>
      </c>
      <c r="AC24" s="3">
        <v>1724</v>
      </c>
      <c r="AD24" s="3">
        <v>0</v>
      </c>
      <c r="AE24" s="3">
        <v>0</v>
      </c>
      <c r="AF24" s="3">
        <v>708</v>
      </c>
      <c r="AG24" s="3">
        <v>532.52</v>
      </c>
      <c r="AH24" s="3">
        <v>69</v>
      </c>
      <c r="AI24" s="3">
        <v>5</v>
      </c>
      <c r="AJ24" s="3">
        <v>221</v>
      </c>
      <c r="AK24" s="3">
        <v>142</v>
      </c>
      <c r="AL24" s="3">
        <v>194</v>
      </c>
      <c r="AM24" s="3">
        <v>46.900599999999997</v>
      </c>
      <c r="AN24" s="3">
        <v>316.50200000000001</v>
      </c>
      <c r="AO24" s="3">
        <v>622.19799999999998</v>
      </c>
      <c r="AP24" s="3">
        <v>647.14279999999997</v>
      </c>
      <c r="AQ24" s="3">
        <f t="shared" si="2"/>
        <v>8400.8393600000018</v>
      </c>
      <c r="AS24" s="2">
        <v>1993</v>
      </c>
      <c r="AT24" s="4">
        <f t="shared" si="4"/>
        <v>0</v>
      </c>
      <c r="AU24" s="4">
        <f t="shared" si="5"/>
        <v>3.7742538145616913E-2</v>
      </c>
      <c r="AV24" s="4">
        <f t="shared" si="6"/>
        <v>8.2611030905368935E-2</v>
      </c>
      <c r="AW24" s="4">
        <f t="shared" si="7"/>
        <v>0.15527019909591508</v>
      </c>
      <c r="AX24" s="4">
        <f t="shared" si="8"/>
        <v>0</v>
      </c>
      <c r="AY24" s="4">
        <f t="shared" si="9"/>
        <v>9.0344067714681286E-2</v>
      </c>
      <c r="AZ24" s="4">
        <f t="shared" si="10"/>
        <v>3.9315119102574996E-4</v>
      </c>
      <c r="BA24" s="4">
        <f t="shared" si="11"/>
        <v>1.345496505244447E-3</v>
      </c>
      <c r="BB24" s="4">
        <f t="shared" si="12"/>
        <v>5.7198927322424104E-4</v>
      </c>
      <c r="BC24" s="4">
        <f t="shared" si="13"/>
        <v>8.7712663987899401E-3</v>
      </c>
      <c r="BD24" s="4">
        <f t="shared" si="14"/>
        <v>6.0013884136453702E-4</v>
      </c>
      <c r="BE24" s="4">
        <f t="shared" si="15"/>
        <v>0.20521758911480956</v>
      </c>
      <c r="BF24" s="4">
        <f t="shared" si="16"/>
        <v>0</v>
      </c>
      <c r="BG24" s="4">
        <f t="shared" si="17"/>
        <v>0</v>
      </c>
      <c r="BH24" s="4">
        <f t="shared" si="18"/>
        <v>8.4277292977543591E-2</v>
      </c>
      <c r="BI24" s="4">
        <f t="shared" si="19"/>
        <v>6.3388904034465413E-2</v>
      </c>
      <c r="BJ24" s="4">
        <f t="shared" si="20"/>
        <v>8.2134649935741641E-3</v>
      </c>
      <c r="BK24" s="4">
        <f t="shared" si="21"/>
        <v>5.9517862272276552E-4</v>
      </c>
      <c r="BL24" s="4">
        <f t="shared" si="22"/>
        <v>2.6306895124346235E-2</v>
      </c>
      <c r="BM24" s="4">
        <f t="shared" si="23"/>
        <v>1.6903072885326539E-2</v>
      </c>
      <c r="BN24" s="4">
        <f t="shared" si="24"/>
        <v>2.3092930561643302E-2</v>
      </c>
      <c r="BO24" s="4">
        <f t="shared" si="25"/>
        <v>5.5828469025742669E-3</v>
      </c>
      <c r="BP24" s="4">
        <f t="shared" si="26"/>
        <v>3.7675044889800148E-2</v>
      </c>
      <c r="BQ24" s="4">
        <f t="shared" si="27"/>
        <v>7.4063789740171845E-2</v>
      </c>
      <c r="BR24" s="4">
        <f t="shared" si="28"/>
        <v>7.7033112081790811E-2</v>
      </c>
      <c r="BS24" s="4">
        <f t="shared" si="29"/>
        <v>1</v>
      </c>
    </row>
    <row r="25" spans="9:71" ht="15" thickBot="1" x14ac:dyDescent="0.45">
      <c r="I25" s="20" t="s">
        <v>60</v>
      </c>
      <c r="J25" s="21" t="s">
        <v>39</v>
      </c>
      <c r="K25" s="22">
        <v>93.68</v>
      </c>
      <c r="M25" s="1" t="str">
        <v>G9</v>
      </c>
      <c r="N25" s="1" t="str">
        <v>F19</v>
      </c>
      <c r="O25" s="9">
        <v>307</v>
      </c>
      <c r="Q25" s="2">
        <v>1994</v>
      </c>
      <c r="R25" s="3">
        <v>106.84</v>
      </c>
      <c r="S25" s="3">
        <v>289.92500000000001</v>
      </c>
      <c r="T25" s="3">
        <v>496.77699999999999</v>
      </c>
      <c r="U25" s="3">
        <v>1325.2</v>
      </c>
      <c r="V25" s="3">
        <v>350.05500000000001</v>
      </c>
      <c r="W25" s="3">
        <v>881.87699999999995</v>
      </c>
      <c r="X25" s="3">
        <v>11.6302</v>
      </c>
      <c r="Y25" s="3">
        <v>16.804200000000002</v>
      </c>
      <c r="Z25" s="3">
        <v>17.9162</v>
      </c>
      <c r="AA25" s="3">
        <v>43.148699999999998</v>
      </c>
      <c r="AB25" s="3">
        <v>7.8078599999999998</v>
      </c>
      <c r="AC25" s="3">
        <v>367.72</v>
      </c>
      <c r="AD25" s="3">
        <v>560.88</v>
      </c>
      <c r="AE25" s="3">
        <v>882.12</v>
      </c>
      <c r="AF25" s="3">
        <v>383</v>
      </c>
      <c r="AG25" s="3">
        <v>363.289999999999</v>
      </c>
      <c r="AH25" s="3">
        <v>34</v>
      </c>
      <c r="AI25" s="3">
        <v>1</v>
      </c>
      <c r="AJ25" s="3">
        <v>137</v>
      </c>
      <c r="AK25" s="3">
        <v>196</v>
      </c>
      <c r="AL25" s="3">
        <v>339</v>
      </c>
      <c r="AM25" s="3">
        <v>0</v>
      </c>
      <c r="AN25" s="3">
        <v>0</v>
      </c>
      <c r="AO25" s="3">
        <v>0</v>
      </c>
      <c r="AP25" s="3">
        <v>0</v>
      </c>
      <c r="AQ25" s="3">
        <f t="shared" si="2"/>
        <v>6811.9911599999996</v>
      </c>
      <c r="AS25" s="2">
        <v>1994</v>
      </c>
      <c r="AT25" s="4">
        <f t="shared" si="4"/>
        <v>1.5684107258882585E-2</v>
      </c>
      <c r="AU25" s="4">
        <f t="shared" si="5"/>
        <v>4.2560977134327348E-2</v>
      </c>
      <c r="AV25" s="4">
        <f t="shared" si="6"/>
        <v>7.2926841555090924E-2</v>
      </c>
      <c r="AW25" s="4">
        <f t="shared" si="7"/>
        <v>0.19453930119310375</v>
      </c>
      <c r="AX25" s="4">
        <f t="shared" si="8"/>
        <v>5.1388058466006588E-2</v>
      </c>
      <c r="AY25" s="4">
        <f t="shared" si="9"/>
        <v>0.12945950446594531</v>
      </c>
      <c r="AZ25" s="4">
        <f t="shared" si="10"/>
        <v>1.7073128438998152E-3</v>
      </c>
      <c r="BA25" s="4">
        <f t="shared" si="11"/>
        <v>2.46685581429909E-3</v>
      </c>
      <c r="BB25" s="4">
        <f t="shared" si="12"/>
        <v>2.6300973649531277E-3</v>
      </c>
      <c r="BC25" s="4">
        <f t="shared" si="13"/>
        <v>6.3342272452391142E-3</v>
      </c>
      <c r="BD25" s="4">
        <f t="shared" si="14"/>
        <v>1.1461935015194588E-3</v>
      </c>
      <c r="BE25" s="4">
        <f t="shared" si="15"/>
        <v>5.3981279682106934E-2</v>
      </c>
      <c r="BF25" s="4">
        <f t="shared" si="16"/>
        <v>8.2337159110464853E-2</v>
      </c>
      <c r="BG25" s="4">
        <f t="shared" si="17"/>
        <v>0.12949517685516199</v>
      </c>
      <c r="BH25" s="4">
        <f t="shared" si="18"/>
        <v>5.6224383004043713E-2</v>
      </c>
      <c r="BI25" s="4">
        <f t="shared" si="19"/>
        <v>5.3330955878691869E-2</v>
      </c>
      <c r="BJ25" s="4">
        <f t="shared" si="20"/>
        <v>4.9911984912205908E-3</v>
      </c>
      <c r="BK25" s="4">
        <f t="shared" si="21"/>
        <v>1.4679995562413503E-4</v>
      </c>
      <c r="BL25" s="4">
        <f t="shared" si="22"/>
        <v>2.0111593920506498E-2</v>
      </c>
      <c r="BM25" s="4">
        <f t="shared" si="23"/>
        <v>2.8772791302330465E-2</v>
      </c>
      <c r="BN25" s="4">
        <f t="shared" si="24"/>
        <v>4.9765184956581776E-2</v>
      </c>
      <c r="BO25" s="4">
        <f t="shared" si="25"/>
        <v>0</v>
      </c>
      <c r="BP25" s="4">
        <f t="shared" si="26"/>
        <v>0</v>
      </c>
      <c r="BQ25" s="4">
        <f t="shared" si="27"/>
        <v>0</v>
      </c>
      <c r="BR25" s="4">
        <f t="shared" si="28"/>
        <v>0</v>
      </c>
      <c r="BS25" s="4">
        <f t="shared" si="29"/>
        <v>1</v>
      </c>
    </row>
    <row r="26" spans="9:71" x14ac:dyDescent="0.4">
      <c r="I26" s="11" t="s">
        <v>61</v>
      </c>
      <c r="J26" s="12" t="s">
        <v>40</v>
      </c>
      <c r="K26" s="13">
        <v>147.32999999999899</v>
      </c>
      <c r="M26" s="1" t="str">
        <v>G7</v>
      </c>
      <c r="N26" s="1" t="str">
        <v>F20</v>
      </c>
      <c r="O26" s="9">
        <v>33.4</v>
      </c>
      <c r="Q26" s="2">
        <v>1995</v>
      </c>
      <c r="R26" s="3">
        <v>122.676</v>
      </c>
      <c r="S26" s="3">
        <v>307.512</v>
      </c>
      <c r="T26" s="3">
        <v>386.96300000000002</v>
      </c>
      <c r="U26" s="3">
        <v>1137.94</v>
      </c>
      <c r="V26" s="3">
        <v>711.33600000000001</v>
      </c>
      <c r="W26" s="3">
        <v>1390.04</v>
      </c>
      <c r="X26" s="3">
        <v>4.9399499999999996</v>
      </c>
      <c r="Y26" s="3">
        <v>12.961600000000001</v>
      </c>
      <c r="Z26" s="3">
        <v>8.7626100000000005</v>
      </c>
      <c r="AA26" s="3">
        <v>146.53899999999999</v>
      </c>
      <c r="AB26" s="3">
        <v>4.1651899999999999</v>
      </c>
      <c r="AC26" s="3">
        <v>258.08</v>
      </c>
      <c r="AD26" s="3">
        <v>377.03</v>
      </c>
      <c r="AE26" s="3">
        <v>592.969999999999</v>
      </c>
      <c r="AF26" s="3">
        <v>283</v>
      </c>
      <c r="AG26" s="3">
        <v>738.24</v>
      </c>
      <c r="AH26" s="3">
        <v>52</v>
      </c>
      <c r="AI26" s="3">
        <v>27</v>
      </c>
      <c r="AJ26" s="3">
        <v>83</v>
      </c>
      <c r="AK26" s="3">
        <v>82</v>
      </c>
      <c r="AL26" s="3">
        <v>320</v>
      </c>
      <c r="AM26" s="3">
        <v>0</v>
      </c>
      <c r="AN26" s="3">
        <v>0</v>
      </c>
      <c r="AO26" s="3">
        <v>0</v>
      </c>
      <c r="AP26" s="3">
        <v>0</v>
      </c>
      <c r="AQ26" s="3">
        <f t="shared" si="2"/>
        <v>7047.1553499999991</v>
      </c>
      <c r="AS26" s="2">
        <v>1995</v>
      </c>
      <c r="AT26" s="4">
        <f t="shared" si="4"/>
        <v>1.7407875079694393E-2</v>
      </c>
      <c r="AU26" s="4">
        <f t="shared" si="5"/>
        <v>4.3636330508876893E-2</v>
      </c>
      <c r="AV26" s="4">
        <f t="shared" si="6"/>
        <v>5.4910524996444145E-2</v>
      </c>
      <c r="AW26" s="4">
        <f t="shared" si="7"/>
        <v>0.16147508370168115</v>
      </c>
      <c r="AX26" s="4">
        <f t="shared" si="8"/>
        <v>0.10093945211524251</v>
      </c>
      <c r="AY26" s="4">
        <f t="shared" si="9"/>
        <v>0.19724838334946032</v>
      </c>
      <c r="AZ26" s="4">
        <f t="shared" si="10"/>
        <v>7.0098497261026043E-4</v>
      </c>
      <c r="BA26" s="4">
        <f t="shared" si="11"/>
        <v>1.8392669603913305E-3</v>
      </c>
      <c r="BB26" s="4">
        <f t="shared" si="12"/>
        <v>1.2434251218826902E-3</v>
      </c>
      <c r="BC26" s="4">
        <f t="shared" si="13"/>
        <v>2.0794064089987744E-2</v>
      </c>
      <c r="BD26" s="4">
        <f t="shared" si="14"/>
        <v>5.9104557699299202E-4</v>
      </c>
      <c r="BE26" s="4">
        <f t="shared" si="15"/>
        <v>3.6621868992855397E-2</v>
      </c>
      <c r="BF26" s="4">
        <f t="shared" si="16"/>
        <v>5.3501020096002286E-2</v>
      </c>
      <c r="BG26" s="4">
        <f t="shared" si="17"/>
        <v>8.4143171329407268E-2</v>
      </c>
      <c r="BH26" s="4">
        <f t="shared" si="18"/>
        <v>4.0158047601433967E-2</v>
      </c>
      <c r="BI26" s="4">
        <f t="shared" si="19"/>
        <v>0.10475716276071594</v>
      </c>
      <c r="BJ26" s="4">
        <f t="shared" si="20"/>
        <v>7.3788638702281494E-3</v>
      </c>
      <c r="BK26" s="4">
        <f t="shared" si="21"/>
        <v>3.8313331633876928E-3</v>
      </c>
      <c r="BL26" s="4">
        <f t="shared" si="22"/>
        <v>1.1777801946710315E-2</v>
      </c>
      <c r="BM26" s="4">
        <f t="shared" si="23"/>
        <v>1.1635900718436697E-2</v>
      </c>
      <c r="BN26" s="4">
        <f t="shared" si="24"/>
        <v>4.5408393047557838E-2</v>
      </c>
      <c r="BO26" s="4">
        <f t="shared" si="25"/>
        <v>0</v>
      </c>
      <c r="BP26" s="4">
        <f t="shared" si="26"/>
        <v>0</v>
      </c>
      <c r="BQ26" s="4">
        <f t="shared" si="27"/>
        <v>0</v>
      </c>
      <c r="BR26" s="4">
        <f t="shared" si="28"/>
        <v>0</v>
      </c>
      <c r="BS26" s="4">
        <f t="shared" si="29"/>
        <v>1</v>
      </c>
    </row>
    <row r="27" spans="9:71" ht="15" thickBot="1" x14ac:dyDescent="0.45">
      <c r="I27" s="17" t="s">
        <v>61</v>
      </c>
      <c r="J27" s="18" t="s">
        <v>46</v>
      </c>
      <c r="K27" s="19">
        <v>33.4</v>
      </c>
      <c r="M27" s="1" t="str">
        <v>G3</v>
      </c>
      <c r="N27" s="1" t="str">
        <v>F21</v>
      </c>
      <c r="O27" s="9">
        <v>119</v>
      </c>
      <c r="Q27" s="2">
        <v>1996</v>
      </c>
      <c r="R27" s="3">
        <v>117.633</v>
      </c>
      <c r="S27" s="3">
        <v>236.33699999999999</v>
      </c>
      <c r="T27" s="3">
        <v>327.74700000000001</v>
      </c>
      <c r="U27" s="3">
        <v>1287.69</v>
      </c>
      <c r="V27" s="3">
        <v>254.541</v>
      </c>
      <c r="W27" s="3">
        <v>670.61800000000005</v>
      </c>
      <c r="X27" s="3">
        <v>8.5940700000000003</v>
      </c>
      <c r="Y27" s="3">
        <v>14.8841</v>
      </c>
      <c r="Z27" s="3">
        <v>26.0579</v>
      </c>
      <c r="AA27" s="3">
        <v>17.5975</v>
      </c>
      <c r="AB27" s="3">
        <v>10.329000000000001</v>
      </c>
      <c r="AC27" s="3">
        <v>694.96</v>
      </c>
      <c r="AD27" s="3">
        <v>273.25</v>
      </c>
      <c r="AE27" s="3">
        <v>429.75</v>
      </c>
      <c r="AF27" s="3">
        <v>152</v>
      </c>
      <c r="AG27" s="3">
        <v>515.05999999999995</v>
      </c>
      <c r="AH27" s="3">
        <v>55</v>
      </c>
      <c r="AI27" s="3">
        <v>26</v>
      </c>
      <c r="AJ27" s="3">
        <v>162</v>
      </c>
      <c r="AK27" s="3">
        <v>47</v>
      </c>
      <c r="AL27" s="3">
        <v>183</v>
      </c>
      <c r="AM27" s="3">
        <v>0</v>
      </c>
      <c r="AN27" s="3">
        <v>0</v>
      </c>
      <c r="AO27" s="3">
        <v>0</v>
      </c>
      <c r="AP27" s="3">
        <v>0</v>
      </c>
      <c r="AQ27" s="3">
        <f t="shared" si="2"/>
        <v>5510.0485700000008</v>
      </c>
      <c r="AS27" s="2">
        <v>1996</v>
      </c>
      <c r="AT27" s="4">
        <f t="shared" si="4"/>
        <v>2.1348813627608362E-2</v>
      </c>
      <c r="AU27" s="4">
        <f t="shared" si="5"/>
        <v>4.2891999407547864E-2</v>
      </c>
      <c r="AV27" s="4">
        <f t="shared" si="6"/>
        <v>5.9481689832000875E-2</v>
      </c>
      <c r="AW27" s="4">
        <f t="shared" si="7"/>
        <v>0.23369848444003821</v>
      </c>
      <c r="AX27" s="4">
        <f t="shared" si="8"/>
        <v>4.6195781537366733E-2</v>
      </c>
      <c r="AY27" s="4">
        <f t="shared" si="9"/>
        <v>0.12170818305509055</v>
      </c>
      <c r="AZ27" s="4">
        <f t="shared" si="10"/>
        <v>1.5597085744019129E-3</v>
      </c>
      <c r="BA27" s="4">
        <f t="shared" si="11"/>
        <v>2.7012647549130402E-3</v>
      </c>
      <c r="BB27" s="4">
        <f t="shared" si="12"/>
        <v>4.7291597649201838E-3</v>
      </c>
      <c r="BC27" s="4">
        <f t="shared" si="13"/>
        <v>3.193710504805949E-3</v>
      </c>
      <c r="BD27" s="4">
        <f t="shared" si="14"/>
        <v>1.8745751273840402E-3</v>
      </c>
      <c r="BE27" s="4">
        <f t="shared" si="15"/>
        <v>0.1261259299570929</v>
      </c>
      <c r="BF27" s="4">
        <f t="shared" si="16"/>
        <v>4.9591214401944909E-2</v>
      </c>
      <c r="BG27" s="4">
        <f t="shared" si="17"/>
        <v>7.7993867847157644E-2</v>
      </c>
      <c r="BH27" s="4">
        <f t="shared" si="18"/>
        <v>2.7585963729535687E-2</v>
      </c>
      <c r="BI27" s="4">
        <f t="shared" si="19"/>
        <v>9.347648999035954E-2</v>
      </c>
      <c r="BJ27" s="4">
        <f t="shared" si="20"/>
        <v>9.9817631916083085E-3</v>
      </c>
      <c r="BK27" s="4">
        <f t="shared" si="21"/>
        <v>4.7186516905784728E-3</v>
      </c>
      <c r="BL27" s="4">
        <f t="shared" si="22"/>
        <v>2.9400829764373561E-2</v>
      </c>
      <c r="BM27" s="4">
        <f t="shared" si="23"/>
        <v>8.5298703637380086E-3</v>
      </c>
      <c r="BN27" s="4">
        <f t="shared" si="24"/>
        <v>3.3212048437533094E-2</v>
      </c>
      <c r="BO27" s="4">
        <f t="shared" si="25"/>
        <v>0</v>
      </c>
      <c r="BP27" s="4">
        <f t="shared" si="26"/>
        <v>0</v>
      </c>
      <c r="BQ27" s="4">
        <f t="shared" si="27"/>
        <v>0</v>
      </c>
      <c r="BR27" s="4">
        <f t="shared" si="28"/>
        <v>0</v>
      </c>
      <c r="BS27" s="4">
        <f t="shared" si="29"/>
        <v>1</v>
      </c>
    </row>
    <row r="28" spans="9:71" x14ac:dyDescent="0.4">
      <c r="I28" s="11" t="s">
        <v>62</v>
      </c>
      <c r="J28" s="12" t="s">
        <v>42</v>
      </c>
      <c r="K28" s="13">
        <v>319.3</v>
      </c>
      <c r="M28" s="1" t="str">
        <v>G1</v>
      </c>
      <c r="N28" s="1" t="str">
        <v>F22</v>
      </c>
      <c r="O28" s="10">
        <v>0</v>
      </c>
      <c r="Q28" s="2">
        <v>1997</v>
      </c>
      <c r="R28" s="3">
        <v>124.637</v>
      </c>
      <c r="S28" s="3">
        <v>238.49199999999999</v>
      </c>
      <c r="T28" s="3">
        <v>321.548</v>
      </c>
      <c r="U28" s="3">
        <v>973.38499999999999</v>
      </c>
      <c r="V28" s="3">
        <v>281.31599999999997</v>
      </c>
      <c r="W28" s="3">
        <v>643.40099999999995</v>
      </c>
      <c r="X28" s="3">
        <v>5.9326299999999996</v>
      </c>
      <c r="Y28" s="3">
        <v>15.0679</v>
      </c>
      <c r="Z28" s="3">
        <v>10.241300000000001</v>
      </c>
      <c r="AA28" s="3">
        <v>6.54176</v>
      </c>
      <c r="AB28" s="3">
        <v>2.69367</v>
      </c>
      <c r="AC28" s="3">
        <v>245.16</v>
      </c>
      <c r="AD28" s="3">
        <v>316</v>
      </c>
      <c r="AE28" s="3">
        <v>497</v>
      </c>
      <c r="AF28" s="3">
        <v>163</v>
      </c>
      <c r="AG28" s="3">
        <v>468.01</v>
      </c>
      <c r="AH28" s="3">
        <v>39</v>
      </c>
      <c r="AI28" s="3">
        <v>59</v>
      </c>
      <c r="AJ28" s="3">
        <v>290</v>
      </c>
      <c r="AK28" s="3">
        <v>47</v>
      </c>
      <c r="AL28" s="3">
        <v>150</v>
      </c>
      <c r="AM28" s="3">
        <v>0</v>
      </c>
      <c r="AN28" s="3">
        <v>0</v>
      </c>
      <c r="AO28" s="3">
        <v>0</v>
      </c>
      <c r="AP28" s="3">
        <v>0</v>
      </c>
      <c r="AQ28" s="3">
        <f t="shared" si="2"/>
        <v>4897.4262600000002</v>
      </c>
      <c r="AS28" s="2">
        <v>1997</v>
      </c>
      <c r="AT28" s="4">
        <f t="shared" si="4"/>
        <v>2.5449489871441168E-2</v>
      </c>
      <c r="AU28" s="4">
        <f t="shared" si="5"/>
        <v>4.8697415201101969E-2</v>
      </c>
      <c r="AV28" s="4">
        <f t="shared" si="6"/>
        <v>6.5656527108179472E-2</v>
      </c>
      <c r="AW28" s="4">
        <f t="shared" si="7"/>
        <v>0.19875439635511735</v>
      </c>
      <c r="AX28" s="4">
        <f t="shared" si="8"/>
        <v>5.7441599947642696E-2</v>
      </c>
      <c r="AY28" s="4">
        <f t="shared" si="9"/>
        <v>0.13137533182582312</v>
      </c>
      <c r="AZ28" s="4">
        <f t="shared" si="10"/>
        <v>1.2113770958544253E-3</v>
      </c>
      <c r="BA28" s="4">
        <f t="shared" si="11"/>
        <v>3.0766976775266444E-3</v>
      </c>
      <c r="BB28" s="4">
        <f t="shared" si="12"/>
        <v>2.091159612477759E-3</v>
      </c>
      <c r="BC28" s="4">
        <f t="shared" si="13"/>
        <v>1.3357546704541906E-3</v>
      </c>
      <c r="BD28" s="4">
        <f t="shared" si="14"/>
        <v>5.500174697883047E-4</v>
      </c>
      <c r="BE28" s="4">
        <f t="shared" si="15"/>
        <v>5.005894667620784E-2</v>
      </c>
      <c r="BF28" s="4">
        <f t="shared" si="16"/>
        <v>6.4523687182581488E-2</v>
      </c>
      <c r="BG28" s="4">
        <f t="shared" si="17"/>
        <v>0.10148187509412342</v>
      </c>
      <c r="BH28" s="4">
        <f t="shared" si="18"/>
        <v>3.3282788008736651E-2</v>
      </c>
      <c r="BI28" s="4">
        <f t="shared" si="19"/>
        <v>9.5562439361772028E-2</v>
      </c>
      <c r="BJ28" s="4">
        <f t="shared" si="20"/>
        <v>7.9633664560780949E-3</v>
      </c>
      <c r="BK28" s="4">
        <f t="shared" si="21"/>
        <v>1.2047144125861733E-2</v>
      </c>
      <c r="BL28" s="4">
        <f t="shared" si="22"/>
        <v>5.921477621186276E-2</v>
      </c>
      <c r="BM28" s="4">
        <f t="shared" si="23"/>
        <v>9.59687752399155E-3</v>
      </c>
      <c r="BN28" s="4">
        <f t="shared" si="24"/>
        <v>3.0628332523377287E-2</v>
      </c>
      <c r="BO28" s="4">
        <f t="shared" si="25"/>
        <v>0</v>
      </c>
      <c r="BP28" s="4">
        <f t="shared" si="26"/>
        <v>0</v>
      </c>
      <c r="BQ28" s="4">
        <f t="shared" si="27"/>
        <v>0</v>
      </c>
      <c r="BR28" s="4">
        <f t="shared" si="28"/>
        <v>0</v>
      </c>
      <c r="BS28" s="4">
        <f t="shared" si="29"/>
        <v>1</v>
      </c>
    </row>
    <row r="29" spans="9:71" ht="15" thickBot="1" x14ac:dyDescent="0.45">
      <c r="I29" s="17" t="s">
        <v>62</v>
      </c>
      <c r="J29" s="18" t="s">
        <v>43</v>
      </c>
      <c r="K29" s="19">
        <v>6</v>
      </c>
      <c r="M29" s="1" t="str">
        <v>G4</v>
      </c>
      <c r="N29" s="1" t="str">
        <v>F23</v>
      </c>
      <c r="O29" s="10">
        <v>0</v>
      </c>
      <c r="Q29" s="2">
        <v>1998</v>
      </c>
      <c r="R29" s="3">
        <v>105.18300000000001</v>
      </c>
      <c r="S29" s="3">
        <v>227.51400000000001</v>
      </c>
      <c r="T29" s="3">
        <v>181.47</v>
      </c>
      <c r="U29" s="3">
        <v>1321.92</v>
      </c>
      <c r="V29" s="3">
        <v>603.18700000000001</v>
      </c>
      <c r="W29" s="3">
        <v>756.91399999999999</v>
      </c>
      <c r="X29" s="3">
        <v>6.1908700000000003</v>
      </c>
      <c r="Y29" s="3">
        <v>19.446000000000002</v>
      </c>
      <c r="Z29" s="3">
        <v>12.3604</v>
      </c>
      <c r="AA29" s="3">
        <v>18.234400000000001</v>
      </c>
      <c r="AB29" s="3">
        <v>10.7918</v>
      </c>
      <c r="AC29" s="3">
        <v>312.32</v>
      </c>
      <c r="AD29" s="3">
        <v>424.45</v>
      </c>
      <c r="AE29" s="3">
        <v>667.55</v>
      </c>
      <c r="AF29" s="3">
        <v>304</v>
      </c>
      <c r="AG29" s="3">
        <v>498.98</v>
      </c>
      <c r="AH29" s="3">
        <v>26</v>
      </c>
      <c r="AI29" s="3">
        <v>90</v>
      </c>
      <c r="AJ29" s="3">
        <v>205</v>
      </c>
      <c r="AK29" s="3">
        <v>50</v>
      </c>
      <c r="AL29" s="3">
        <v>260</v>
      </c>
      <c r="AM29" s="3">
        <v>0</v>
      </c>
      <c r="AN29" s="3">
        <v>0</v>
      </c>
      <c r="AO29" s="3">
        <v>0</v>
      </c>
      <c r="AP29" s="3">
        <v>0</v>
      </c>
      <c r="AQ29" s="3">
        <f t="shared" si="2"/>
        <v>6101.5114699999995</v>
      </c>
      <c r="AS29" s="2">
        <v>1998</v>
      </c>
      <c r="AT29" s="4">
        <f t="shared" si="4"/>
        <v>1.7238843279598067E-2</v>
      </c>
      <c r="AU29" s="4">
        <f t="shared" si="5"/>
        <v>3.7288137721062098E-2</v>
      </c>
      <c r="AV29" s="4">
        <f t="shared" si="6"/>
        <v>2.9741810843469579E-2</v>
      </c>
      <c r="AW29" s="4">
        <f t="shared" si="7"/>
        <v>0.21665451363971625</v>
      </c>
      <c r="AX29" s="4">
        <f t="shared" si="8"/>
        <v>9.8858619370914669E-2</v>
      </c>
      <c r="AY29" s="4">
        <f t="shared" si="9"/>
        <v>0.12405352406884848</v>
      </c>
      <c r="AZ29" s="4">
        <f t="shared" si="10"/>
        <v>1.0146453105004162E-3</v>
      </c>
      <c r="BA29" s="4">
        <f t="shared" si="11"/>
        <v>3.1870791517171404E-3</v>
      </c>
      <c r="BB29" s="4">
        <f t="shared" si="12"/>
        <v>2.0257931269610481E-3</v>
      </c>
      <c r="BC29" s="4">
        <f t="shared" si="13"/>
        <v>2.9885054038913416E-3</v>
      </c>
      <c r="BD29" s="4">
        <f t="shared" si="14"/>
        <v>1.7687092867171158E-3</v>
      </c>
      <c r="BE29" s="4">
        <f t="shared" si="15"/>
        <v>5.1187316705970237E-2</v>
      </c>
      <c r="BF29" s="4">
        <f t="shared" si="16"/>
        <v>6.9564730327385582E-2</v>
      </c>
      <c r="BG29" s="4">
        <f t="shared" si="17"/>
        <v>0.10940731706925727</v>
      </c>
      <c r="BH29" s="4">
        <f t="shared" si="18"/>
        <v>4.982372015437677E-2</v>
      </c>
      <c r="BI29" s="4">
        <f t="shared" si="19"/>
        <v>8.1779736456022767E-2</v>
      </c>
      <c r="BJ29" s="4">
        <f t="shared" si="20"/>
        <v>4.2612392237295921E-3</v>
      </c>
      <c r="BK29" s="4">
        <f t="shared" si="21"/>
        <v>1.475044346675628E-2</v>
      </c>
      <c r="BL29" s="4">
        <f t="shared" si="22"/>
        <v>3.3598232340944861E-2</v>
      </c>
      <c r="BM29" s="4">
        <f t="shared" si="23"/>
        <v>8.1946908148646004E-3</v>
      </c>
      <c r="BN29" s="4">
        <f t="shared" si="24"/>
        <v>4.2612392237295918E-2</v>
      </c>
      <c r="BO29" s="4">
        <f t="shared" si="25"/>
        <v>0</v>
      </c>
      <c r="BP29" s="4">
        <f t="shared" si="26"/>
        <v>0</v>
      </c>
      <c r="BQ29" s="4">
        <f t="shared" si="27"/>
        <v>0</v>
      </c>
      <c r="BR29" s="4">
        <f t="shared" si="28"/>
        <v>0</v>
      </c>
      <c r="BS29" s="4">
        <f t="shared" si="29"/>
        <v>1</v>
      </c>
    </row>
    <row r="30" spans="9:71" x14ac:dyDescent="0.4">
      <c r="I30" s="11" t="s">
        <v>63</v>
      </c>
      <c r="J30" s="12" t="s">
        <v>44</v>
      </c>
      <c r="K30" s="13">
        <v>31.52</v>
      </c>
      <c r="M30" s="1" t="str">
        <v>G1</v>
      </c>
      <c r="N30" s="1" t="str">
        <v>F24</v>
      </c>
      <c r="O30" s="10">
        <v>0</v>
      </c>
      <c r="Q30" s="2">
        <v>1999</v>
      </c>
      <c r="R30" s="3">
        <v>140.78700000000001</v>
      </c>
      <c r="S30" s="3">
        <v>220.32300000000001</v>
      </c>
      <c r="T30" s="3">
        <v>294.91800000000001</v>
      </c>
      <c r="U30" s="3">
        <v>872.02099999999996</v>
      </c>
      <c r="V30" s="3">
        <v>273.82400000000001</v>
      </c>
      <c r="W30" s="3">
        <v>553.74300000000005</v>
      </c>
      <c r="X30" s="3">
        <v>9.9972200000000004</v>
      </c>
      <c r="Y30" s="3">
        <v>14.1386</v>
      </c>
      <c r="Z30" s="3">
        <v>7.61503</v>
      </c>
      <c r="AA30" s="3">
        <v>22.4542</v>
      </c>
      <c r="AB30" s="3">
        <v>6.08927</v>
      </c>
      <c r="AC30" s="3">
        <v>554.76</v>
      </c>
      <c r="AD30" s="3">
        <v>437.67</v>
      </c>
      <c r="AE30" s="3">
        <v>688.33999999999901</v>
      </c>
      <c r="AF30" s="3">
        <v>184</v>
      </c>
      <c r="AG30" s="3">
        <v>451.08</v>
      </c>
      <c r="AH30" s="3">
        <v>29</v>
      </c>
      <c r="AI30" s="3">
        <v>66</v>
      </c>
      <c r="AJ30" s="3">
        <v>128</v>
      </c>
      <c r="AK30" s="3">
        <v>42</v>
      </c>
      <c r="AL30" s="3">
        <v>306</v>
      </c>
      <c r="AM30" s="3">
        <v>0</v>
      </c>
      <c r="AN30" s="3">
        <v>0</v>
      </c>
      <c r="AO30" s="3">
        <v>0</v>
      </c>
      <c r="AP30" s="3">
        <v>0</v>
      </c>
      <c r="AQ30" s="3">
        <f t="shared" si="2"/>
        <v>5302.7603199999994</v>
      </c>
      <c r="AS30" s="2">
        <v>1999</v>
      </c>
      <c r="AT30" s="4">
        <f t="shared" si="4"/>
        <v>2.6549757391259959E-2</v>
      </c>
      <c r="AU30" s="4">
        <f t="shared" si="5"/>
        <v>4.1548738148512065E-2</v>
      </c>
      <c r="AV30" s="4">
        <f t="shared" si="6"/>
        <v>5.5615940039319002E-2</v>
      </c>
      <c r="AW30" s="4">
        <f t="shared" si="7"/>
        <v>0.16444661787014353</v>
      </c>
      <c r="AX30" s="4">
        <f t="shared" si="8"/>
        <v>5.1638011804387957E-2</v>
      </c>
      <c r="AY30" s="4">
        <f t="shared" si="9"/>
        <v>0.10442542498319066</v>
      </c>
      <c r="AZ30" s="4">
        <f t="shared" si="10"/>
        <v>1.88528603910199E-3</v>
      </c>
      <c r="BA30" s="4">
        <f t="shared" si="11"/>
        <v>2.6662717427892351E-3</v>
      </c>
      <c r="BB30" s="4">
        <f t="shared" si="12"/>
        <v>1.4360501965889345E-3</v>
      </c>
      <c r="BC30" s="4">
        <f t="shared" si="13"/>
        <v>4.2344361511704159E-3</v>
      </c>
      <c r="BD30" s="4">
        <f t="shared" si="14"/>
        <v>1.1483208051160797E-3</v>
      </c>
      <c r="BE30" s="4">
        <f t="shared" si="15"/>
        <v>0.10461721189012745</v>
      </c>
      <c r="BF30" s="4">
        <f t="shared" si="16"/>
        <v>8.2536259153421457E-2</v>
      </c>
      <c r="BG30" s="4">
        <f t="shared" si="17"/>
        <v>0.12980786580223921</v>
      </c>
      <c r="BH30" s="4">
        <f t="shared" si="18"/>
        <v>3.4698909416294346E-2</v>
      </c>
      <c r="BI30" s="4">
        <f t="shared" si="19"/>
        <v>8.5065130758163326E-2</v>
      </c>
      <c r="BJ30" s="4">
        <f t="shared" si="20"/>
        <v>5.4688498536550872E-3</v>
      </c>
      <c r="BK30" s="4">
        <f t="shared" si="21"/>
        <v>1.2446347942801233E-2</v>
      </c>
      <c r="BL30" s="4">
        <f t="shared" si="22"/>
        <v>2.4138371767856937E-2</v>
      </c>
      <c r="BM30" s="4">
        <f t="shared" si="23"/>
        <v>7.9204032363280573E-3</v>
      </c>
      <c r="BN30" s="4">
        <f t="shared" si="24"/>
        <v>5.7705795007532985E-2</v>
      </c>
      <c r="BO30" s="4">
        <f t="shared" si="25"/>
        <v>0</v>
      </c>
      <c r="BP30" s="4">
        <f t="shared" si="26"/>
        <v>0</v>
      </c>
      <c r="BQ30" s="4">
        <f t="shared" si="27"/>
        <v>0</v>
      </c>
      <c r="BR30" s="4">
        <f t="shared" si="28"/>
        <v>0</v>
      </c>
      <c r="BS30" s="4">
        <f t="shared" si="29"/>
        <v>1</v>
      </c>
    </row>
    <row r="31" spans="9:71" ht="15" thickBot="1" x14ac:dyDescent="0.45">
      <c r="I31" s="17" t="s">
        <v>63</v>
      </c>
      <c r="J31" s="18" t="s">
        <v>45</v>
      </c>
      <c r="K31" s="19">
        <v>307</v>
      </c>
      <c r="M31" s="1" t="str">
        <v>G4</v>
      </c>
      <c r="N31" s="1" t="str">
        <v>F25</v>
      </c>
      <c r="O31" s="10">
        <v>0</v>
      </c>
      <c r="Q31" s="2">
        <v>2000</v>
      </c>
      <c r="R31" s="3">
        <v>45.4268</v>
      </c>
      <c r="S31" s="3">
        <v>187.11500000000001</v>
      </c>
      <c r="T31" s="3">
        <v>236.35599999999999</v>
      </c>
      <c r="U31" s="3">
        <v>387.06200000000001</v>
      </c>
      <c r="V31" s="3">
        <v>281.45699999999999</v>
      </c>
      <c r="W31" s="3">
        <v>476.26100000000002</v>
      </c>
      <c r="X31" s="3">
        <v>4.3331900000000001</v>
      </c>
      <c r="Y31" s="3">
        <v>11.5861</v>
      </c>
      <c r="Z31" s="3">
        <v>4.1816399999999998</v>
      </c>
      <c r="AA31" s="3">
        <v>22.3307</v>
      </c>
      <c r="AB31" s="3">
        <v>3.8501300000000001</v>
      </c>
      <c r="AC31" s="3">
        <v>343.16</v>
      </c>
      <c r="AD31" s="3">
        <v>412.789999999999</v>
      </c>
      <c r="AE31" s="3">
        <v>649.21</v>
      </c>
      <c r="AF31" s="3">
        <v>297</v>
      </c>
      <c r="AG31" s="3">
        <v>233.14</v>
      </c>
      <c r="AH31" s="3">
        <v>15</v>
      </c>
      <c r="AI31" s="3">
        <v>90</v>
      </c>
      <c r="AJ31" s="3">
        <v>161</v>
      </c>
      <c r="AK31" s="3">
        <v>55</v>
      </c>
      <c r="AL31" s="3">
        <v>170</v>
      </c>
      <c r="AM31" s="3">
        <v>0</v>
      </c>
      <c r="AN31" s="3">
        <v>0</v>
      </c>
      <c r="AO31" s="3">
        <v>0</v>
      </c>
      <c r="AP31" s="3">
        <v>0</v>
      </c>
      <c r="AQ31" s="3">
        <f t="shared" si="2"/>
        <v>4086.2595599999991</v>
      </c>
      <c r="AS31" s="2">
        <v>2000</v>
      </c>
      <c r="AT31" s="4">
        <f t="shared" si="4"/>
        <v>1.1116963896439317E-2</v>
      </c>
      <c r="AU31" s="4">
        <f t="shared" si="5"/>
        <v>4.5791266377606235E-2</v>
      </c>
      <c r="AV31" s="4">
        <f t="shared" si="6"/>
        <v>5.7841651155415112E-2</v>
      </c>
      <c r="AW31" s="4">
        <f t="shared" si="7"/>
        <v>9.4722812958068697E-2</v>
      </c>
      <c r="AX31" s="4">
        <f t="shared" si="8"/>
        <v>6.8878884433861087E-2</v>
      </c>
      <c r="AY31" s="4">
        <f t="shared" si="9"/>
        <v>0.11655182276282032</v>
      </c>
      <c r="AZ31" s="4">
        <f t="shared" si="10"/>
        <v>1.0604294554406625E-3</v>
      </c>
      <c r="BA31" s="4">
        <f t="shared" si="11"/>
        <v>2.8353803349682473E-3</v>
      </c>
      <c r="BB31" s="4">
        <f t="shared" si="12"/>
        <v>1.0233417477767861E-3</v>
      </c>
      <c r="BC31" s="4">
        <f t="shared" si="13"/>
        <v>5.4648266151746871E-3</v>
      </c>
      <c r="BD31" s="4">
        <f t="shared" si="14"/>
        <v>9.4221376382659378E-4</v>
      </c>
      <c r="BE31" s="4">
        <f t="shared" si="15"/>
        <v>8.3979002058302943E-2</v>
      </c>
      <c r="BF31" s="4">
        <f t="shared" si="16"/>
        <v>0.10101903560918168</v>
      </c>
      <c r="BG31" s="4">
        <f t="shared" si="17"/>
        <v>0.15887634900999784</v>
      </c>
      <c r="BH31" s="4">
        <f t="shared" si="18"/>
        <v>7.2682607562990956E-2</v>
      </c>
      <c r="BI31" s="4">
        <f t="shared" si="19"/>
        <v>5.7054623324025958E-2</v>
      </c>
      <c r="BJ31" s="4">
        <f t="shared" si="20"/>
        <v>3.6708387658076235E-3</v>
      </c>
      <c r="BK31" s="4">
        <f t="shared" si="21"/>
        <v>2.2025032594845742E-2</v>
      </c>
      <c r="BL31" s="4">
        <f t="shared" si="22"/>
        <v>3.9400336086335162E-2</v>
      </c>
      <c r="BM31" s="4">
        <f t="shared" si="23"/>
        <v>1.345974214129462E-2</v>
      </c>
      <c r="BN31" s="4">
        <f t="shared" si="24"/>
        <v>4.1602839345819737E-2</v>
      </c>
      <c r="BO31" s="4">
        <f t="shared" si="25"/>
        <v>0</v>
      </c>
      <c r="BP31" s="4">
        <f t="shared" si="26"/>
        <v>0</v>
      </c>
      <c r="BQ31" s="4">
        <f t="shared" si="27"/>
        <v>0</v>
      </c>
      <c r="BR31" s="4">
        <f t="shared" si="28"/>
        <v>0</v>
      </c>
      <c r="BS31" s="4">
        <f t="shared" si="29"/>
        <v>1</v>
      </c>
    </row>
    <row r="32" spans="9:71" x14ac:dyDescent="0.4">
      <c r="Q32" s="2">
        <v>2001</v>
      </c>
      <c r="R32" s="3">
        <v>50.415100000000002</v>
      </c>
      <c r="S32" s="3">
        <v>204.792</v>
      </c>
      <c r="T32" s="3">
        <v>226.45</v>
      </c>
      <c r="U32" s="3">
        <v>406.95</v>
      </c>
      <c r="V32" s="3">
        <v>469.61200000000002</v>
      </c>
      <c r="W32" s="3">
        <v>556.24800000000005</v>
      </c>
      <c r="X32" s="3">
        <v>3.41954</v>
      </c>
      <c r="Y32" s="3">
        <v>10.954800000000001</v>
      </c>
      <c r="Z32" s="3">
        <v>7.3616400000000004</v>
      </c>
      <c r="AA32" s="3">
        <v>13.3233</v>
      </c>
      <c r="AB32" s="3">
        <v>5.1812899999999997</v>
      </c>
      <c r="AC32" s="3">
        <v>355.68</v>
      </c>
      <c r="AD32" s="3">
        <v>418.62</v>
      </c>
      <c r="AE32" s="3">
        <v>658.38</v>
      </c>
      <c r="AF32" s="3">
        <v>237</v>
      </c>
      <c r="AG32" s="3">
        <v>415.45</v>
      </c>
      <c r="AH32" s="3">
        <v>44</v>
      </c>
      <c r="AI32" s="3">
        <v>21</v>
      </c>
      <c r="AJ32" s="3">
        <v>129</v>
      </c>
      <c r="AK32" s="3">
        <v>51</v>
      </c>
      <c r="AL32" s="3">
        <v>155</v>
      </c>
      <c r="AM32" s="3">
        <v>0</v>
      </c>
      <c r="AN32" s="3">
        <v>0</v>
      </c>
      <c r="AO32" s="3">
        <v>0</v>
      </c>
      <c r="AP32" s="3">
        <v>0</v>
      </c>
      <c r="AQ32" s="3">
        <f t="shared" si="2"/>
        <v>4439.8376699999999</v>
      </c>
      <c r="AS32" s="2">
        <v>2001</v>
      </c>
      <c r="AT32" s="4">
        <f t="shared" si="4"/>
        <v>1.1355167406379523E-2</v>
      </c>
      <c r="AU32" s="4">
        <f t="shared" si="5"/>
        <v>4.6126010728676031E-2</v>
      </c>
      <c r="AV32" s="4">
        <f t="shared" si="6"/>
        <v>5.1004117004124612E-2</v>
      </c>
      <c r="AW32" s="4">
        <f t="shared" si="7"/>
        <v>9.1658756523861823E-2</v>
      </c>
      <c r="AX32" s="4">
        <f t="shared" si="8"/>
        <v>0.10577233559081903</v>
      </c>
      <c r="AY32" s="4">
        <f t="shared" si="9"/>
        <v>0.12528566162645313</v>
      </c>
      <c r="AZ32" s="4">
        <f t="shared" si="10"/>
        <v>7.7019482561397343E-4</v>
      </c>
      <c r="BA32" s="4">
        <f t="shared" si="11"/>
        <v>2.4673875069851372E-3</v>
      </c>
      <c r="BB32" s="4">
        <f t="shared" si="12"/>
        <v>1.6580876480558355E-3</v>
      </c>
      <c r="BC32" s="4">
        <f t="shared" si="13"/>
        <v>3.0008529568604702E-3</v>
      </c>
      <c r="BD32" s="4">
        <f t="shared" si="14"/>
        <v>1.1669998736688046E-3</v>
      </c>
      <c r="BE32" s="4">
        <f t="shared" si="15"/>
        <v>8.0111037032576923E-2</v>
      </c>
      <c r="BF32" s="4">
        <f t="shared" si="16"/>
        <v>9.4287231001398311E-2</v>
      </c>
      <c r="BG32" s="4">
        <f t="shared" si="17"/>
        <v>0.14828920535736614</v>
      </c>
      <c r="BH32" s="4">
        <f t="shared" si="18"/>
        <v>5.3380330006524764E-2</v>
      </c>
      <c r="BI32" s="4">
        <f t="shared" si="19"/>
        <v>9.3573240933378543E-2</v>
      </c>
      <c r="BJ32" s="4">
        <f t="shared" si="20"/>
        <v>9.9102722374982688E-3</v>
      </c>
      <c r="BK32" s="4">
        <f t="shared" si="21"/>
        <v>4.7299026588059918E-3</v>
      </c>
      <c r="BL32" s="4">
        <f t="shared" si="22"/>
        <v>2.905511633266538E-2</v>
      </c>
      <c r="BM32" s="4">
        <f t="shared" si="23"/>
        <v>1.1486906457100265E-2</v>
      </c>
      <c r="BN32" s="4">
        <f t="shared" si="24"/>
        <v>3.4911186291187085E-2</v>
      </c>
      <c r="BO32" s="4">
        <f t="shared" si="25"/>
        <v>0</v>
      </c>
      <c r="BP32" s="4">
        <f t="shared" si="26"/>
        <v>0</v>
      </c>
      <c r="BQ32" s="4">
        <f t="shared" si="27"/>
        <v>0</v>
      </c>
      <c r="BR32" s="4">
        <f t="shared" si="28"/>
        <v>0</v>
      </c>
      <c r="BS32" s="4">
        <f t="shared" si="29"/>
        <v>1</v>
      </c>
    </row>
    <row r="33" spans="17:71" x14ac:dyDescent="0.4">
      <c r="Q33" s="2">
        <v>2002</v>
      </c>
      <c r="R33" s="3">
        <v>48.644300000000001</v>
      </c>
      <c r="S33" s="3">
        <v>222.316</v>
      </c>
      <c r="T33" s="3">
        <v>147.30799999999999</v>
      </c>
      <c r="U33" s="3">
        <v>498.14499999999998</v>
      </c>
      <c r="V33" s="3">
        <v>241.42699999999999</v>
      </c>
      <c r="W33" s="3">
        <v>293.61200000000002</v>
      </c>
      <c r="X33" s="3">
        <v>2.7064499999999998</v>
      </c>
      <c r="Y33" s="3">
        <v>14.377700000000001</v>
      </c>
      <c r="Z33" s="3">
        <v>4.5308099999999998</v>
      </c>
      <c r="AA33" s="3">
        <v>5.4300699999999997</v>
      </c>
      <c r="AB33" s="3">
        <v>4.2664799999999996</v>
      </c>
      <c r="AC33" s="3">
        <v>12.16</v>
      </c>
      <c r="AD33" s="3">
        <v>491.31</v>
      </c>
      <c r="AE33" s="3">
        <v>772.7</v>
      </c>
      <c r="AF33" s="3">
        <v>290</v>
      </c>
      <c r="AG33" s="3">
        <v>232.02</v>
      </c>
      <c r="AH33" s="3">
        <v>30</v>
      </c>
      <c r="AI33" s="3">
        <v>51</v>
      </c>
      <c r="AJ33" s="3">
        <v>226</v>
      </c>
      <c r="AK33" s="3">
        <v>29</v>
      </c>
      <c r="AL33" s="3">
        <v>223</v>
      </c>
      <c r="AM33" s="3">
        <v>0</v>
      </c>
      <c r="AN33" s="3">
        <v>0</v>
      </c>
      <c r="AO33" s="3">
        <v>0</v>
      </c>
      <c r="AP33" s="3">
        <v>0</v>
      </c>
      <c r="AQ33" s="3">
        <f t="shared" si="2"/>
        <v>3839.9538099999995</v>
      </c>
      <c r="AS33" s="2">
        <v>2002</v>
      </c>
      <c r="AT33" s="4">
        <f t="shared" si="4"/>
        <v>1.2667938836483037E-2</v>
      </c>
      <c r="AU33" s="4">
        <f t="shared" si="5"/>
        <v>5.789548807098803E-2</v>
      </c>
      <c r="AV33" s="4">
        <f t="shared" si="6"/>
        <v>3.83619197752798E-2</v>
      </c>
      <c r="AW33" s="4">
        <f t="shared" si="7"/>
        <v>0.12972682085464982</v>
      </c>
      <c r="AX33" s="4">
        <f t="shared" si="8"/>
        <v>6.2872370852815024E-2</v>
      </c>
      <c r="AY33" s="4">
        <f t="shared" si="9"/>
        <v>7.6462378072198758E-2</v>
      </c>
      <c r="AZ33" s="4">
        <f t="shared" si="10"/>
        <v>7.0481316544794591E-4</v>
      </c>
      <c r="BA33" s="4">
        <f t="shared" si="11"/>
        <v>3.7442377464431019E-3</v>
      </c>
      <c r="BB33" s="4">
        <f t="shared" si="12"/>
        <v>1.1799126302511436E-3</v>
      </c>
      <c r="BC33" s="4">
        <f t="shared" si="13"/>
        <v>1.4140977388475411E-3</v>
      </c>
      <c r="BD33" s="4">
        <f t="shared" si="14"/>
        <v>1.1110758647380709E-3</v>
      </c>
      <c r="BE33" s="4">
        <f t="shared" si="15"/>
        <v>3.1667047578366578E-3</v>
      </c>
      <c r="BF33" s="4">
        <f t="shared" si="16"/>
        <v>0.12794685152736254</v>
      </c>
      <c r="BG33" s="4">
        <f t="shared" si="17"/>
        <v>0.20122637881417646</v>
      </c>
      <c r="BH33" s="4">
        <f t="shared" si="18"/>
        <v>7.5521741757617666E-2</v>
      </c>
      <c r="BI33" s="4">
        <f t="shared" si="19"/>
        <v>6.0422601802077418E-2</v>
      </c>
      <c r="BJ33" s="4">
        <f t="shared" si="20"/>
        <v>7.8125939749259642E-3</v>
      </c>
      <c r="BK33" s="4">
        <f t="shared" si="21"/>
        <v>1.328140975737414E-2</v>
      </c>
      <c r="BL33" s="4">
        <f t="shared" si="22"/>
        <v>5.8854874611108936E-2</v>
      </c>
      <c r="BM33" s="4">
        <f t="shared" si="23"/>
        <v>7.5521741757617663E-3</v>
      </c>
      <c r="BN33" s="4">
        <f t="shared" si="24"/>
        <v>5.8073615213616342E-2</v>
      </c>
      <c r="BO33" s="4">
        <f t="shared" si="25"/>
        <v>0</v>
      </c>
      <c r="BP33" s="4">
        <f t="shared" si="26"/>
        <v>0</v>
      </c>
      <c r="BQ33" s="4">
        <f t="shared" si="27"/>
        <v>0</v>
      </c>
      <c r="BR33" s="4">
        <f t="shared" si="28"/>
        <v>0</v>
      </c>
      <c r="BS33" s="4">
        <f t="shared" si="29"/>
        <v>1</v>
      </c>
    </row>
    <row r="34" spans="17:71" x14ac:dyDescent="0.4">
      <c r="Q34" s="2">
        <v>2003</v>
      </c>
      <c r="R34" s="3">
        <v>53.022500000000001</v>
      </c>
      <c r="S34" s="3">
        <v>245.61699999999999</v>
      </c>
      <c r="T34" s="3">
        <v>287.267</v>
      </c>
      <c r="U34" s="3">
        <v>408.77300000000002</v>
      </c>
      <c r="V34" s="3">
        <v>254.22499999999999</v>
      </c>
      <c r="W34" s="3">
        <v>255.905</v>
      </c>
      <c r="X34" s="3">
        <v>3.8925000000000001</v>
      </c>
      <c r="Y34" s="3">
        <v>4.1796899999999999</v>
      </c>
      <c r="Z34" s="3">
        <v>9.9574099999999994</v>
      </c>
      <c r="AA34" s="3">
        <v>22.8888</v>
      </c>
      <c r="AB34" s="3">
        <v>4.1274899999999999</v>
      </c>
      <c r="AC34" s="3">
        <v>196.64</v>
      </c>
      <c r="AD34" s="3">
        <v>413.57</v>
      </c>
      <c r="AE34" s="3">
        <v>650.44000000000005</v>
      </c>
      <c r="AF34" s="3">
        <v>203</v>
      </c>
      <c r="AG34" s="3">
        <v>759.26</v>
      </c>
      <c r="AH34" s="3">
        <v>30</v>
      </c>
      <c r="AI34" s="3">
        <v>172</v>
      </c>
      <c r="AJ34" s="3">
        <v>681</v>
      </c>
      <c r="AK34" s="3">
        <v>43</v>
      </c>
      <c r="AL34" s="3">
        <v>399</v>
      </c>
      <c r="AM34" s="3">
        <v>0</v>
      </c>
      <c r="AN34" s="3">
        <v>0</v>
      </c>
      <c r="AO34" s="3">
        <v>0</v>
      </c>
      <c r="AP34" s="3">
        <v>0</v>
      </c>
      <c r="AQ34" s="3">
        <f t="shared" si="2"/>
        <v>5097.7653900000005</v>
      </c>
      <c r="AS34" s="2">
        <v>2003</v>
      </c>
      <c r="AT34" s="4">
        <f t="shared" si="4"/>
        <v>1.0401125972570502E-2</v>
      </c>
      <c r="AU34" s="4">
        <f t="shared" si="5"/>
        <v>4.8181307143285376E-2</v>
      </c>
      <c r="AV34" s="4">
        <f t="shared" si="6"/>
        <v>5.6351553675560571E-2</v>
      </c>
      <c r="AW34" s="4">
        <f t="shared" si="7"/>
        <v>8.0186703138961049E-2</v>
      </c>
      <c r="AX34" s="4">
        <f t="shared" si="8"/>
        <v>4.9869890148083094E-2</v>
      </c>
      <c r="AY34" s="4">
        <f t="shared" si="9"/>
        <v>5.0199446310729492E-2</v>
      </c>
      <c r="AZ34" s="4">
        <f t="shared" si="10"/>
        <v>7.6356985898874403E-4</v>
      </c>
      <c r="BA34" s="4">
        <f t="shared" si="11"/>
        <v>8.1990630800684997E-4</v>
      </c>
      <c r="BB34" s="4">
        <f t="shared" si="12"/>
        <v>1.9532891842243055E-3</v>
      </c>
      <c r="BC34" s="4">
        <f t="shared" si="13"/>
        <v>4.4899673187980896E-3</v>
      </c>
      <c r="BD34" s="4">
        <f t="shared" si="14"/>
        <v>8.0966652723890836E-4</v>
      </c>
      <c r="BE34" s="4">
        <f t="shared" si="15"/>
        <v>3.8573764180230341E-2</v>
      </c>
      <c r="BF34" s="4">
        <f t="shared" si="16"/>
        <v>8.1127703681946009E-2</v>
      </c>
      <c r="BG34" s="4">
        <f t="shared" si="17"/>
        <v>0.12759316097126236</v>
      </c>
      <c r="BH34" s="4">
        <f t="shared" si="18"/>
        <v>3.9821369653105981E-2</v>
      </c>
      <c r="BI34" s="4">
        <f t="shared" si="19"/>
        <v>0.14893976907791748</v>
      </c>
      <c r="BJ34" s="4">
        <f t="shared" si="20"/>
        <v>5.8849314758284699E-3</v>
      </c>
      <c r="BK34" s="4">
        <f t="shared" si="21"/>
        <v>3.3740273794749899E-2</v>
      </c>
      <c r="BL34" s="4">
        <f t="shared" si="22"/>
        <v>0.13358794450130629</v>
      </c>
      <c r="BM34" s="4">
        <f t="shared" si="23"/>
        <v>8.4350684486874748E-3</v>
      </c>
      <c r="BN34" s="4">
        <f t="shared" si="24"/>
        <v>7.8269588628518655E-2</v>
      </c>
      <c r="BO34" s="4">
        <f t="shared" si="25"/>
        <v>0</v>
      </c>
      <c r="BP34" s="4">
        <f t="shared" si="26"/>
        <v>0</v>
      </c>
      <c r="BQ34" s="4">
        <f t="shared" si="27"/>
        <v>0</v>
      </c>
      <c r="BR34" s="4">
        <f t="shared" si="28"/>
        <v>0</v>
      </c>
      <c r="BS34" s="4">
        <f t="shared" si="29"/>
        <v>1</v>
      </c>
    </row>
    <row r="35" spans="17:71" x14ac:dyDescent="0.4">
      <c r="Q35" s="2">
        <v>2004</v>
      </c>
      <c r="R35" s="3">
        <v>123.98699999999999</v>
      </c>
      <c r="S35" s="3">
        <v>189.95500000000001</v>
      </c>
      <c r="T35" s="3">
        <v>181.797</v>
      </c>
      <c r="U35" s="3">
        <v>334.17</v>
      </c>
      <c r="V35" s="3">
        <v>212.55</v>
      </c>
      <c r="W35" s="3">
        <v>312.63600000000002</v>
      </c>
      <c r="X35" s="3">
        <v>5.8268300000000002</v>
      </c>
      <c r="Y35" s="3">
        <v>3.82152</v>
      </c>
      <c r="Z35" s="3">
        <v>10.289899999999999</v>
      </c>
      <c r="AA35" s="3">
        <v>8.1254500000000007</v>
      </c>
      <c r="AB35" s="3">
        <v>3.0954100000000002</v>
      </c>
      <c r="AC35" s="3">
        <v>124.36</v>
      </c>
      <c r="AD35" s="3">
        <v>520.46</v>
      </c>
      <c r="AE35" s="3">
        <v>818.54</v>
      </c>
      <c r="AF35" s="3">
        <v>90</v>
      </c>
      <c r="AG35" s="3">
        <v>459.97</v>
      </c>
      <c r="AH35" s="3">
        <v>35</v>
      </c>
      <c r="AI35" s="3">
        <v>228</v>
      </c>
      <c r="AJ35" s="3">
        <v>261</v>
      </c>
      <c r="AK35" s="3">
        <v>24</v>
      </c>
      <c r="AL35" s="3">
        <v>273</v>
      </c>
      <c r="AM35" s="3">
        <v>0</v>
      </c>
      <c r="AN35" s="3">
        <v>0</v>
      </c>
      <c r="AO35" s="3">
        <v>0</v>
      </c>
      <c r="AP35" s="3">
        <v>0</v>
      </c>
      <c r="AQ35" s="3">
        <f t="shared" si="2"/>
        <v>4220.5841099999998</v>
      </c>
      <c r="AS35" s="2">
        <v>2004</v>
      </c>
      <c r="AT35" s="4">
        <f t="shared" si="4"/>
        <v>2.9376739514853551E-2</v>
      </c>
      <c r="AU35" s="4">
        <f t="shared" si="5"/>
        <v>4.5006803572503626E-2</v>
      </c>
      <c r="AV35" s="4">
        <f t="shared" si="6"/>
        <v>4.3073895759892816E-2</v>
      </c>
      <c r="AW35" s="4">
        <f t="shared" si="7"/>
        <v>7.9176244635958709E-2</v>
      </c>
      <c r="AX35" s="4">
        <f t="shared" si="8"/>
        <v>5.0360327968917082E-2</v>
      </c>
      <c r="AY35" s="4">
        <f t="shared" si="9"/>
        <v>7.4074107244838219E-2</v>
      </c>
      <c r="AZ35" s="4">
        <f t="shared" si="10"/>
        <v>1.38057431107563E-3</v>
      </c>
      <c r="BA35" s="4">
        <f t="shared" si="11"/>
        <v>9.0544813239132446E-4</v>
      </c>
      <c r="BB35" s="4">
        <f t="shared" si="12"/>
        <v>2.4380274700887316E-3</v>
      </c>
      <c r="BC35" s="4">
        <f t="shared" si="13"/>
        <v>1.9251956099507756E-3</v>
      </c>
      <c r="BD35" s="4">
        <f t="shared" si="14"/>
        <v>7.3340796423554757E-4</v>
      </c>
      <c r="BE35" s="4">
        <f t="shared" si="15"/>
        <v>2.9465115907854757E-2</v>
      </c>
      <c r="BF35" s="4">
        <f t="shared" si="16"/>
        <v>0.12331468499036738</v>
      </c>
      <c r="BG35" s="4">
        <f t="shared" si="17"/>
        <v>0.19393998050189315</v>
      </c>
      <c r="BH35" s="4">
        <f t="shared" si="18"/>
        <v>2.1324062654446189E-2</v>
      </c>
      <c r="BI35" s="4">
        <f t="shared" si="19"/>
        <v>0.1089825455462846</v>
      </c>
      <c r="BJ35" s="4">
        <f t="shared" si="20"/>
        <v>8.2926910322846294E-3</v>
      </c>
      <c r="BK35" s="4">
        <f t="shared" si="21"/>
        <v>5.4020958724597008E-2</v>
      </c>
      <c r="BL35" s="4">
        <f t="shared" si="22"/>
        <v>6.1839781697893947E-2</v>
      </c>
      <c r="BM35" s="4">
        <f t="shared" si="23"/>
        <v>5.6864167078523173E-3</v>
      </c>
      <c r="BN35" s="4">
        <f t="shared" si="24"/>
        <v>6.46829900518201E-2</v>
      </c>
      <c r="BO35" s="4">
        <f t="shared" si="25"/>
        <v>0</v>
      </c>
      <c r="BP35" s="4">
        <f t="shared" si="26"/>
        <v>0</v>
      </c>
      <c r="BQ35" s="4">
        <f t="shared" si="27"/>
        <v>0</v>
      </c>
      <c r="BR35" s="4">
        <f t="shared" si="28"/>
        <v>0</v>
      </c>
      <c r="BS35" s="4">
        <f t="shared" si="29"/>
        <v>1</v>
      </c>
    </row>
    <row r="36" spans="17:71" x14ac:dyDescent="0.4">
      <c r="Q36" s="2">
        <v>2005</v>
      </c>
      <c r="R36" s="3">
        <v>89.637500000000003</v>
      </c>
      <c r="S36" s="3">
        <v>107.13800000000001</v>
      </c>
      <c r="T36" s="3">
        <v>90.942700000000002</v>
      </c>
      <c r="U36" s="3">
        <v>314.85899999999998</v>
      </c>
      <c r="V36" s="3">
        <v>130.452</v>
      </c>
      <c r="W36" s="3">
        <v>199.054</v>
      </c>
      <c r="X36" s="3">
        <v>2.9068399999999999</v>
      </c>
      <c r="Y36" s="3">
        <v>5.5892200000000001</v>
      </c>
      <c r="Z36" s="3">
        <v>3.4880300000000002</v>
      </c>
      <c r="AA36" s="3">
        <v>19.076000000000001</v>
      </c>
      <c r="AB36" s="3">
        <v>2.07348</v>
      </c>
      <c r="AC36" s="3">
        <v>110.36</v>
      </c>
      <c r="AD36" s="3">
        <v>471.87</v>
      </c>
      <c r="AE36" s="3">
        <v>742.13</v>
      </c>
      <c r="AF36" s="3">
        <v>98</v>
      </c>
      <c r="AG36" s="3">
        <v>733.03</v>
      </c>
      <c r="AH36" s="3">
        <v>20</v>
      </c>
      <c r="AI36" s="3">
        <v>176</v>
      </c>
      <c r="AJ36" s="3">
        <v>584</v>
      </c>
      <c r="AK36" s="3">
        <v>32</v>
      </c>
      <c r="AL36" s="3">
        <v>282</v>
      </c>
      <c r="AM36" s="3">
        <v>0</v>
      </c>
      <c r="AN36" s="3">
        <v>0</v>
      </c>
      <c r="AO36" s="3">
        <v>0</v>
      </c>
      <c r="AP36" s="3">
        <v>0</v>
      </c>
      <c r="AQ36" s="3">
        <f t="shared" si="2"/>
        <v>4214.6067700000003</v>
      </c>
      <c r="AS36" s="2">
        <v>2005</v>
      </c>
      <c r="AT36" s="4">
        <f t="shared" si="4"/>
        <v>2.1268294977849142E-2</v>
      </c>
      <c r="AU36" s="4">
        <f t="shared" si="5"/>
        <v>2.542063965791997E-2</v>
      </c>
      <c r="AV36" s="4">
        <f t="shared" si="6"/>
        <v>2.1577979859791284E-2</v>
      </c>
      <c r="AW36" s="4">
        <f t="shared" si="7"/>
        <v>7.470661373231742E-2</v>
      </c>
      <c r="AX36" s="4">
        <f t="shared" si="8"/>
        <v>3.095235383015341E-2</v>
      </c>
      <c r="AY36" s="4">
        <f t="shared" si="9"/>
        <v>4.7229554466833447E-2</v>
      </c>
      <c r="AZ36" s="4">
        <f t="shared" si="10"/>
        <v>6.8970610038667965E-4</v>
      </c>
      <c r="BA36" s="4">
        <f t="shared" si="11"/>
        <v>1.3261545631693653E-3</v>
      </c>
      <c r="BB36" s="4">
        <f t="shared" si="12"/>
        <v>8.2760508639338607E-4</v>
      </c>
      <c r="BC36" s="4">
        <f t="shared" si="13"/>
        <v>4.526163659154374E-3</v>
      </c>
      <c r="BD36" s="4">
        <f t="shared" si="14"/>
        <v>4.919747234212315E-4</v>
      </c>
      <c r="BE36" s="4">
        <f t="shared" si="15"/>
        <v>2.618512379032694E-2</v>
      </c>
      <c r="BF36" s="4">
        <f t="shared" si="16"/>
        <v>0.11196062307848473</v>
      </c>
      <c r="BG36" s="4">
        <f t="shared" si="17"/>
        <v>0.17608522941750029</v>
      </c>
      <c r="BH36" s="4">
        <f t="shared" si="18"/>
        <v>2.3252465852229433E-2</v>
      </c>
      <c r="BI36" s="4">
        <f t="shared" si="19"/>
        <v>0.17392607187407899</v>
      </c>
      <c r="BJ36" s="4">
        <f t="shared" si="20"/>
        <v>4.7454011943325377E-3</v>
      </c>
      <c r="BK36" s="4">
        <f t="shared" si="21"/>
        <v>4.1759530510126333E-2</v>
      </c>
      <c r="BL36" s="4">
        <f t="shared" si="22"/>
        <v>0.13856571487451011</v>
      </c>
      <c r="BM36" s="4">
        <f t="shared" si="23"/>
        <v>7.5926419109320605E-3</v>
      </c>
      <c r="BN36" s="4">
        <f t="shared" si="24"/>
        <v>6.6910156840088775E-2</v>
      </c>
      <c r="BO36" s="4">
        <f t="shared" si="25"/>
        <v>0</v>
      </c>
      <c r="BP36" s="4">
        <f t="shared" si="26"/>
        <v>0</v>
      </c>
      <c r="BQ36" s="4">
        <f t="shared" si="27"/>
        <v>0</v>
      </c>
      <c r="BR36" s="4">
        <f t="shared" si="28"/>
        <v>0</v>
      </c>
      <c r="BS36" s="4">
        <f t="shared" si="29"/>
        <v>1</v>
      </c>
    </row>
    <row r="37" spans="17:71" x14ac:dyDescent="0.4">
      <c r="Q37" s="2">
        <v>2006</v>
      </c>
      <c r="R37" s="3">
        <v>60.738999999999997</v>
      </c>
      <c r="S37" s="3">
        <v>96.477800000000002</v>
      </c>
      <c r="T37" s="3">
        <v>82.399500000000003</v>
      </c>
      <c r="U37" s="3">
        <v>292.24099999999999</v>
      </c>
      <c r="V37" s="3">
        <v>138.85499999999999</v>
      </c>
      <c r="W37" s="3">
        <v>196.02099999999999</v>
      </c>
      <c r="X37" s="3">
        <v>1.2422</v>
      </c>
      <c r="Y37" s="3">
        <v>3.15693</v>
      </c>
      <c r="Z37" s="3">
        <v>2.1990599999999998</v>
      </c>
      <c r="AA37" s="3">
        <v>10.636799999999999</v>
      </c>
      <c r="AB37" s="3">
        <v>1.5195399999999999</v>
      </c>
      <c r="AC37" s="3">
        <v>79.599999999999994</v>
      </c>
      <c r="AD37" s="3">
        <v>462.539999999999</v>
      </c>
      <c r="AE37" s="3">
        <v>727.45999999999901</v>
      </c>
      <c r="AF37" s="3">
        <v>95</v>
      </c>
      <c r="AG37" s="3">
        <v>704.48</v>
      </c>
      <c r="AH37" s="3">
        <v>21</v>
      </c>
      <c r="AI37" s="3">
        <v>134</v>
      </c>
      <c r="AJ37" s="3">
        <v>537</v>
      </c>
      <c r="AK37" s="3">
        <v>147</v>
      </c>
      <c r="AL37" s="3">
        <v>240</v>
      </c>
      <c r="AM37" s="3">
        <v>0</v>
      </c>
      <c r="AN37" s="3">
        <v>0</v>
      </c>
      <c r="AO37" s="3">
        <v>0</v>
      </c>
      <c r="AP37" s="3">
        <v>0</v>
      </c>
      <c r="AQ37" s="3">
        <f t="shared" si="2"/>
        <v>4033.5678299999981</v>
      </c>
      <c r="AS37" s="2">
        <v>2006</v>
      </c>
      <c r="AT37" s="4">
        <f t="shared" si="4"/>
        <v>1.5058380709070665E-2</v>
      </c>
      <c r="AU37" s="4">
        <f t="shared" si="5"/>
        <v>2.3918725075710464E-2</v>
      </c>
      <c r="AV37" s="4">
        <f t="shared" si="6"/>
        <v>2.0428440396402122E-2</v>
      </c>
      <c r="AW37" s="4">
        <f t="shared" si="7"/>
        <v>7.2452233932062113E-2</v>
      </c>
      <c r="AX37" s="4">
        <f t="shared" si="8"/>
        <v>3.4424858054265088E-2</v>
      </c>
      <c r="AY37" s="4">
        <f t="shared" si="9"/>
        <v>4.8597422495805676E-2</v>
      </c>
      <c r="AZ37" s="4">
        <f t="shared" si="10"/>
        <v>3.0796556605817646E-4</v>
      </c>
      <c r="BA37" s="4">
        <f t="shared" si="11"/>
        <v>7.8266441350510307E-4</v>
      </c>
      <c r="BB37" s="4">
        <f t="shared" si="12"/>
        <v>5.4518979044911725E-4</v>
      </c>
      <c r="BC37" s="4">
        <f t="shared" si="13"/>
        <v>2.6370698221281691E-3</v>
      </c>
      <c r="BD37" s="4">
        <f t="shared" si="14"/>
        <v>3.7672355196268029E-4</v>
      </c>
      <c r="BE37" s="4">
        <f t="shared" si="15"/>
        <v>1.9734389839181167E-2</v>
      </c>
      <c r="BF37" s="4">
        <f t="shared" si="16"/>
        <v>0.1146726718117442</v>
      </c>
      <c r="BG37" s="4">
        <f t="shared" si="17"/>
        <v>0.18035149789460694</v>
      </c>
      <c r="BH37" s="4">
        <f t="shared" si="18"/>
        <v>2.3552349682439837E-2</v>
      </c>
      <c r="BI37" s="4">
        <f t="shared" si="19"/>
        <v>0.17465430846616017</v>
      </c>
      <c r="BJ37" s="4">
        <f t="shared" si="20"/>
        <v>5.2063088771709112E-3</v>
      </c>
      <c r="BK37" s="4">
        <f t="shared" si="21"/>
        <v>3.3221209025757245E-2</v>
      </c>
      <c r="BL37" s="4">
        <f t="shared" si="22"/>
        <v>0.13313275557337045</v>
      </c>
      <c r="BM37" s="4">
        <f t="shared" si="23"/>
        <v>3.6444162140196378E-2</v>
      </c>
      <c r="BN37" s="4">
        <f t="shared" si="24"/>
        <v>5.9500672881953272E-2</v>
      </c>
      <c r="BO37" s="4">
        <f t="shared" si="25"/>
        <v>0</v>
      </c>
      <c r="BP37" s="4">
        <f t="shared" si="26"/>
        <v>0</v>
      </c>
      <c r="BQ37" s="4">
        <f t="shared" si="27"/>
        <v>0</v>
      </c>
      <c r="BR37" s="4">
        <f t="shared" si="28"/>
        <v>0</v>
      </c>
      <c r="BS37" s="4">
        <f t="shared" si="29"/>
        <v>1</v>
      </c>
    </row>
    <row r="38" spans="17:71" x14ac:dyDescent="0.4">
      <c r="Q38" s="2">
        <v>2007</v>
      </c>
      <c r="R38" s="3">
        <v>101.289</v>
      </c>
      <c r="S38" s="3">
        <v>80.355900000000005</v>
      </c>
      <c r="T38" s="3">
        <v>69.857100000000003</v>
      </c>
      <c r="U38" s="3">
        <v>238.76499999999999</v>
      </c>
      <c r="V38" s="3">
        <v>136.60599999999999</v>
      </c>
      <c r="W38" s="3">
        <v>375.61</v>
      </c>
      <c r="X38" s="3">
        <v>0.80759700000000001</v>
      </c>
      <c r="Y38" s="3">
        <v>2.70811</v>
      </c>
      <c r="Z38" s="3">
        <v>4.0475899999999996</v>
      </c>
      <c r="AA38" s="3">
        <v>12.0905</v>
      </c>
      <c r="AB38" s="3">
        <v>0.40301599999999999</v>
      </c>
      <c r="AC38" s="3">
        <v>123.68</v>
      </c>
      <c r="AD38" s="3">
        <v>377.03</v>
      </c>
      <c r="AE38" s="3">
        <v>592.969999999999</v>
      </c>
      <c r="AF38" s="3">
        <v>79</v>
      </c>
      <c r="AG38" s="3">
        <v>348.29</v>
      </c>
      <c r="AH38" s="3">
        <v>13</v>
      </c>
      <c r="AI38" s="3">
        <v>89</v>
      </c>
      <c r="AJ38" s="3">
        <v>199</v>
      </c>
      <c r="AK38" s="3">
        <v>170</v>
      </c>
      <c r="AL38" s="3">
        <v>141</v>
      </c>
      <c r="AM38" s="3">
        <v>0</v>
      </c>
      <c r="AN38" s="3">
        <v>0</v>
      </c>
      <c r="AO38" s="3">
        <v>0</v>
      </c>
      <c r="AP38" s="3">
        <v>0</v>
      </c>
      <c r="AQ38" s="3">
        <f t="shared" si="2"/>
        <v>3155.5098129999992</v>
      </c>
      <c r="AS38" s="2">
        <v>2007</v>
      </c>
      <c r="AT38" s="4">
        <f t="shared" si="4"/>
        <v>3.2099092065159117E-2</v>
      </c>
      <c r="AU38" s="4">
        <f t="shared" si="5"/>
        <v>2.5465267028786143E-2</v>
      </c>
      <c r="AV38" s="4">
        <f t="shared" si="6"/>
        <v>2.2138134292026053E-2</v>
      </c>
      <c r="AW38" s="4">
        <f t="shared" si="7"/>
        <v>7.5666061634903262E-2</v>
      </c>
      <c r="AX38" s="4">
        <f t="shared" si="8"/>
        <v>4.3291261347758653E-2</v>
      </c>
      <c r="AY38" s="4">
        <f t="shared" si="9"/>
        <v>0.11903306351720735</v>
      </c>
      <c r="AZ38" s="4">
        <f t="shared" si="10"/>
        <v>2.5593233672507681E-4</v>
      </c>
      <c r="BA38" s="4">
        <f t="shared" si="11"/>
        <v>8.5821631384037803E-4</v>
      </c>
      <c r="BB38" s="4">
        <f t="shared" si="12"/>
        <v>1.2827055657773042E-3</v>
      </c>
      <c r="BC38" s="4">
        <f t="shared" si="13"/>
        <v>3.8315520205926242E-3</v>
      </c>
      <c r="BD38" s="4">
        <f t="shared" si="14"/>
        <v>1.2771818941575261E-4</v>
      </c>
      <c r="BE38" s="4">
        <f t="shared" si="15"/>
        <v>3.9194934362259272E-2</v>
      </c>
      <c r="BF38" s="4">
        <f t="shared" si="16"/>
        <v>0.11948307004044803</v>
      </c>
      <c r="BG38" s="4">
        <f t="shared" si="17"/>
        <v>0.18791575217326037</v>
      </c>
      <c r="BH38" s="4">
        <f t="shared" si="18"/>
        <v>2.5035574180291741E-2</v>
      </c>
      <c r="BI38" s="4">
        <f t="shared" si="19"/>
        <v>0.11037519153485836</v>
      </c>
      <c r="BJ38" s="4">
        <f t="shared" si="20"/>
        <v>4.1197780296682611E-3</v>
      </c>
      <c r="BK38" s="4">
        <f t="shared" si="21"/>
        <v>2.820463420311348E-2</v>
      </c>
      <c r="BL38" s="4">
        <f t="shared" si="22"/>
        <v>6.3064294454152611E-2</v>
      </c>
      <c r="BM38" s="4">
        <f t="shared" si="23"/>
        <v>5.3874020387969568E-2</v>
      </c>
      <c r="BN38" s="4">
        <f t="shared" si="24"/>
        <v>4.4683746321786524E-2</v>
      </c>
      <c r="BO38" s="4">
        <f t="shared" si="25"/>
        <v>0</v>
      </c>
      <c r="BP38" s="4">
        <f t="shared" si="26"/>
        <v>0</v>
      </c>
      <c r="BQ38" s="4">
        <f t="shared" si="27"/>
        <v>0</v>
      </c>
      <c r="BR38" s="4">
        <f t="shared" si="28"/>
        <v>0</v>
      </c>
      <c r="BS38" s="4">
        <f t="shared" si="29"/>
        <v>1</v>
      </c>
    </row>
    <row r="39" spans="17:71" x14ac:dyDescent="0.4">
      <c r="Q39" s="2">
        <v>2008</v>
      </c>
      <c r="R39" s="3">
        <v>139.42099999999999</v>
      </c>
      <c r="S39" s="3">
        <v>102.295</v>
      </c>
      <c r="T39" s="3">
        <v>66.142300000000006</v>
      </c>
      <c r="U39" s="3">
        <v>211.02799999999999</v>
      </c>
      <c r="V39" s="3">
        <v>102.64</v>
      </c>
      <c r="W39" s="3">
        <v>271.48500000000001</v>
      </c>
      <c r="X39" s="3">
        <v>0.82164300000000001</v>
      </c>
      <c r="Y39" s="3">
        <v>3.14297</v>
      </c>
      <c r="Z39" s="3">
        <v>2.2313100000000001</v>
      </c>
      <c r="AA39" s="3">
        <v>18.379799999999999</v>
      </c>
      <c r="AB39" s="3">
        <v>5.7436999999999996</v>
      </c>
      <c r="AC39" s="3">
        <v>89.08</v>
      </c>
      <c r="AD39" s="3">
        <v>506.08</v>
      </c>
      <c r="AE39" s="3">
        <v>795.93</v>
      </c>
      <c r="AF39" s="3">
        <v>97</v>
      </c>
      <c r="AG39" s="3">
        <v>476.73</v>
      </c>
      <c r="AH39" s="3">
        <v>14</v>
      </c>
      <c r="AI39" s="3">
        <v>72</v>
      </c>
      <c r="AJ39" s="3">
        <v>192</v>
      </c>
      <c r="AK39" s="3">
        <v>213</v>
      </c>
      <c r="AL39" s="3">
        <v>211</v>
      </c>
      <c r="AM39" s="3">
        <v>0</v>
      </c>
      <c r="AN39" s="3">
        <v>0</v>
      </c>
      <c r="AO39" s="3">
        <v>0</v>
      </c>
      <c r="AP39" s="3">
        <v>0</v>
      </c>
      <c r="AQ39" s="3">
        <f t="shared" si="2"/>
        <v>3590.1507230000002</v>
      </c>
      <c r="AS39" s="2">
        <v>2008</v>
      </c>
      <c r="AT39" s="4">
        <f t="shared" si="4"/>
        <v>3.883430272350713E-2</v>
      </c>
      <c r="AU39" s="4">
        <f t="shared" si="5"/>
        <v>2.8493232705985194E-2</v>
      </c>
      <c r="AV39" s="4">
        <f t="shared" si="6"/>
        <v>1.8423265512577201E-2</v>
      </c>
      <c r="AW39" s="4">
        <f t="shared" si="7"/>
        <v>5.8779704887615657E-2</v>
      </c>
      <c r="AX39" s="4">
        <f t="shared" si="8"/>
        <v>2.858932895002024E-2</v>
      </c>
      <c r="AY39" s="4">
        <f t="shared" si="9"/>
        <v>7.5619387860446655E-2</v>
      </c>
      <c r="AZ39" s="4">
        <f t="shared" si="10"/>
        <v>2.2886030793532229E-4</v>
      </c>
      <c r="BA39" s="4">
        <f t="shared" si="11"/>
        <v>8.7544235395601243E-4</v>
      </c>
      <c r="BB39" s="4">
        <f t="shared" si="12"/>
        <v>6.2150872544300146E-4</v>
      </c>
      <c r="BC39" s="4">
        <f t="shared" si="13"/>
        <v>5.1195065104791696E-3</v>
      </c>
      <c r="BD39" s="4">
        <f t="shared" si="14"/>
        <v>1.5998492662727128E-3</v>
      </c>
      <c r="BE39" s="4">
        <f t="shared" si="15"/>
        <v>2.4812328749686311E-2</v>
      </c>
      <c r="BF39" s="4">
        <f t="shared" si="16"/>
        <v>0.1409634411050881</v>
      </c>
      <c r="BG39" s="4">
        <f t="shared" si="17"/>
        <v>0.22169821308641474</v>
      </c>
      <c r="BH39" s="4">
        <f t="shared" si="18"/>
        <v>2.7018364264925598E-2</v>
      </c>
      <c r="BI39" s="4">
        <f t="shared" si="19"/>
        <v>0.13278829686616475</v>
      </c>
      <c r="BJ39" s="4">
        <f t="shared" si="20"/>
        <v>3.8995577289583335E-3</v>
      </c>
      <c r="BK39" s="4">
        <f t="shared" si="21"/>
        <v>2.0054868320357144E-2</v>
      </c>
      <c r="BL39" s="4">
        <f t="shared" si="22"/>
        <v>5.3479648854285716E-2</v>
      </c>
      <c r="BM39" s="4">
        <f t="shared" si="23"/>
        <v>5.932898544772322E-2</v>
      </c>
      <c r="BN39" s="4">
        <f t="shared" si="24"/>
        <v>5.877190577215774E-2</v>
      </c>
      <c r="BO39" s="4">
        <f t="shared" si="25"/>
        <v>0</v>
      </c>
      <c r="BP39" s="4">
        <f t="shared" si="26"/>
        <v>0</v>
      </c>
      <c r="BQ39" s="4">
        <f t="shared" si="27"/>
        <v>0</v>
      </c>
      <c r="BR39" s="4">
        <f t="shared" si="28"/>
        <v>0</v>
      </c>
      <c r="BS39" s="4">
        <f t="shared" si="29"/>
        <v>1</v>
      </c>
    </row>
    <row r="40" spans="17:71" x14ac:dyDescent="0.4">
      <c r="Q40" s="2">
        <v>2009</v>
      </c>
      <c r="R40" s="3">
        <v>108.831</v>
      </c>
      <c r="S40" s="3">
        <v>59.260599999999997</v>
      </c>
      <c r="T40" s="3">
        <v>65.932299999999998</v>
      </c>
      <c r="U40" s="3">
        <v>152.03200000000001</v>
      </c>
      <c r="V40" s="3">
        <v>104.789</v>
      </c>
      <c r="W40" s="3">
        <v>134.321</v>
      </c>
      <c r="X40" s="3">
        <v>0.39245400000000003</v>
      </c>
      <c r="Y40" s="3">
        <v>1.71787</v>
      </c>
      <c r="Z40" s="3">
        <v>1.9168700000000001</v>
      </c>
      <c r="AA40" s="3">
        <v>3.4638499999999999</v>
      </c>
      <c r="AB40" s="3">
        <v>1.15462</v>
      </c>
      <c r="AC40" s="3">
        <v>136.36000000000001</v>
      </c>
      <c r="AD40" s="3">
        <v>319.12</v>
      </c>
      <c r="AE40" s="3">
        <v>501.88</v>
      </c>
      <c r="AF40" s="3">
        <v>90</v>
      </c>
      <c r="AG40" s="3">
        <v>352.11</v>
      </c>
      <c r="AH40" s="3">
        <v>10</v>
      </c>
      <c r="AI40" s="3">
        <v>30</v>
      </c>
      <c r="AJ40" s="3">
        <v>225</v>
      </c>
      <c r="AK40" s="3">
        <v>138</v>
      </c>
      <c r="AL40" s="3">
        <v>119</v>
      </c>
      <c r="AM40" s="3">
        <v>0</v>
      </c>
      <c r="AN40" s="3">
        <v>0</v>
      </c>
      <c r="AO40" s="3">
        <v>0</v>
      </c>
      <c r="AP40" s="3">
        <v>0</v>
      </c>
      <c r="AQ40" s="3">
        <f t="shared" si="2"/>
        <v>2555.2815640000003</v>
      </c>
      <c r="AS40" s="2">
        <v>2009</v>
      </c>
      <c r="AT40" s="4">
        <f t="shared" si="4"/>
        <v>4.2590609791602591E-2</v>
      </c>
      <c r="AU40" s="4">
        <f t="shared" si="5"/>
        <v>2.3191416881368769E-2</v>
      </c>
      <c r="AV40" s="4">
        <f t="shared" si="6"/>
        <v>2.5802362028860156E-2</v>
      </c>
      <c r="AW40" s="4">
        <f t="shared" si="7"/>
        <v>5.9497161542546938E-2</v>
      </c>
      <c r="AX40" s="4">
        <f t="shared" si="8"/>
        <v>4.1008788024113021E-2</v>
      </c>
      <c r="AY40" s="4">
        <f t="shared" si="9"/>
        <v>5.2566027122950734E-2</v>
      </c>
      <c r="AZ40" s="4">
        <f t="shared" si="10"/>
        <v>1.5358542304264047E-4</v>
      </c>
      <c r="BA40" s="4">
        <f t="shared" si="11"/>
        <v>6.7228207810918162E-4</v>
      </c>
      <c r="BB40" s="4">
        <f t="shared" si="12"/>
        <v>7.5015999293610522E-4</v>
      </c>
      <c r="BC40" s="4">
        <f t="shared" si="13"/>
        <v>1.3555649008705482E-3</v>
      </c>
      <c r="BD40" s="4">
        <f t="shared" si="14"/>
        <v>4.5185627144453497E-4</v>
      </c>
      <c r="BE40" s="4">
        <f t="shared" si="15"/>
        <v>5.3363982240197463E-2</v>
      </c>
      <c r="BF40" s="4">
        <f t="shared" si="16"/>
        <v>0.12488643306315497</v>
      </c>
      <c r="BG40" s="4">
        <f t="shared" si="17"/>
        <v>0.1964088838861125</v>
      </c>
      <c r="BH40" s="4">
        <f t="shared" si="18"/>
        <v>3.5221167509663913E-2</v>
      </c>
      <c r="BI40" s="4">
        <f t="shared" si="19"/>
        <v>0.13779694768697512</v>
      </c>
      <c r="BJ40" s="4">
        <f t="shared" si="20"/>
        <v>3.9134630566293235E-3</v>
      </c>
      <c r="BK40" s="4">
        <f t="shared" si="21"/>
        <v>1.174038916988797E-2</v>
      </c>
      <c r="BL40" s="4">
        <f t="shared" si="22"/>
        <v>8.8052918774159786E-2</v>
      </c>
      <c r="BM40" s="4">
        <f t="shared" si="23"/>
        <v>5.4005790181484666E-2</v>
      </c>
      <c r="BN40" s="4">
        <f t="shared" si="24"/>
        <v>4.6570210373888948E-2</v>
      </c>
      <c r="BO40" s="4">
        <f t="shared" si="25"/>
        <v>0</v>
      </c>
      <c r="BP40" s="4">
        <f t="shared" si="26"/>
        <v>0</v>
      </c>
      <c r="BQ40" s="4">
        <f t="shared" si="27"/>
        <v>0</v>
      </c>
      <c r="BR40" s="4">
        <f t="shared" si="28"/>
        <v>0</v>
      </c>
      <c r="BS40" s="4">
        <f t="shared" si="29"/>
        <v>1</v>
      </c>
    </row>
    <row r="41" spans="17:71" x14ac:dyDescent="0.4">
      <c r="Q41" s="2">
        <v>2010</v>
      </c>
      <c r="R41" s="3">
        <v>141.995</v>
      </c>
      <c r="S41" s="3">
        <v>105.117</v>
      </c>
      <c r="T41" s="3">
        <v>38.187100000000001</v>
      </c>
      <c r="U41" s="3">
        <v>373.22199999999998</v>
      </c>
      <c r="V41" s="3">
        <v>87.4161</v>
      </c>
      <c r="W41" s="3">
        <v>146.82400000000001</v>
      </c>
      <c r="X41" s="3">
        <v>0.82122799999999996</v>
      </c>
      <c r="Y41" s="3">
        <v>12.8224</v>
      </c>
      <c r="Z41" s="3">
        <v>9.9025999999999996</v>
      </c>
      <c r="AA41" s="3">
        <v>0.81342700000000001</v>
      </c>
      <c r="AB41" s="3">
        <v>6.9141300000000001</v>
      </c>
      <c r="AC41" s="3">
        <v>161.12</v>
      </c>
      <c r="AD41" s="3">
        <v>354.88</v>
      </c>
      <c r="AE41" s="3">
        <v>558.13</v>
      </c>
      <c r="AF41" s="3">
        <v>82</v>
      </c>
      <c r="AG41" s="3">
        <v>183.72</v>
      </c>
      <c r="AH41" s="3">
        <v>19</v>
      </c>
      <c r="AI41" s="3">
        <v>32</v>
      </c>
      <c r="AJ41" s="3">
        <v>200</v>
      </c>
      <c r="AK41" s="3">
        <v>176</v>
      </c>
      <c r="AL41" s="3">
        <v>127</v>
      </c>
      <c r="AM41" s="3">
        <v>0</v>
      </c>
      <c r="AN41" s="3">
        <v>0</v>
      </c>
      <c r="AO41" s="3">
        <v>0</v>
      </c>
      <c r="AP41" s="3">
        <v>0</v>
      </c>
      <c r="AQ41" s="3">
        <f t="shared" si="2"/>
        <v>2817.8849850000001</v>
      </c>
      <c r="AS41" s="2">
        <v>2010</v>
      </c>
      <c r="AT41" s="4">
        <f t="shared" si="4"/>
        <v>5.0390630120057935E-2</v>
      </c>
      <c r="AU41" s="4">
        <f t="shared" si="5"/>
        <v>3.7303509745625761E-2</v>
      </c>
      <c r="AV41" s="4">
        <f t="shared" si="6"/>
        <v>1.3551688661274441E-2</v>
      </c>
      <c r="AW41" s="4">
        <f t="shared" si="7"/>
        <v>0.13244756332735844</v>
      </c>
      <c r="AX41" s="4">
        <f t="shared" si="8"/>
        <v>3.1021883598985854E-2</v>
      </c>
      <c r="AY41" s="4">
        <f t="shared" si="9"/>
        <v>5.2104326749162905E-2</v>
      </c>
      <c r="AZ41" s="4">
        <f t="shared" si="10"/>
        <v>2.9143418002207779E-4</v>
      </c>
      <c r="BA41" s="4">
        <f t="shared" si="11"/>
        <v>4.5503631511773709E-3</v>
      </c>
      <c r="BB41" s="4">
        <f t="shared" si="12"/>
        <v>3.5141959493424813E-3</v>
      </c>
      <c r="BC41" s="4">
        <f t="shared" si="13"/>
        <v>2.886657916593427E-4</v>
      </c>
      <c r="BD41" s="4">
        <f t="shared" si="14"/>
        <v>2.4536594065424568E-3</v>
      </c>
      <c r="BE41" s="4">
        <f t="shared" si="15"/>
        <v>5.7177635303663751E-2</v>
      </c>
      <c r="BF41" s="4">
        <f t="shared" si="16"/>
        <v>0.12593842612068143</v>
      </c>
      <c r="BG41" s="4">
        <f t="shared" si="17"/>
        <v>0.1980669910131197</v>
      </c>
      <c r="BH41" s="4">
        <f t="shared" si="18"/>
        <v>2.909983921859749E-2</v>
      </c>
      <c r="BI41" s="4">
        <f t="shared" si="19"/>
        <v>6.5197834893179638E-2</v>
      </c>
      <c r="BJ41" s="4">
        <f t="shared" si="20"/>
        <v>6.7426456726018573E-3</v>
      </c>
      <c r="BK41" s="4">
        <f t="shared" si="21"/>
        <v>1.1356034817013654E-2</v>
      </c>
      <c r="BL41" s="4">
        <f t="shared" si="22"/>
        <v>7.0975217606335336E-2</v>
      </c>
      <c r="BM41" s="4">
        <f t="shared" si="23"/>
        <v>6.2458191493575101E-2</v>
      </c>
      <c r="BN41" s="4">
        <f t="shared" si="24"/>
        <v>4.5069263180022939E-2</v>
      </c>
      <c r="BO41" s="4">
        <f t="shared" si="25"/>
        <v>0</v>
      </c>
      <c r="BP41" s="4">
        <f t="shared" si="26"/>
        <v>0</v>
      </c>
      <c r="BQ41" s="4">
        <f t="shared" si="27"/>
        <v>0</v>
      </c>
      <c r="BR41" s="4">
        <f t="shared" si="28"/>
        <v>0</v>
      </c>
      <c r="BS41" s="4">
        <f t="shared" si="29"/>
        <v>1</v>
      </c>
    </row>
    <row r="42" spans="17:71" x14ac:dyDescent="0.4">
      <c r="Q42" s="2">
        <v>2011</v>
      </c>
      <c r="R42" s="3">
        <v>95.663899999999998</v>
      </c>
      <c r="S42" s="3">
        <v>286.40899999999999</v>
      </c>
      <c r="T42" s="3">
        <v>102.63</v>
      </c>
      <c r="U42" s="3">
        <v>177.35900000000001</v>
      </c>
      <c r="V42" s="3">
        <v>196.86</v>
      </c>
      <c r="W42" s="3">
        <v>350.16500000000002</v>
      </c>
      <c r="X42" s="3">
        <v>4.3757000000000001</v>
      </c>
      <c r="Y42" s="3">
        <v>12.7903</v>
      </c>
      <c r="Z42" s="3">
        <v>1.8455600000000001</v>
      </c>
      <c r="AA42" s="3">
        <v>1.1187400000000001</v>
      </c>
      <c r="AB42" s="3">
        <v>8.2040699999999998</v>
      </c>
      <c r="AC42" s="3">
        <v>182.72</v>
      </c>
      <c r="AD42" s="3">
        <v>134.87</v>
      </c>
      <c r="AE42" s="3">
        <v>212.13</v>
      </c>
      <c r="AF42" s="3">
        <v>88</v>
      </c>
      <c r="AG42" s="3">
        <v>401.52</v>
      </c>
      <c r="AH42" s="3">
        <v>16</v>
      </c>
      <c r="AI42" s="3">
        <v>53</v>
      </c>
      <c r="AJ42" s="3">
        <v>269</v>
      </c>
      <c r="AK42" s="3">
        <v>127</v>
      </c>
      <c r="AL42" s="3">
        <v>220</v>
      </c>
      <c r="AM42" s="3">
        <v>0</v>
      </c>
      <c r="AN42" s="3">
        <v>0</v>
      </c>
      <c r="AO42" s="3">
        <v>0</v>
      </c>
      <c r="AP42" s="3">
        <v>0</v>
      </c>
      <c r="AQ42" s="3">
        <f t="shared" si="2"/>
        <v>2941.6612700000001</v>
      </c>
      <c r="AS42" s="2">
        <v>2011</v>
      </c>
      <c r="AT42" s="4">
        <f t="shared" si="4"/>
        <v>3.2520365609599908E-2</v>
      </c>
      <c r="AU42" s="4">
        <f t="shared" si="5"/>
        <v>9.7363011479564401E-2</v>
      </c>
      <c r="AV42" s="4">
        <f t="shared" si="6"/>
        <v>3.488844927410694E-2</v>
      </c>
      <c r="AW42" s="4">
        <f t="shared" si="7"/>
        <v>6.0292121941014645E-2</v>
      </c>
      <c r="AX42" s="4">
        <f t="shared" si="8"/>
        <v>6.6921369230251312E-2</v>
      </c>
      <c r="AY42" s="4">
        <f t="shared" si="9"/>
        <v>0.11903647900290029</v>
      </c>
      <c r="AZ42" s="4">
        <f t="shared" si="10"/>
        <v>1.4874928138820008E-3</v>
      </c>
      <c r="BA42" s="4">
        <f t="shared" si="11"/>
        <v>4.3479853137543606E-3</v>
      </c>
      <c r="BB42" s="4">
        <f t="shared" si="12"/>
        <v>6.2738698667368998E-4</v>
      </c>
      <c r="BC42" s="4">
        <f t="shared" si="13"/>
        <v>3.8030891299731462E-4</v>
      </c>
      <c r="BD42" s="4">
        <f t="shared" si="14"/>
        <v>2.7889240966210904E-3</v>
      </c>
      <c r="BE42" s="4">
        <f t="shared" si="15"/>
        <v>6.2114561545014324E-2</v>
      </c>
      <c r="BF42" s="4">
        <f t="shared" si="16"/>
        <v>4.5848242751620416E-2</v>
      </c>
      <c r="BG42" s="4">
        <f t="shared" si="17"/>
        <v>7.211231359754755E-2</v>
      </c>
      <c r="BH42" s="4">
        <f t="shared" si="18"/>
        <v>2.9915069045322134E-2</v>
      </c>
      <c r="BI42" s="4">
        <f t="shared" si="19"/>
        <v>0.13649430139861071</v>
      </c>
      <c r="BJ42" s="4">
        <f t="shared" si="20"/>
        <v>5.4391034627858425E-3</v>
      </c>
      <c r="BK42" s="4">
        <f t="shared" si="21"/>
        <v>1.8017030220478104E-2</v>
      </c>
      <c r="BL42" s="4">
        <f t="shared" si="22"/>
        <v>9.1444926968086981E-2</v>
      </c>
      <c r="BM42" s="4">
        <f t="shared" si="23"/>
        <v>4.3172883735862623E-2</v>
      </c>
      <c r="BN42" s="4">
        <f t="shared" si="24"/>
        <v>7.4787672613305337E-2</v>
      </c>
      <c r="BO42" s="4">
        <f t="shared" si="25"/>
        <v>0</v>
      </c>
      <c r="BP42" s="4">
        <f t="shared" si="26"/>
        <v>0</v>
      </c>
      <c r="BQ42" s="4">
        <f t="shared" si="27"/>
        <v>0</v>
      </c>
      <c r="BR42" s="4">
        <f t="shared" si="28"/>
        <v>0</v>
      </c>
      <c r="BS42" s="4">
        <f t="shared" si="29"/>
        <v>1</v>
      </c>
    </row>
    <row r="43" spans="17:71" x14ac:dyDescent="0.4">
      <c r="Q43" s="2">
        <v>2012</v>
      </c>
      <c r="R43" s="3">
        <v>142.21199999999999</v>
      </c>
      <c r="S43" s="3">
        <v>249.73</v>
      </c>
      <c r="T43" s="3">
        <v>155.64599999999999</v>
      </c>
      <c r="U43" s="3">
        <v>399.29399999999998</v>
      </c>
      <c r="V43" s="3">
        <v>81.7864</v>
      </c>
      <c r="W43" s="3">
        <v>254.71700000000001</v>
      </c>
      <c r="X43" s="3">
        <v>1.9358900000000001</v>
      </c>
      <c r="Y43" s="3">
        <v>2.5352000000000001</v>
      </c>
      <c r="Z43" s="3">
        <v>2.24512</v>
      </c>
      <c r="AA43" s="3">
        <v>1.92967</v>
      </c>
      <c r="AB43" s="3">
        <v>1.1577999999999999</v>
      </c>
      <c r="AC43" s="3">
        <v>82.56</v>
      </c>
      <c r="AD43" s="3">
        <v>232.05</v>
      </c>
      <c r="AE43" s="3">
        <v>364.95</v>
      </c>
      <c r="AF43" s="3">
        <v>119</v>
      </c>
      <c r="AG43" s="3">
        <v>310.2</v>
      </c>
      <c r="AH43" s="3">
        <v>11</v>
      </c>
      <c r="AI43" s="3">
        <v>73</v>
      </c>
      <c r="AJ43" s="3">
        <v>352</v>
      </c>
      <c r="AK43" s="3">
        <v>150</v>
      </c>
      <c r="AL43" s="3">
        <v>229</v>
      </c>
      <c r="AM43" s="3">
        <v>0</v>
      </c>
      <c r="AN43" s="3">
        <v>0</v>
      </c>
      <c r="AO43" s="3">
        <v>0</v>
      </c>
      <c r="AP43" s="3">
        <v>0</v>
      </c>
      <c r="AQ43" s="3">
        <f t="shared" si="2"/>
        <v>3216.9490799999999</v>
      </c>
      <c r="AS43" s="2">
        <v>2012</v>
      </c>
      <c r="AT43" s="4">
        <f t="shared" si="4"/>
        <v>4.4207103209728142E-2</v>
      </c>
      <c r="AU43" s="4">
        <f t="shared" si="5"/>
        <v>7.7629453805342793E-2</v>
      </c>
      <c r="AV43" s="4">
        <f t="shared" si="6"/>
        <v>4.8383109626341986E-2</v>
      </c>
      <c r="AW43" s="4">
        <f t="shared" si="7"/>
        <v>0.12412195221939913</v>
      </c>
      <c r="AX43" s="4">
        <f t="shared" si="8"/>
        <v>2.5423591721880783E-2</v>
      </c>
      <c r="AY43" s="4">
        <f t="shared" si="9"/>
        <v>7.9179680394568144E-2</v>
      </c>
      <c r="AZ43" s="4">
        <f t="shared" si="10"/>
        <v>6.0177825382302919E-4</v>
      </c>
      <c r="BA43" s="4">
        <f t="shared" si="11"/>
        <v>7.880758871072961E-4</v>
      </c>
      <c r="BB43" s="4">
        <f t="shared" si="12"/>
        <v>6.979034930823338E-4</v>
      </c>
      <c r="BC43" s="4">
        <f t="shared" si="13"/>
        <v>5.9984474482263183E-4</v>
      </c>
      <c r="BD43" s="4">
        <f t="shared" si="14"/>
        <v>3.5990622518650497E-4</v>
      </c>
      <c r="BE43" s="4">
        <f t="shared" si="15"/>
        <v>2.5664068018135994E-2</v>
      </c>
      <c r="BF43" s="4">
        <f t="shared" si="16"/>
        <v>7.213356327045127E-2</v>
      </c>
      <c r="BG43" s="4">
        <f t="shared" si="17"/>
        <v>0.11344599834325012</v>
      </c>
      <c r="BH43" s="4">
        <f t="shared" si="18"/>
        <v>3.6991570907923731E-2</v>
      </c>
      <c r="BI43" s="4">
        <f t="shared" si="19"/>
        <v>9.6426767190234797E-2</v>
      </c>
      <c r="BJ43" s="4">
        <f t="shared" si="20"/>
        <v>3.4193889074551347E-3</v>
      </c>
      <c r="BK43" s="4">
        <f t="shared" si="21"/>
        <v>2.2692308204020437E-2</v>
      </c>
      <c r="BL43" s="4">
        <f t="shared" si="22"/>
        <v>0.10942044503856431</v>
      </c>
      <c r="BM43" s="4">
        <f t="shared" si="23"/>
        <v>4.662803055620638E-2</v>
      </c>
      <c r="BN43" s="4">
        <f t="shared" si="24"/>
        <v>7.118545998247508E-2</v>
      </c>
      <c r="BO43" s="4">
        <f t="shared" si="25"/>
        <v>0</v>
      </c>
      <c r="BP43" s="4">
        <f t="shared" si="26"/>
        <v>0</v>
      </c>
      <c r="BQ43" s="4">
        <f t="shared" si="27"/>
        <v>0</v>
      </c>
      <c r="BR43" s="4">
        <f t="shared" si="28"/>
        <v>0</v>
      </c>
      <c r="BS43" s="4">
        <f t="shared" si="29"/>
        <v>1</v>
      </c>
    </row>
    <row r="44" spans="17:71" x14ac:dyDescent="0.4">
      <c r="Q44" s="2">
        <v>2013</v>
      </c>
      <c r="R44" s="3">
        <v>186.518</v>
      </c>
      <c r="S44" s="3">
        <v>181.54</v>
      </c>
      <c r="T44" s="3">
        <v>93.245800000000003</v>
      </c>
      <c r="U44" s="3">
        <v>587.49900000000002</v>
      </c>
      <c r="V44" s="3">
        <v>63.220799999999997</v>
      </c>
      <c r="W44" s="3">
        <v>200.76599999999999</v>
      </c>
      <c r="X44" s="3">
        <v>1.2377800000000001</v>
      </c>
      <c r="Y44" s="3">
        <v>9.1940399999999993</v>
      </c>
      <c r="Z44" s="3">
        <v>1.7179599999999999</v>
      </c>
      <c r="AA44" s="3">
        <v>3.2778</v>
      </c>
      <c r="AB44" s="3">
        <v>0.81945100000000004</v>
      </c>
      <c r="AC44" s="3">
        <v>173.24</v>
      </c>
      <c r="AD44" s="3">
        <v>130.6</v>
      </c>
      <c r="AE44" s="3">
        <v>205.39999999999901</v>
      </c>
      <c r="AF44" s="3">
        <v>92</v>
      </c>
      <c r="AG44" s="3">
        <v>438.92</v>
      </c>
      <c r="AH44" s="3">
        <v>8</v>
      </c>
      <c r="AI44" s="3">
        <v>67</v>
      </c>
      <c r="AJ44" s="3">
        <v>285</v>
      </c>
      <c r="AK44" s="3">
        <v>220</v>
      </c>
      <c r="AL44" s="3">
        <v>67</v>
      </c>
      <c r="AM44" s="3">
        <v>0</v>
      </c>
      <c r="AN44" s="3">
        <v>0</v>
      </c>
      <c r="AO44" s="3">
        <v>0</v>
      </c>
      <c r="AP44" s="3">
        <v>0</v>
      </c>
      <c r="AQ44" s="3">
        <f t="shared" si="2"/>
        <v>3016.1966309999989</v>
      </c>
      <c r="AS44" s="2">
        <v>2013</v>
      </c>
      <c r="AT44" s="4">
        <f t="shared" si="4"/>
        <v>6.1838806556242742E-2</v>
      </c>
      <c r="AU44" s="4">
        <f t="shared" si="5"/>
        <v>6.0188383653161127E-2</v>
      </c>
      <c r="AV44" s="4">
        <f t="shared" si="6"/>
        <v>3.0915026905618221E-2</v>
      </c>
      <c r="AW44" s="4">
        <f t="shared" si="7"/>
        <v>0.19478139918391821</v>
      </c>
      <c r="AX44" s="4">
        <f t="shared" si="8"/>
        <v>2.0960437177810778E-2</v>
      </c>
      <c r="AY44" s="4">
        <f t="shared" si="9"/>
        <v>6.6562636512672399E-2</v>
      </c>
      <c r="AZ44" s="4">
        <f t="shared" si="10"/>
        <v>4.1037775431425463E-4</v>
      </c>
      <c r="BA44" s="4">
        <f t="shared" si="11"/>
        <v>3.048223018852647E-3</v>
      </c>
      <c r="BB44" s="4">
        <f t="shared" si="12"/>
        <v>5.6957825041745451E-4</v>
      </c>
      <c r="BC44" s="4">
        <f t="shared" si="13"/>
        <v>1.0867328629411235E-3</v>
      </c>
      <c r="BD44" s="4">
        <f t="shared" si="14"/>
        <v>2.7168354727865229E-4</v>
      </c>
      <c r="BE44" s="4">
        <f t="shared" si="15"/>
        <v>5.7436573670120276E-2</v>
      </c>
      <c r="BF44" s="4">
        <f t="shared" si="16"/>
        <v>4.3299564311462174E-2</v>
      </c>
      <c r="BG44" s="4">
        <f t="shared" si="17"/>
        <v>6.8099008495974639E-2</v>
      </c>
      <c r="BH44" s="4">
        <f t="shared" si="18"/>
        <v>3.0501990173464933E-2</v>
      </c>
      <c r="BI44" s="4">
        <f t="shared" si="19"/>
        <v>0.14552101659714378</v>
      </c>
      <c r="BJ44" s="4">
        <f t="shared" si="20"/>
        <v>2.6523469716056461E-3</v>
      </c>
      <c r="BK44" s="4">
        <f t="shared" si="21"/>
        <v>2.2213405887197286E-2</v>
      </c>
      <c r="BL44" s="4">
        <f t="shared" si="22"/>
        <v>9.4489860863451153E-2</v>
      </c>
      <c r="BM44" s="4">
        <f t="shared" si="23"/>
        <v>7.2939541719155274E-2</v>
      </c>
      <c r="BN44" s="4">
        <f t="shared" si="24"/>
        <v>2.2213405887197286E-2</v>
      </c>
      <c r="BO44" s="4">
        <f t="shared" si="25"/>
        <v>0</v>
      </c>
      <c r="BP44" s="4">
        <f t="shared" si="26"/>
        <v>0</v>
      </c>
      <c r="BQ44" s="4">
        <f t="shared" si="27"/>
        <v>0</v>
      </c>
      <c r="BR44" s="4">
        <f t="shared" si="28"/>
        <v>0</v>
      </c>
      <c r="BS44" s="4">
        <f t="shared" si="29"/>
        <v>1</v>
      </c>
    </row>
    <row r="45" spans="17:71" x14ac:dyDescent="0.4">
      <c r="Q45" s="2">
        <v>2014</v>
      </c>
      <c r="R45" s="3">
        <v>125.31699999999999</v>
      </c>
      <c r="S45" s="3">
        <v>127.393</v>
      </c>
      <c r="T45" s="3">
        <v>151.602</v>
      </c>
      <c r="U45" s="3">
        <v>260.32799999999997</v>
      </c>
      <c r="V45" s="3">
        <v>113.76900000000001</v>
      </c>
      <c r="W45" s="3">
        <v>203.85499999999999</v>
      </c>
      <c r="X45" s="3">
        <v>0.79372699999999996</v>
      </c>
      <c r="Y45" s="3">
        <v>3.3974299999999999</v>
      </c>
      <c r="Z45" s="3">
        <v>2.44665</v>
      </c>
      <c r="AA45" s="3">
        <v>1.1160000000000001</v>
      </c>
      <c r="AB45" s="3">
        <v>1.85999</v>
      </c>
      <c r="AC45" s="3">
        <v>264.76</v>
      </c>
      <c r="AD45" s="3">
        <v>67.239999999999995</v>
      </c>
      <c r="AE45" s="3">
        <v>105.759999999999</v>
      </c>
      <c r="AF45" s="3">
        <v>57</v>
      </c>
      <c r="AG45" s="3">
        <v>468.6</v>
      </c>
      <c r="AH45" s="3">
        <v>12</v>
      </c>
      <c r="AI45" s="3">
        <v>16.8</v>
      </c>
      <c r="AJ45" s="3">
        <v>115</v>
      </c>
      <c r="AK45" s="3">
        <v>69.8</v>
      </c>
      <c r="AL45" s="3">
        <v>576</v>
      </c>
      <c r="AM45" s="3">
        <v>0</v>
      </c>
      <c r="AN45" s="3">
        <v>0</v>
      </c>
      <c r="AO45" s="3">
        <v>0</v>
      </c>
      <c r="AP45" s="3">
        <v>0</v>
      </c>
      <c r="AQ45" s="3">
        <f t="shared" si="2"/>
        <v>2744.8377969999992</v>
      </c>
      <c r="AS45" s="2">
        <v>2014</v>
      </c>
      <c r="AT45" s="4">
        <f t="shared" si="4"/>
        <v>4.5655521115661769E-2</v>
      </c>
      <c r="AU45" s="4">
        <f t="shared" si="5"/>
        <v>4.6411849960400424E-2</v>
      </c>
      <c r="AV45" s="4">
        <f t="shared" si="6"/>
        <v>5.5231678959570978E-2</v>
      </c>
      <c r="AW45" s="4">
        <f t="shared" si="7"/>
        <v>9.48427627616205E-2</v>
      </c>
      <c r="AX45" s="4">
        <f t="shared" si="8"/>
        <v>4.1448350836739818E-2</v>
      </c>
      <c r="AY45" s="4">
        <f t="shared" si="9"/>
        <v>7.4268505127263101E-2</v>
      </c>
      <c r="AZ45" s="4">
        <f t="shared" si="10"/>
        <v>2.891708212658368E-4</v>
      </c>
      <c r="BA45" s="4">
        <f t="shared" si="11"/>
        <v>1.2377525563489612E-3</v>
      </c>
      <c r="BB45" s="4">
        <f t="shared" si="12"/>
        <v>8.9136414642573532E-4</v>
      </c>
      <c r="BC45" s="4">
        <f t="shared" si="13"/>
        <v>4.0658140208494091E-4</v>
      </c>
      <c r="BD45" s="4">
        <f t="shared" si="14"/>
        <v>6.7763202693904047E-4</v>
      </c>
      <c r="BE45" s="4">
        <f t="shared" si="15"/>
        <v>9.6457430121871815E-2</v>
      </c>
      <c r="BF45" s="4">
        <f t="shared" si="16"/>
        <v>2.4496893795870452E-2</v>
      </c>
      <c r="BG45" s="4">
        <f t="shared" si="17"/>
        <v>3.8530509932350306E-2</v>
      </c>
      <c r="BH45" s="4">
        <f t="shared" si="18"/>
        <v>2.0766254407564185E-2</v>
      </c>
      <c r="BI45" s="4">
        <f t="shared" si="19"/>
        <v>0.17072047044534347</v>
      </c>
      <c r="BJ45" s="4">
        <f t="shared" si="20"/>
        <v>4.3718430331714069E-3</v>
      </c>
      <c r="BK45" s="4">
        <f t="shared" si="21"/>
        <v>6.1205802464399705E-3</v>
      </c>
      <c r="BL45" s="4">
        <f t="shared" si="22"/>
        <v>4.1896829067892653E-2</v>
      </c>
      <c r="BM45" s="4">
        <f t="shared" si="23"/>
        <v>2.5429553642947019E-2</v>
      </c>
      <c r="BN45" s="4">
        <f t="shared" si="24"/>
        <v>0.20984846559222756</v>
      </c>
      <c r="BO45" s="4">
        <f t="shared" si="25"/>
        <v>0</v>
      </c>
      <c r="BP45" s="4">
        <f t="shared" si="26"/>
        <v>0</v>
      </c>
      <c r="BQ45" s="4">
        <f t="shared" si="27"/>
        <v>0</v>
      </c>
      <c r="BR45" s="4">
        <f t="shared" si="28"/>
        <v>0</v>
      </c>
      <c r="BS45" s="4">
        <f t="shared" si="29"/>
        <v>1</v>
      </c>
    </row>
    <row r="46" spans="17:71" x14ac:dyDescent="0.4">
      <c r="Q46" s="2">
        <v>2015</v>
      </c>
      <c r="R46" s="3">
        <v>105.72</v>
      </c>
      <c r="S46" s="3">
        <v>237.52099999999999</v>
      </c>
      <c r="T46" s="3">
        <v>128.142</v>
      </c>
      <c r="U46" s="3">
        <v>521.74199999999996</v>
      </c>
      <c r="V46" s="3">
        <v>67.172300000000007</v>
      </c>
      <c r="W46" s="3">
        <v>100.053</v>
      </c>
      <c r="X46" s="3">
        <v>0.79839099999999996</v>
      </c>
      <c r="Y46" s="3">
        <v>2.6687599999999998</v>
      </c>
      <c r="Z46" s="3">
        <v>3.7317900000000002</v>
      </c>
      <c r="AA46" s="3">
        <v>2.4304399999999999</v>
      </c>
      <c r="AB46" s="3">
        <v>1.21522</v>
      </c>
      <c r="AC46" s="3">
        <v>290.95999999999998</v>
      </c>
      <c r="AD46" s="3">
        <v>111.56</v>
      </c>
      <c r="AE46" s="3">
        <v>175.44</v>
      </c>
      <c r="AF46" s="3">
        <v>101</v>
      </c>
      <c r="AG46" s="3">
        <v>539</v>
      </c>
      <c r="AH46" s="3">
        <v>11</v>
      </c>
      <c r="AI46" s="3">
        <v>33.32</v>
      </c>
      <c r="AJ46" s="3">
        <v>181</v>
      </c>
      <c r="AK46" s="3">
        <v>32.92</v>
      </c>
      <c r="AL46" s="3">
        <v>625</v>
      </c>
      <c r="AM46" s="3">
        <v>0</v>
      </c>
      <c r="AN46" s="3">
        <v>0</v>
      </c>
      <c r="AO46" s="3">
        <v>0</v>
      </c>
      <c r="AP46" s="3">
        <v>0</v>
      </c>
      <c r="AQ46" s="3">
        <f t="shared" si="2"/>
        <v>3272.3949010000006</v>
      </c>
      <c r="AS46" s="2">
        <v>2015</v>
      </c>
      <c r="AT46" s="4">
        <f t="shared" si="4"/>
        <v>3.2306614329368794E-2</v>
      </c>
      <c r="AU46" s="4">
        <f t="shared" si="5"/>
        <v>7.2583232521055668E-2</v>
      </c>
      <c r="AV46" s="4">
        <f t="shared" si="6"/>
        <v>3.9158476857680438E-2</v>
      </c>
      <c r="AW46" s="4">
        <f t="shared" si="7"/>
        <v>0.15943735881038151</v>
      </c>
      <c r="AX46" s="4">
        <f t="shared" si="8"/>
        <v>2.05269541214213E-2</v>
      </c>
      <c r="AY46" s="4">
        <f t="shared" si="9"/>
        <v>3.0574855121985774E-2</v>
      </c>
      <c r="AZ46" s="4">
        <f t="shared" si="10"/>
        <v>2.4397758343775144E-4</v>
      </c>
      <c r="BA46" s="4">
        <f t="shared" si="11"/>
        <v>8.1553726880104292E-4</v>
      </c>
      <c r="BB46" s="4">
        <f t="shared" si="12"/>
        <v>1.1403849819163372E-3</v>
      </c>
      <c r="BC46" s="4">
        <f t="shared" si="13"/>
        <v>7.4270987259431607E-4</v>
      </c>
      <c r="BD46" s="4">
        <f t="shared" si="14"/>
        <v>3.7135493629715803E-4</v>
      </c>
      <c r="BE46" s="4">
        <f t="shared" si="15"/>
        <v>8.8913474321539385E-2</v>
      </c>
      <c r="BF46" s="4">
        <f t="shared" si="16"/>
        <v>3.4091240016878382E-2</v>
      </c>
      <c r="BG46" s="4">
        <f t="shared" si="17"/>
        <v>5.3612111406966152E-2</v>
      </c>
      <c r="BH46" s="4">
        <f t="shared" si="18"/>
        <v>3.0864245623025428E-2</v>
      </c>
      <c r="BI46" s="4">
        <f t="shared" si="19"/>
        <v>0.16471117218624462</v>
      </c>
      <c r="BJ46" s="4">
        <f t="shared" si="20"/>
        <v>3.3614524935968288E-3</v>
      </c>
      <c r="BK46" s="4">
        <f t="shared" si="21"/>
        <v>1.0182145189695123E-2</v>
      </c>
      <c r="BL46" s="4">
        <f t="shared" si="22"/>
        <v>5.5311172849184187E-2</v>
      </c>
      <c r="BM46" s="4">
        <f t="shared" si="23"/>
        <v>1.0059910553564328E-2</v>
      </c>
      <c r="BN46" s="4">
        <f t="shared" si="24"/>
        <v>0.19099161895436528</v>
      </c>
      <c r="BO46" s="4">
        <f t="shared" si="25"/>
        <v>0</v>
      </c>
      <c r="BP46" s="4">
        <f t="shared" si="26"/>
        <v>0</v>
      </c>
      <c r="BQ46" s="4">
        <f t="shared" si="27"/>
        <v>0</v>
      </c>
      <c r="BR46" s="4">
        <f t="shared" si="28"/>
        <v>0</v>
      </c>
      <c r="BS46" s="4">
        <f t="shared" si="29"/>
        <v>1</v>
      </c>
    </row>
    <row r="47" spans="17:71" x14ac:dyDescent="0.4">
      <c r="Q47" s="2">
        <v>2016</v>
      </c>
      <c r="R47" s="3">
        <v>184.559</v>
      </c>
      <c r="S47" s="3">
        <v>70.182100000000005</v>
      </c>
      <c r="T47" s="3">
        <v>35.091000000000001</v>
      </c>
      <c r="U47" s="3">
        <v>264.50099999999998</v>
      </c>
      <c r="V47" s="3">
        <v>77.192800000000005</v>
      </c>
      <c r="W47" s="3">
        <v>128.005</v>
      </c>
      <c r="X47" s="3">
        <v>0.83550100000000005</v>
      </c>
      <c r="Y47" s="3">
        <v>2.3000099999999999</v>
      </c>
      <c r="Z47" s="3">
        <v>3.9085000000000001</v>
      </c>
      <c r="AA47" s="3">
        <v>1.1815800000000001</v>
      </c>
      <c r="AB47" s="3">
        <v>1.1815800000000001</v>
      </c>
      <c r="AC47" s="3">
        <v>233.8</v>
      </c>
      <c r="AD47" s="3">
        <v>119.72</v>
      </c>
      <c r="AE47" s="3">
        <v>188.29</v>
      </c>
      <c r="AF47" s="3">
        <v>98</v>
      </c>
      <c r="AG47" s="3">
        <v>424.6</v>
      </c>
      <c r="AH47" s="3">
        <v>12</v>
      </c>
      <c r="AI47" s="3">
        <v>58</v>
      </c>
      <c r="AJ47" s="3">
        <v>135</v>
      </c>
      <c r="AK47" s="3">
        <v>24.32</v>
      </c>
      <c r="AL47" s="3">
        <v>394</v>
      </c>
      <c r="AM47" s="3">
        <v>0</v>
      </c>
      <c r="AN47" s="3">
        <v>0</v>
      </c>
      <c r="AO47" s="3">
        <v>0</v>
      </c>
      <c r="AP47" s="3">
        <v>0</v>
      </c>
      <c r="AQ47" s="3">
        <f t="shared" si="2"/>
        <v>2456.6680710000005</v>
      </c>
      <c r="AS47" s="2">
        <v>2016</v>
      </c>
      <c r="AT47" s="4">
        <f t="shared" si="4"/>
        <v>7.5125737244948282E-2</v>
      </c>
      <c r="AU47" s="4">
        <f t="shared" si="5"/>
        <v>2.856800266526523E-2</v>
      </c>
      <c r="AV47" s="4">
        <f t="shared" si="6"/>
        <v>1.4283980979862701E-2</v>
      </c>
      <c r="AW47" s="4">
        <f t="shared" si="7"/>
        <v>0.10766655989155806</v>
      </c>
      <c r="AX47" s="4">
        <f t="shared" si="8"/>
        <v>3.1421745945750923E-2</v>
      </c>
      <c r="AY47" s="4">
        <f t="shared" si="9"/>
        <v>5.2105126252524156E-2</v>
      </c>
      <c r="AZ47" s="4">
        <f t="shared" si="10"/>
        <v>3.4009519229022449E-4</v>
      </c>
      <c r="BA47" s="4">
        <f t="shared" si="11"/>
        <v>9.3623148652058959E-4</v>
      </c>
      <c r="BB47" s="4">
        <f t="shared" si="12"/>
        <v>1.5909760240458628E-3</v>
      </c>
      <c r="BC47" s="4">
        <f t="shared" si="13"/>
        <v>4.809685174599234E-4</v>
      </c>
      <c r="BD47" s="4">
        <f t="shared" si="14"/>
        <v>4.809685174599234E-4</v>
      </c>
      <c r="BE47" s="4">
        <f t="shared" si="15"/>
        <v>9.5169552109996863E-2</v>
      </c>
      <c r="BF47" s="4">
        <f t="shared" si="16"/>
        <v>4.8732672278053134E-2</v>
      </c>
      <c r="BG47" s="4">
        <f t="shared" si="17"/>
        <v>7.6644460935805417E-2</v>
      </c>
      <c r="BH47" s="4">
        <f t="shared" si="18"/>
        <v>3.9891429028142397E-2</v>
      </c>
      <c r="BI47" s="4">
        <f t="shared" si="19"/>
        <v>0.17283572209540063</v>
      </c>
      <c r="BJ47" s="4">
        <f t="shared" si="20"/>
        <v>4.8846647789562115E-3</v>
      </c>
      <c r="BK47" s="4">
        <f t="shared" si="21"/>
        <v>2.3609213098288357E-2</v>
      </c>
      <c r="BL47" s="4">
        <f t="shared" si="22"/>
        <v>5.495247876325738E-2</v>
      </c>
      <c r="BM47" s="4">
        <f t="shared" si="23"/>
        <v>9.8995872853512561E-3</v>
      </c>
      <c r="BN47" s="4">
        <f t="shared" si="24"/>
        <v>0.16037982690906227</v>
      </c>
      <c r="BO47" s="4">
        <f t="shared" si="25"/>
        <v>0</v>
      </c>
      <c r="BP47" s="4">
        <f t="shared" si="26"/>
        <v>0</v>
      </c>
      <c r="BQ47" s="4">
        <f t="shared" si="27"/>
        <v>0</v>
      </c>
      <c r="BR47" s="4">
        <f t="shared" si="28"/>
        <v>0</v>
      </c>
      <c r="BS47" s="4">
        <f t="shared" si="29"/>
        <v>1</v>
      </c>
    </row>
    <row r="48" spans="17:71" x14ac:dyDescent="0.4">
      <c r="Q48" s="2">
        <v>2017</v>
      </c>
      <c r="R48" s="3">
        <v>171.62</v>
      </c>
      <c r="S48" s="3">
        <v>76.768100000000004</v>
      </c>
      <c r="T48" s="3">
        <v>61.497</v>
      </c>
      <c r="U48" s="3">
        <v>213.23</v>
      </c>
      <c r="V48" s="3">
        <v>44.694000000000003</v>
      </c>
      <c r="W48" s="3">
        <v>90.884100000000004</v>
      </c>
      <c r="X48" s="3">
        <v>0.41273100000000001</v>
      </c>
      <c r="Y48" s="3">
        <v>0.91711600000000004</v>
      </c>
      <c r="Z48" s="3">
        <v>2.3174700000000001</v>
      </c>
      <c r="AA48" s="3">
        <v>1.19584</v>
      </c>
      <c r="AB48" s="3">
        <v>1.19584</v>
      </c>
      <c r="AC48" s="3">
        <v>276.12</v>
      </c>
      <c r="AD48" s="3">
        <v>93.68</v>
      </c>
      <c r="AE48" s="3">
        <v>147.32999999999899</v>
      </c>
      <c r="AF48" s="3">
        <v>79</v>
      </c>
      <c r="AG48" s="3">
        <v>339.09</v>
      </c>
      <c r="AH48" s="3">
        <v>6</v>
      </c>
      <c r="AI48" s="3">
        <v>72</v>
      </c>
      <c r="AJ48" s="3">
        <v>291</v>
      </c>
      <c r="AK48" s="3">
        <v>48.32</v>
      </c>
      <c r="AL48" s="3">
        <v>239</v>
      </c>
      <c r="AM48" s="3">
        <v>0</v>
      </c>
      <c r="AN48" s="3">
        <v>0</v>
      </c>
      <c r="AO48" s="3">
        <v>0</v>
      </c>
      <c r="AP48" s="3">
        <v>0</v>
      </c>
      <c r="AQ48" s="3">
        <f t="shared" si="2"/>
        <v>2256.2721969999984</v>
      </c>
      <c r="AS48" s="2">
        <v>2017</v>
      </c>
      <c r="AT48" s="4">
        <f t="shared" si="4"/>
        <v>7.6063517614670201E-2</v>
      </c>
      <c r="AU48" s="4">
        <f t="shared" si="5"/>
        <v>3.4024307927949908E-2</v>
      </c>
      <c r="AV48" s="4">
        <f t="shared" si="6"/>
        <v>2.725601994376747E-2</v>
      </c>
      <c r="AW48" s="4">
        <f t="shared" si="7"/>
        <v>9.450544144607928E-2</v>
      </c>
      <c r="AX48" s="4">
        <f t="shared" si="8"/>
        <v>1.9808780190362835E-2</v>
      </c>
      <c r="AY48" s="4">
        <f t="shared" si="9"/>
        <v>4.0280645270035241E-2</v>
      </c>
      <c r="AZ48" s="4">
        <f t="shared" si="10"/>
        <v>1.8292606740834662E-4</v>
      </c>
      <c r="BA48" s="4">
        <f t="shared" si="11"/>
        <v>4.0647400664663716E-4</v>
      </c>
      <c r="BB48" s="4">
        <f t="shared" si="12"/>
        <v>1.0271234131597117E-3</v>
      </c>
      <c r="BC48" s="4">
        <f t="shared" si="13"/>
        <v>5.3000697415410327E-4</v>
      </c>
      <c r="BD48" s="4">
        <f t="shared" si="14"/>
        <v>5.3000697415410327E-4</v>
      </c>
      <c r="BE48" s="4">
        <f t="shared" si="15"/>
        <v>0.12237885143784369</v>
      </c>
      <c r="BF48" s="4">
        <f t="shared" si="16"/>
        <v>4.151981313449659E-2</v>
      </c>
      <c r="BG48" s="4">
        <f t="shared" si="17"/>
        <v>6.5297972556632583E-2</v>
      </c>
      <c r="BH48" s="4">
        <f t="shared" si="18"/>
        <v>3.5013505952446948E-2</v>
      </c>
      <c r="BI48" s="4">
        <f t="shared" si="19"/>
        <v>0.15028771814449665</v>
      </c>
      <c r="BJ48" s="4">
        <f t="shared" si="20"/>
        <v>2.6592536166415407E-3</v>
      </c>
      <c r="BK48" s="4">
        <f t="shared" si="21"/>
        <v>3.1911043399698483E-2</v>
      </c>
      <c r="BL48" s="4">
        <f t="shared" si="22"/>
        <v>0.1289738004071147</v>
      </c>
      <c r="BM48" s="4">
        <f t="shared" si="23"/>
        <v>2.1415855792686539E-2</v>
      </c>
      <c r="BN48" s="4">
        <f t="shared" si="24"/>
        <v>0.10592693572955469</v>
      </c>
      <c r="BO48" s="4">
        <f t="shared" si="25"/>
        <v>0</v>
      </c>
      <c r="BP48" s="4">
        <f t="shared" si="26"/>
        <v>0</v>
      </c>
      <c r="BQ48" s="4">
        <f t="shared" si="27"/>
        <v>0</v>
      </c>
      <c r="BR48" s="4">
        <f t="shared" si="28"/>
        <v>0</v>
      </c>
      <c r="BS48" s="4">
        <f t="shared" si="29"/>
        <v>1</v>
      </c>
    </row>
    <row r="49" spans="17:71" x14ac:dyDescent="0.4">
      <c r="Q49" s="2">
        <v>2018</v>
      </c>
      <c r="R49" s="3">
        <v>118.229</v>
      </c>
      <c r="S49" s="3">
        <v>81.043499999999995</v>
      </c>
      <c r="T49" s="3">
        <v>43.223199999999999</v>
      </c>
      <c r="U49" s="3">
        <v>178.54499999999999</v>
      </c>
      <c r="V49" s="3">
        <v>44.148899999999998</v>
      </c>
      <c r="W49" s="3">
        <v>111.967</v>
      </c>
      <c r="X49" s="3">
        <v>0.41560799999999998</v>
      </c>
      <c r="Y49" s="3">
        <v>0.92271499999999995</v>
      </c>
      <c r="Z49" s="3">
        <v>1.6473500000000001</v>
      </c>
      <c r="AA49" s="3">
        <v>1.1911400000000001</v>
      </c>
      <c r="AB49" s="3">
        <v>0.79409099999999999</v>
      </c>
      <c r="AC49" s="3">
        <v>267.8</v>
      </c>
      <c r="AD49" s="3">
        <v>108.06</v>
      </c>
      <c r="AE49" s="3">
        <v>169.94</v>
      </c>
      <c r="AF49" s="3">
        <v>116</v>
      </c>
      <c r="AG49" s="3">
        <v>416.6</v>
      </c>
      <c r="AH49" s="3">
        <v>6</v>
      </c>
      <c r="AI49" s="3">
        <v>54</v>
      </c>
      <c r="AJ49" s="3">
        <v>259</v>
      </c>
      <c r="AK49" s="3">
        <v>32.840000000000003</v>
      </c>
      <c r="AL49" s="3">
        <v>165</v>
      </c>
      <c r="AM49" s="3">
        <v>0</v>
      </c>
      <c r="AN49" s="3">
        <v>0</v>
      </c>
      <c r="AO49" s="3">
        <v>0</v>
      </c>
      <c r="AP49" s="3">
        <v>0</v>
      </c>
      <c r="AQ49" s="3">
        <f t="shared" si="2"/>
        <v>2177.3675039999998</v>
      </c>
      <c r="AS49" s="2">
        <v>2018</v>
      </c>
      <c r="AT49" s="4">
        <f t="shared" si="4"/>
        <v>5.4299055985176495E-2</v>
      </c>
      <c r="AU49" s="4">
        <f t="shared" si="5"/>
        <v>3.7220864117387877E-2</v>
      </c>
      <c r="AV49" s="4">
        <f t="shared" si="6"/>
        <v>1.9851127529273534E-2</v>
      </c>
      <c r="AW49" s="4">
        <f t="shared" si="7"/>
        <v>8.2000397118078786E-2</v>
      </c>
      <c r="AX49" s="4">
        <f t="shared" si="8"/>
        <v>2.0276273949572089E-2</v>
      </c>
      <c r="AY49" s="4">
        <f t="shared" si="9"/>
        <v>5.1423106018762377E-2</v>
      </c>
      <c r="AZ49" s="4">
        <f t="shared" si="10"/>
        <v>1.9087636755692116E-4</v>
      </c>
      <c r="BA49" s="4">
        <f t="shared" si="11"/>
        <v>4.2377549876394224E-4</v>
      </c>
      <c r="BB49" s="4">
        <f t="shared" si="12"/>
        <v>7.565787571338716E-4</v>
      </c>
      <c r="BC49" s="4">
        <f t="shared" si="13"/>
        <v>5.4705510108503949E-4</v>
      </c>
      <c r="BD49" s="4">
        <f t="shared" si="14"/>
        <v>3.6470232909290267E-4</v>
      </c>
      <c r="BE49" s="4">
        <f t="shared" si="15"/>
        <v>0.12299255844869081</v>
      </c>
      <c r="BF49" s="4">
        <f t="shared" si="16"/>
        <v>4.9628737363575537E-2</v>
      </c>
      <c r="BG49" s="4">
        <f t="shared" si="17"/>
        <v>7.8048377082787584E-2</v>
      </c>
      <c r="BH49" s="4">
        <f t="shared" si="18"/>
        <v>5.3275342718626342E-2</v>
      </c>
      <c r="BI49" s="4">
        <f t="shared" si="19"/>
        <v>0.19133196359120461</v>
      </c>
      <c r="BJ49" s="4">
        <f t="shared" si="20"/>
        <v>2.7556211751013624E-3</v>
      </c>
      <c r="BK49" s="4">
        <f t="shared" si="21"/>
        <v>2.4800590575912263E-2</v>
      </c>
      <c r="BL49" s="4">
        <f t="shared" si="22"/>
        <v>0.11895098072520881</v>
      </c>
      <c r="BM49" s="4">
        <f t="shared" si="23"/>
        <v>1.5082433231721459E-2</v>
      </c>
      <c r="BN49" s="4">
        <f t="shared" si="24"/>
        <v>7.5779582315287461E-2</v>
      </c>
      <c r="BO49" s="4">
        <f t="shared" si="25"/>
        <v>0</v>
      </c>
      <c r="BP49" s="4">
        <f t="shared" si="26"/>
        <v>0</v>
      </c>
      <c r="BQ49" s="4">
        <f t="shared" si="27"/>
        <v>0</v>
      </c>
      <c r="BR49" s="4">
        <f t="shared" si="28"/>
        <v>0</v>
      </c>
      <c r="BS49" s="4">
        <f t="shared" si="29"/>
        <v>1</v>
      </c>
    </row>
    <row r="50" spans="17:71" x14ac:dyDescent="0.4">
      <c r="Q50" s="2">
        <v>2019</v>
      </c>
      <c r="R50" s="3">
        <v>161.22900000000001</v>
      </c>
      <c r="S50" s="3">
        <v>107.56</v>
      </c>
      <c r="T50" s="3">
        <v>42.468499999999999</v>
      </c>
      <c r="U50" s="3">
        <v>359.81200000000001</v>
      </c>
      <c r="V50" s="3">
        <v>121.593</v>
      </c>
      <c r="W50" s="3">
        <v>216.60599999999999</v>
      </c>
      <c r="X50" s="3">
        <v>0.39690199999999998</v>
      </c>
      <c r="Y50" s="3">
        <v>4.3039800000000001</v>
      </c>
      <c r="Z50" s="3">
        <v>1.2471099999999999</v>
      </c>
      <c r="AA50" s="3">
        <v>0.75604099999999996</v>
      </c>
      <c r="AB50" s="3">
        <v>1.1340600000000001</v>
      </c>
      <c r="AC50" s="3">
        <v>251.08</v>
      </c>
      <c r="AD50" s="3">
        <v>93.68</v>
      </c>
      <c r="AE50" s="3">
        <v>147.32999999999899</v>
      </c>
      <c r="AF50" s="3">
        <v>129</v>
      </c>
      <c r="AG50" s="3">
        <v>508.5</v>
      </c>
      <c r="AH50" s="3">
        <v>6</v>
      </c>
      <c r="AI50" s="3">
        <v>39</v>
      </c>
      <c r="AJ50" s="3">
        <v>314</v>
      </c>
      <c r="AK50" s="3">
        <v>33.880000000000003</v>
      </c>
      <c r="AL50" s="3">
        <v>155</v>
      </c>
      <c r="AM50" s="3">
        <v>0</v>
      </c>
      <c r="AN50" s="3">
        <v>0</v>
      </c>
      <c r="AO50" s="3">
        <v>0</v>
      </c>
      <c r="AP50" s="3">
        <v>0</v>
      </c>
      <c r="AQ50" s="3">
        <f t="shared" si="2"/>
        <v>2694.5765929999989</v>
      </c>
      <c r="AS50" s="2">
        <v>2019</v>
      </c>
      <c r="AT50" s="4">
        <f t="shared" si="4"/>
        <v>5.9834632431248203E-2</v>
      </c>
      <c r="AU50" s="4">
        <f t="shared" si="5"/>
        <v>3.9917217524794275E-2</v>
      </c>
      <c r="AV50" s="4">
        <f t="shared" si="6"/>
        <v>1.5760732172291982E-2</v>
      </c>
      <c r="AW50" s="4">
        <f t="shared" si="7"/>
        <v>0.13353192517693638</v>
      </c>
      <c r="AX50" s="4">
        <f t="shared" si="8"/>
        <v>4.5125085817146804E-2</v>
      </c>
      <c r="AY50" s="4">
        <f t="shared" si="9"/>
        <v>8.0385913157080588E-2</v>
      </c>
      <c r="AZ50" s="4">
        <f t="shared" si="10"/>
        <v>1.4729661091507899E-4</v>
      </c>
      <c r="BA50" s="4">
        <f t="shared" si="11"/>
        <v>1.5972750639862781E-3</v>
      </c>
      <c r="BB50" s="4">
        <f t="shared" si="12"/>
        <v>4.6282224941749891E-4</v>
      </c>
      <c r="BC50" s="4">
        <f t="shared" si="13"/>
        <v>2.8057877514562089E-4</v>
      </c>
      <c r="BD50" s="4">
        <f t="shared" si="14"/>
        <v>4.2086760604470244E-4</v>
      </c>
      <c r="BE50" s="4">
        <f t="shared" si="15"/>
        <v>9.3179759911912852E-2</v>
      </c>
      <c r="BF50" s="4">
        <f t="shared" si="16"/>
        <v>3.4766129952795904E-2</v>
      </c>
      <c r="BG50" s="4">
        <f t="shared" si="17"/>
        <v>5.4676493658682594E-2</v>
      </c>
      <c r="BH50" s="4">
        <f t="shared" si="18"/>
        <v>4.7873940690762937E-2</v>
      </c>
      <c r="BI50" s="4">
        <f t="shared" si="19"/>
        <v>0.18871239411823995</v>
      </c>
      <c r="BJ50" s="4">
        <f t="shared" si="20"/>
        <v>2.2266949158494388E-3</v>
      </c>
      <c r="BK50" s="4">
        <f t="shared" si="21"/>
        <v>1.4473516953021352E-2</v>
      </c>
      <c r="BL50" s="4">
        <f t="shared" si="22"/>
        <v>0.1165303672627873</v>
      </c>
      <c r="BM50" s="4">
        <f t="shared" si="23"/>
        <v>1.2573403958163165E-2</v>
      </c>
      <c r="BN50" s="4">
        <f t="shared" si="24"/>
        <v>5.7522951992777169E-2</v>
      </c>
      <c r="BO50" s="4">
        <f t="shared" si="25"/>
        <v>0</v>
      </c>
      <c r="BP50" s="4">
        <f t="shared" si="26"/>
        <v>0</v>
      </c>
      <c r="BQ50" s="4">
        <f t="shared" si="27"/>
        <v>0</v>
      </c>
      <c r="BR50" s="4">
        <f t="shared" si="28"/>
        <v>0</v>
      </c>
      <c r="BS50" s="4">
        <f t="shared" si="29"/>
        <v>1</v>
      </c>
    </row>
    <row r="51" spans="17:71" x14ac:dyDescent="0.4">
      <c r="Q51" s="2">
        <v>2020</v>
      </c>
      <c r="R51" s="3">
        <v>346.17200000000003</v>
      </c>
      <c r="S51" s="3">
        <v>114.67100000000001</v>
      </c>
      <c r="T51" s="3">
        <v>22.538900000000002</v>
      </c>
      <c r="U51" s="3">
        <v>243.37700000000001</v>
      </c>
      <c r="V51" s="3">
        <v>62.1096</v>
      </c>
      <c r="W51" s="3">
        <v>208.31200000000001</v>
      </c>
      <c r="X51" s="3">
        <v>0</v>
      </c>
      <c r="Y51" s="3">
        <v>3.92544</v>
      </c>
      <c r="Z51" s="3">
        <v>1.63446</v>
      </c>
      <c r="AA51" s="3">
        <v>0</v>
      </c>
      <c r="AB51" s="3">
        <v>1.18136</v>
      </c>
      <c r="AC51" s="3">
        <v>221.6</v>
      </c>
      <c r="AD51" s="3">
        <v>93.68</v>
      </c>
      <c r="AE51" s="3">
        <v>147.32999999999899</v>
      </c>
      <c r="AF51" s="3">
        <v>129</v>
      </c>
      <c r="AG51" s="3">
        <v>319.3</v>
      </c>
      <c r="AH51" s="3">
        <v>6</v>
      </c>
      <c r="AI51" s="3">
        <v>31.52</v>
      </c>
      <c r="AJ51" s="3">
        <v>307</v>
      </c>
      <c r="AK51" s="3">
        <v>33.4</v>
      </c>
      <c r="AL51" s="3">
        <v>119</v>
      </c>
      <c r="AM51" s="3">
        <v>0</v>
      </c>
      <c r="AN51" s="3">
        <v>0</v>
      </c>
      <c r="AO51" s="3">
        <v>0</v>
      </c>
      <c r="AP51" s="3">
        <v>0</v>
      </c>
      <c r="AQ51" s="3">
        <f t="shared" si="2"/>
        <v>2411.7517599999992</v>
      </c>
      <c r="AS51" s="2">
        <v>2020</v>
      </c>
      <c r="AT51" s="4">
        <f t="shared" si="4"/>
        <v>0.14353550217788588</v>
      </c>
      <c r="AU51" s="4">
        <f t="shared" si="5"/>
        <v>4.7546767416892045E-2</v>
      </c>
      <c r="AV51" s="4">
        <f t="shared" si="6"/>
        <v>9.3454477255155016E-3</v>
      </c>
      <c r="AW51" s="4">
        <f t="shared" si="7"/>
        <v>0.10091295631520554</v>
      </c>
      <c r="AX51" s="4">
        <f t="shared" si="8"/>
        <v>2.5752899212147781E-2</v>
      </c>
      <c r="AY51" s="4">
        <f t="shared" si="9"/>
        <v>8.6373731930022554E-2</v>
      </c>
      <c r="AZ51" s="4">
        <f t="shared" si="10"/>
        <v>0</v>
      </c>
      <c r="BA51" s="4">
        <f t="shared" si="11"/>
        <v>1.6276302002159631E-3</v>
      </c>
      <c r="BB51" s="4">
        <f t="shared" si="12"/>
        <v>6.7770656462587202E-4</v>
      </c>
      <c r="BC51" s="4">
        <f t="shared" si="13"/>
        <v>0</v>
      </c>
      <c r="BD51" s="4">
        <f t="shared" si="14"/>
        <v>4.8983482445971152E-4</v>
      </c>
      <c r="BE51" s="4">
        <f t="shared" si="15"/>
        <v>9.1883420041538627E-2</v>
      </c>
      <c r="BF51" s="4">
        <f t="shared" si="16"/>
        <v>3.8843135331639619E-2</v>
      </c>
      <c r="BG51" s="4">
        <f t="shared" si="17"/>
        <v>6.1088376690973799E-2</v>
      </c>
      <c r="BH51" s="4">
        <f t="shared" si="18"/>
        <v>5.3488091991689912E-2</v>
      </c>
      <c r="BI51" s="4">
        <f t="shared" si="19"/>
        <v>0.13239339358873325</v>
      </c>
      <c r="BJ51" s="4">
        <f t="shared" si="20"/>
        <v>2.4878182321716237E-3</v>
      </c>
      <c r="BK51" s="4">
        <f t="shared" si="21"/>
        <v>1.3069338446341595E-2</v>
      </c>
      <c r="BL51" s="4">
        <f t="shared" si="22"/>
        <v>0.12729336621278142</v>
      </c>
      <c r="BM51" s="4">
        <f t="shared" si="23"/>
        <v>1.3848854825755371E-2</v>
      </c>
      <c r="BN51" s="4">
        <f t="shared" si="24"/>
        <v>4.9341728271403866E-2</v>
      </c>
      <c r="BO51" s="4">
        <f t="shared" si="25"/>
        <v>0</v>
      </c>
      <c r="BP51" s="4">
        <f t="shared" si="26"/>
        <v>0</v>
      </c>
      <c r="BQ51" s="4">
        <f t="shared" si="27"/>
        <v>0</v>
      </c>
      <c r="BR51" s="4">
        <f t="shared" si="28"/>
        <v>0</v>
      </c>
      <c r="BS51" s="4">
        <f t="shared" si="29"/>
        <v>1</v>
      </c>
    </row>
  </sheetData>
  <sortState xmlns:xlrd2="http://schemas.microsoft.com/office/spreadsheetml/2017/richdata2" ref="I7:K31">
    <sortCondition ref="I7:I31"/>
  </sortState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7"/>
  <sheetViews>
    <sheetView workbookViewId="0"/>
  </sheetViews>
  <sheetFormatPr defaultRowHeight="14.6" x14ac:dyDescent="0.4"/>
  <sheetData>
    <row r="1" spans="1:2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">
      <c r="A2">
        <v>1975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4">
      <c r="A3">
        <v>1976</v>
      </c>
      <c r="B3">
        <v>0</v>
      </c>
      <c r="C3">
        <v>0</v>
      </c>
      <c r="D3">
        <v>0</v>
      </c>
      <c r="E3">
        <v>3787.76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4">
      <c r="A4">
        <v>1977</v>
      </c>
      <c r="B4">
        <v>0</v>
      </c>
      <c r="C4">
        <v>336.62599999999998</v>
      </c>
      <c r="D4">
        <v>168.73400000000001</v>
      </c>
      <c r="E4">
        <v>412.20699999999999</v>
      </c>
      <c r="F4">
        <v>0</v>
      </c>
      <c r="G4">
        <v>301.85599999999999</v>
      </c>
      <c r="H4">
        <v>2.5247000000000002</v>
      </c>
      <c r="I4">
        <v>26.532900000000001</v>
      </c>
      <c r="J4">
        <v>3.9299499999999998</v>
      </c>
      <c r="K4">
        <v>76.951400000000007</v>
      </c>
      <c r="L4">
        <v>6.7431700000000001</v>
      </c>
      <c r="M4">
        <v>271</v>
      </c>
      <c r="N4">
        <v>0</v>
      </c>
      <c r="O4">
        <v>0</v>
      </c>
      <c r="P4">
        <v>547</v>
      </c>
      <c r="Q4">
        <v>0</v>
      </c>
      <c r="R4">
        <v>0</v>
      </c>
      <c r="S4">
        <v>17</v>
      </c>
      <c r="T4">
        <v>524</v>
      </c>
      <c r="U4">
        <v>219</v>
      </c>
      <c r="V4">
        <v>45</v>
      </c>
      <c r="W4">
        <v>66.536199999999994</v>
      </c>
      <c r="X4">
        <v>74.996499999999997</v>
      </c>
      <c r="Y4">
        <v>1432.8802720000001</v>
      </c>
      <c r="Z4">
        <v>1279.8181999999999</v>
      </c>
    </row>
    <row r="5" spans="1:26" x14ac:dyDescent="0.4">
      <c r="A5">
        <v>1978</v>
      </c>
      <c r="B5">
        <v>0</v>
      </c>
      <c r="C5">
        <v>275.73099999999999</v>
      </c>
      <c r="D5">
        <v>136.423</v>
      </c>
      <c r="E5">
        <v>612.55499999999995</v>
      </c>
      <c r="F5">
        <v>0</v>
      </c>
      <c r="G5">
        <v>461.21499999999997</v>
      </c>
      <c r="H5">
        <v>3.2972299999999999</v>
      </c>
      <c r="I5">
        <v>50.429400000000001</v>
      </c>
      <c r="J5">
        <v>6.2329699999999999</v>
      </c>
      <c r="K5">
        <v>153.21</v>
      </c>
      <c r="L5">
        <v>6.3342799999999997</v>
      </c>
      <c r="M5">
        <v>270</v>
      </c>
      <c r="N5">
        <v>0</v>
      </c>
      <c r="O5">
        <v>0</v>
      </c>
      <c r="P5">
        <v>546</v>
      </c>
      <c r="Q5">
        <v>0</v>
      </c>
      <c r="R5">
        <v>0</v>
      </c>
      <c r="S5">
        <v>0</v>
      </c>
      <c r="T5">
        <v>618</v>
      </c>
      <c r="U5">
        <v>78</v>
      </c>
      <c r="V5">
        <v>60</v>
      </c>
      <c r="W5">
        <v>30.825199999999999</v>
      </c>
      <c r="X5">
        <v>93.166499999999999</v>
      </c>
      <c r="Y5">
        <v>1480.5445999999999</v>
      </c>
      <c r="Z5">
        <v>2756.9987000000001</v>
      </c>
    </row>
    <row r="6" spans="1:26" x14ac:dyDescent="0.4">
      <c r="A6">
        <v>1979</v>
      </c>
      <c r="B6">
        <v>0</v>
      </c>
      <c r="C6">
        <v>472.28300000000002</v>
      </c>
      <c r="D6">
        <v>478.34800000000001</v>
      </c>
      <c r="E6">
        <v>1466.03</v>
      </c>
      <c r="F6">
        <v>0</v>
      </c>
      <c r="G6">
        <v>540.97199999999998</v>
      </c>
      <c r="H6">
        <v>14.556699999999999</v>
      </c>
      <c r="I6">
        <v>45.548400000000001</v>
      </c>
      <c r="J6">
        <v>12.138199999999999</v>
      </c>
      <c r="K6">
        <v>112.91200000000001</v>
      </c>
      <c r="L6">
        <v>10.4405</v>
      </c>
      <c r="M6">
        <v>387</v>
      </c>
      <c r="N6">
        <v>0</v>
      </c>
      <c r="O6">
        <v>0</v>
      </c>
      <c r="P6">
        <v>526</v>
      </c>
      <c r="Q6">
        <v>0</v>
      </c>
      <c r="R6">
        <v>0</v>
      </c>
      <c r="S6">
        <v>26</v>
      </c>
      <c r="T6">
        <v>432</v>
      </c>
      <c r="U6">
        <v>122</v>
      </c>
      <c r="V6">
        <v>80</v>
      </c>
      <c r="W6">
        <v>47.8247</v>
      </c>
      <c r="X6">
        <v>182.71199999999999</v>
      </c>
      <c r="Y6">
        <v>1294.5916</v>
      </c>
      <c r="Z6">
        <v>1643.443</v>
      </c>
    </row>
    <row r="7" spans="1:26" x14ac:dyDescent="0.4">
      <c r="A7">
        <v>1980</v>
      </c>
      <c r="B7">
        <v>0</v>
      </c>
      <c r="C7">
        <v>582.61300000000006</v>
      </c>
      <c r="D7">
        <v>872.09199999999998</v>
      </c>
      <c r="E7">
        <v>1019.98</v>
      </c>
      <c r="F7">
        <v>0</v>
      </c>
      <c r="G7">
        <v>521.23900000000003</v>
      </c>
      <c r="H7">
        <v>23.9541</v>
      </c>
      <c r="I7">
        <v>31.2102</v>
      </c>
      <c r="J7">
        <v>4.96035</v>
      </c>
      <c r="K7">
        <v>15.891400000000001</v>
      </c>
      <c r="L7">
        <v>6.3565800000000001</v>
      </c>
      <c r="M7">
        <v>612</v>
      </c>
      <c r="N7">
        <v>0</v>
      </c>
      <c r="O7">
        <v>0</v>
      </c>
      <c r="P7">
        <v>536</v>
      </c>
      <c r="Q7">
        <v>0</v>
      </c>
      <c r="R7">
        <v>0</v>
      </c>
      <c r="S7">
        <v>61</v>
      </c>
      <c r="T7">
        <v>223</v>
      </c>
      <c r="U7">
        <v>131.52000000000001</v>
      </c>
      <c r="V7">
        <v>30</v>
      </c>
      <c r="W7">
        <v>42.5486</v>
      </c>
      <c r="X7">
        <v>196.43</v>
      </c>
      <c r="Y7">
        <v>1528.482</v>
      </c>
      <c r="Z7">
        <v>3661.6409999999901</v>
      </c>
    </row>
    <row r="8" spans="1:26" x14ac:dyDescent="0.4">
      <c r="A8">
        <v>1981</v>
      </c>
      <c r="B8">
        <v>0</v>
      </c>
      <c r="C8">
        <v>420.19099999999997</v>
      </c>
      <c r="D8">
        <v>443.51299999999998</v>
      </c>
      <c r="E8">
        <v>664.56899999999996</v>
      </c>
      <c r="F8">
        <v>0</v>
      </c>
      <c r="G8">
        <v>465.29700000000003</v>
      </c>
      <c r="H8">
        <v>6.9554499999999999</v>
      </c>
      <c r="I8">
        <v>21.715</v>
      </c>
      <c r="J8">
        <v>13.6144</v>
      </c>
      <c r="K8">
        <v>5.0745500000000003</v>
      </c>
      <c r="L8">
        <v>3.9035000000000002</v>
      </c>
      <c r="M8">
        <v>271</v>
      </c>
      <c r="N8">
        <v>0</v>
      </c>
      <c r="O8">
        <v>0</v>
      </c>
      <c r="P8">
        <v>542</v>
      </c>
      <c r="Q8">
        <v>0</v>
      </c>
      <c r="R8">
        <v>0</v>
      </c>
      <c r="S8">
        <v>16</v>
      </c>
      <c r="T8">
        <v>491</v>
      </c>
      <c r="U8">
        <v>95</v>
      </c>
      <c r="V8">
        <v>108</v>
      </c>
      <c r="W8">
        <v>65.854200000000006</v>
      </c>
      <c r="X8">
        <v>112.157</v>
      </c>
      <c r="Y8">
        <v>1551.9480000000001</v>
      </c>
      <c r="Z8">
        <v>3377.3332</v>
      </c>
    </row>
    <row r="9" spans="1:26" x14ac:dyDescent="0.4">
      <c r="A9">
        <v>1982</v>
      </c>
      <c r="B9">
        <v>0</v>
      </c>
      <c r="C9">
        <v>339.47300000000001</v>
      </c>
      <c r="D9">
        <v>423.339</v>
      </c>
      <c r="E9">
        <v>548.18700000000001</v>
      </c>
      <c r="F9">
        <v>0</v>
      </c>
      <c r="G9">
        <v>212.00200000000001</v>
      </c>
      <c r="H9">
        <v>6.0190299999999999</v>
      </c>
      <c r="I9">
        <v>21.220199999999998</v>
      </c>
      <c r="J9">
        <v>3.8661599999999998</v>
      </c>
      <c r="K9">
        <v>7.0019099999999996</v>
      </c>
      <c r="L9">
        <v>3.50095</v>
      </c>
      <c r="M9">
        <v>283</v>
      </c>
      <c r="N9">
        <v>0</v>
      </c>
      <c r="O9">
        <v>0</v>
      </c>
      <c r="P9">
        <v>656</v>
      </c>
      <c r="Q9">
        <v>0</v>
      </c>
      <c r="R9">
        <v>0</v>
      </c>
      <c r="S9">
        <v>7</v>
      </c>
      <c r="T9">
        <v>397</v>
      </c>
      <c r="U9">
        <v>138</v>
      </c>
      <c r="V9">
        <v>117</v>
      </c>
      <c r="W9">
        <v>39.113100000000003</v>
      </c>
      <c r="X9">
        <v>104.386</v>
      </c>
      <c r="Y9">
        <v>665.45699999999999</v>
      </c>
      <c r="Z9">
        <v>958.822</v>
      </c>
    </row>
    <row r="10" spans="1:26" x14ac:dyDescent="0.4">
      <c r="A10">
        <v>1983</v>
      </c>
      <c r="B10">
        <v>0</v>
      </c>
      <c r="C10">
        <v>225.31100000000001</v>
      </c>
      <c r="D10">
        <v>186.77600000000001</v>
      </c>
      <c r="E10">
        <v>479.77199999999999</v>
      </c>
      <c r="F10">
        <v>0</v>
      </c>
      <c r="G10">
        <v>339.584</v>
      </c>
      <c r="H10">
        <v>9.8302999999999994</v>
      </c>
      <c r="I10">
        <v>10.738</v>
      </c>
      <c r="J10">
        <v>5.9915000000000003</v>
      </c>
      <c r="K10">
        <v>3.4378600000000001</v>
      </c>
      <c r="L10">
        <v>2.6738900000000001</v>
      </c>
      <c r="M10">
        <v>330</v>
      </c>
      <c r="N10">
        <v>0</v>
      </c>
      <c r="O10">
        <v>0</v>
      </c>
      <c r="P10">
        <v>849</v>
      </c>
      <c r="Q10">
        <v>0</v>
      </c>
      <c r="R10">
        <v>0</v>
      </c>
      <c r="S10">
        <v>0</v>
      </c>
      <c r="T10">
        <v>555</v>
      </c>
      <c r="U10">
        <v>214</v>
      </c>
      <c r="V10">
        <v>64</v>
      </c>
      <c r="W10">
        <v>41.008099999999999</v>
      </c>
      <c r="X10">
        <v>86.088499999999996</v>
      </c>
      <c r="Y10">
        <v>611.21299999999997</v>
      </c>
      <c r="Z10">
        <v>1234.8150000000001</v>
      </c>
    </row>
    <row r="11" spans="1:26" x14ac:dyDescent="0.4">
      <c r="A11">
        <v>1984</v>
      </c>
      <c r="B11">
        <v>0</v>
      </c>
      <c r="C11">
        <v>350</v>
      </c>
      <c r="D11">
        <v>170.227</v>
      </c>
      <c r="E11">
        <v>601.33399999999995</v>
      </c>
      <c r="F11">
        <v>0</v>
      </c>
      <c r="G11">
        <v>705.25099999999998</v>
      </c>
      <c r="H11">
        <v>6.3636299999999997</v>
      </c>
      <c r="I11">
        <v>9.6635100000000005</v>
      </c>
      <c r="J11">
        <v>8.7931299999999997</v>
      </c>
      <c r="K11">
        <v>5.8869100000000003</v>
      </c>
      <c r="L11">
        <v>6.6718299999999999</v>
      </c>
      <c r="M11">
        <v>395</v>
      </c>
      <c r="N11">
        <v>0</v>
      </c>
      <c r="O11">
        <v>0</v>
      </c>
      <c r="P11">
        <v>795</v>
      </c>
      <c r="Q11">
        <v>0</v>
      </c>
      <c r="R11">
        <v>0</v>
      </c>
      <c r="S11">
        <v>0</v>
      </c>
      <c r="T11">
        <v>965</v>
      </c>
      <c r="U11">
        <v>330</v>
      </c>
      <c r="V11">
        <v>83</v>
      </c>
      <c r="W11">
        <v>72.400099999999995</v>
      </c>
      <c r="X11">
        <v>179.119</v>
      </c>
      <c r="Y11">
        <v>970.04600000000005</v>
      </c>
      <c r="Z11">
        <v>1325.0319999999999</v>
      </c>
    </row>
    <row r="12" spans="1:26" x14ac:dyDescent="0.4">
      <c r="A12">
        <v>1985</v>
      </c>
      <c r="B12">
        <v>0</v>
      </c>
      <c r="C12">
        <v>379.65600000000001</v>
      </c>
      <c r="D12">
        <v>340.53699999999998</v>
      </c>
      <c r="E12">
        <v>1613.65</v>
      </c>
      <c r="F12">
        <v>0</v>
      </c>
      <c r="G12">
        <v>414.49</v>
      </c>
      <c r="H12">
        <v>9.4708000000000006</v>
      </c>
      <c r="I12">
        <v>32.0169</v>
      </c>
      <c r="J12">
        <v>3.98061</v>
      </c>
      <c r="K12">
        <v>9.17544</v>
      </c>
      <c r="L12">
        <v>6.7818500000000004</v>
      </c>
      <c r="M12">
        <v>735</v>
      </c>
      <c r="N12">
        <v>0</v>
      </c>
      <c r="O12">
        <v>0</v>
      </c>
      <c r="P12">
        <v>773</v>
      </c>
      <c r="Q12">
        <v>0</v>
      </c>
      <c r="R12">
        <v>0</v>
      </c>
      <c r="S12">
        <v>0</v>
      </c>
      <c r="T12">
        <v>513</v>
      </c>
      <c r="U12">
        <v>181</v>
      </c>
      <c r="V12">
        <v>69</v>
      </c>
      <c r="W12">
        <v>80.554100000000005</v>
      </c>
      <c r="X12">
        <v>516.15200000000004</v>
      </c>
      <c r="Y12">
        <v>1244.527</v>
      </c>
      <c r="Z12">
        <v>2514.4229999999998</v>
      </c>
    </row>
    <row r="13" spans="1:26" x14ac:dyDescent="0.4">
      <c r="A13">
        <v>1986</v>
      </c>
      <c r="B13">
        <v>0</v>
      </c>
      <c r="C13">
        <v>717.33799999999997</v>
      </c>
      <c r="D13">
        <v>663.84100000000001</v>
      </c>
      <c r="E13">
        <v>2119.54</v>
      </c>
      <c r="F13">
        <v>0</v>
      </c>
      <c r="G13">
        <v>613.77300000000002</v>
      </c>
      <c r="H13">
        <v>19.858499999999999</v>
      </c>
      <c r="I13">
        <v>19.870699999999999</v>
      </c>
      <c r="J13">
        <v>2.8467600000000002</v>
      </c>
      <c r="K13">
        <v>17.973400000000002</v>
      </c>
      <c r="L13">
        <v>4.9713700000000003</v>
      </c>
      <c r="M13">
        <v>934</v>
      </c>
      <c r="N13">
        <v>0</v>
      </c>
      <c r="O13">
        <v>0</v>
      </c>
      <c r="P13">
        <v>625</v>
      </c>
      <c r="Q13">
        <v>0</v>
      </c>
      <c r="R13">
        <v>0</v>
      </c>
      <c r="S13">
        <v>0</v>
      </c>
      <c r="T13">
        <v>179</v>
      </c>
      <c r="U13">
        <v>148</v>
      </c>
      <c r="V13">
        <v>74</v>
      </c>
      <c r="W13">
        <v>62.365900000000003</v>
      </c>
      <c r="X13">
        <v>307.13299999999998</v>
      </c>
      <c r="Y13">
        <v>1247.5940000000001</v>
      </c>
      <c r="Z13">
        <v>2375.2485999999999</v>
      </c>
    </row>
    <row r="14" spans="1:26" x14ac:dyDescent="0.4">
      <c r="A14">
        <v>1987</v>
      </c>
      <c r="B14">
        <v>0</v>
      </c>
      <c r="C14">
        <v>337.93799999999999</v>
      </c>
      <c r="D14">
        <v>306.53899999999999</v>
      </c>
      <c r="E14">
        <v>1099.98</v>
      </c>
      <c r="F14">
        <v>0</v>
      </c>
      <c r="G14">
        <v>612.745</v>
      </c>
      <c r="H14">
        <v>6.6724199999999998</v>
      </c>
      <c r="I14">
        <v>24.940999999999999</v>
      </c>
      <c r="J14">
        <v>7.9670199999999998</v>
      </c>
      <c r="K14">
        <v>42.311300000000003</v>
      </c>
      <c r="L14">
        <v>4.2311300000000003</v>
      </c>
      <c r="M14">
        <v>1193</v>
      </c>
      <c r="N14">
        <v>0</v>
      </c>
      <c r="O14">
        <v>0</v>
      </c>
      <c r="P14">
        <v>545</v>
      </c>
      <c r="Q14">
        <v>276.68</v>
      </c>
      <c r="R14">
        <v>31</v>
      </c>
      <c r="S14">
        <v>31</v>
      </c>
      <c r="T14">
        <v>383</v>
      </c>
      <c r="U14">
        <v>151</v>
      </c>
      <c r="V14">
        <v>148</v>
      </c>
      <c r="W14">
        <v>63.615600000000001</v>
      </c>
      <c r="X14">
        <v>218.29599999999999</v>
      </c>
      <c r="Y14">
        <v>506.974999999999</v>
      </c>
      <c r="Z14">
        <v>2124.8519999999999</v>
      </c>
    </row>
    <row r="15" spans="1:26" x14ac:dyDescent="0.4">
      <c r="A15">
        <v>1988</v>
      </c>
      <c r="B15">
        <v>0</v>
      </c>
      <c r="C15">
        <v>371.57799999999997</v>
      </c>
      <c r="D15">
        <v>1058.72</v>
      </c>
      <c r="E15">
        <v>1860.22</v>
      </c>
      <c r="F15">
        <v>0</v>
      </c>
      <c r="G15">
        <v>915.15300000000002</v>
      </c>
      <c r="H15">
        <v>5.5223899999999997</v>
      </c>
      <c r="I15">
        <v>13.7064</v>
      </c>
      <c r="J15">
        <v>4.4377000000000004</v>
      </c>
      <c r="K15">
        <v>79.228999999999999</v>
      </c>
      <c r="L15">
        <v>1.5309999999999999</v>
      </c>
      <c r="M15">
        <v>759</v>
      </c>
      <c r="N15">
        <v>0</v>
      </c>
      <c r="O15">
        <v>0</v>
      </c>
      <c r="P15">
        <v>722</v>
      </c>
      <c r="Q15">
        <v>482.57</v>
      </c>
      <c r="R15">
        <v>55</v>
      </c>
      <c r="S15">
        <v>7</v>
      </c>
      <c r="T15">
        <v>457</v>
      </c>
      <c r="U15">
        <v>169</v>
      </c>
      <c r="V15">
        <v>127</v>
      </c>
      <c r="W15">
        <v>119.512</v>
      </c>
      <c r="X15">
        <v>439.96600000000001</v>
      </c>
      <c r="Y15">
        <v>873.96299999999997</v>
      </c>
      <c r="Z15">
        <v>2389.9589999999998</v>
      </c>
    </row>
    <row r="16" spans="1:26" x14ac:dyDescent="0.4">
      <c r="A16">
        <v>1989</v>
      </c>
      <c r="B16">
        <v>0</v>
      </c>
      <c r="C16">
        <v>311.73599999999999</v>
      </c>
      <c r="D16">
        <v>578.25199999999995</v>
      </c>
      <c r="E16">
        <v>1297.6300000000001</v>
      </c>
      <c r="F16">
        <v>0</v>
      </c>
      <c r="G16">
        <v>472.05</v>
      </c>
      <c r="H16">
        <v>5.6024399999999996</v>
      </c>
      <c r="I16">
        <v>14.104699999999999</v>
      </c>
      <c r="J16">
        <v>3.2663099999999998</v>
      </c>
      <c r="K16">
        <v>65.245800000000003</v>
      </c>
      <c r="L16">
        <v>3.9304700000000001</v>
      </c>
      <c r="M16">
        <v>1094</v>
      </c>
      <c r="N16">
        <v>0</v>
      </c>
      <c r="O16">
        <v>0</v>
      </c>
      <c r="P16">
        <v>639</v>
      </c>
      <c r="Q16">
        <v>586.84</v>
      </c>
      <c r="R16">
        <v>24</v>
      </c>
      <c r="S16">
        <v>6</v>
      </c>
      <c r="T16">
        <v>184</v>
      </c>
      <c r="U16">
        <v>157</v>
      </c>
      <c r="V16">
        <v>109</v>
      </c>
      <c r="W16">
        <v>66.392200000000003</v>
      </c>
      <c r="X16">
        <v>282.209</v>
      </c>
      <c r="Y16">
        <v>756.55</v>
      </c>
      <c r="Z16">
        <v>1745.54</v>
      </c>
    </row>
    <row r="17" spans="1:26" x14ac:dyDescent="0.4">
      <c r="A17">
        <v>1990</v>
      </c>
      <c r="B17">
        <v>0</v>
      </c>
      <c r="C17">
        <v>192.893</v>
      </c>
      <c r="D17">
        <v>386.59399999999999</v>
      </c>
      <c r="E17">
        <v>754.59100000000001</v>
      </c>
      <c r="F17">
        <v>0</v>
      </c>
      <c r="G17">
        <v>295.23399999999998</v>
      </c>
      <c r="H17">
        <v>1.61755</v>
      </c>
      <c r="I17">
        <v>7.5459100000000001</v>
      </c>
      <c r="J17">
        <v>7.7337899999999999</v>
      </c>
      <c r="K17">
        <v>22.9497</v>
      </c>
      <c r="L17">
        <v>5.4456899999999999</v>
      </c>
      <c r="M17">
        <v>1128</v>
      </c>
      <c r="N17">
        <v>0</v>
      </c>
      <c r="O17">
        <v>0</v>
      </c>
      <c r="P17">
        <v>564</v>
      </c>
      <c r="Q17">
        <v>483.69</v>
      </c>
      <c r="R17">
        <v>27</v>
      </c>
      <c r="S17">
        <v>2</v>
      </c>
      <c r="T17">
        <v>137</v>
      </c>
      <c r="U17">
        <v>256</v>
      </c>
      <c r="V17">
        <v>43</v>
      </c>
      <c r="W17">
        <v>69.875299999999996</v>
      </c>
      <c r="X17">
        <v>198.82300000000001</v>
      </c>
      <c r="Y17">
        <v>1293.7829999999999</v>
      </c>
      <c r="Z17">
        <v>946.77700000000004</v>
      </c>
    </row>
    <row r="18" spans="1:26" x14ac:dyDescent="0.4">
      <c r="A18">
        <v>1991</v>
      </c>
      <c r="B18">
        <v>0</v>
      </c>
      <c r="C18">
        <v>270.185</v>
      </c>
      <c r="D18">
        <v>557.00800000000004</v>
      </c>
      <c r="E18">
        <v>1039.1099999999999</v>
      </c>
      <c r="F18">
        <v>0</v>
      </c>
      <c r="G18">
        <v>473.84100000000001</v>
      </c>
      <c r="H18">
        <v>4.7539800000000003</v>
      </c>
      <c r="I18">
        <v>9.0808800000000005</v>
      </c>
      <c r="J18">
        <v>15.8592</v>
      </c>
      <c r="K18">
        <v>11.1266</v>
      </c>
      <c r="L18">
        <v>1.91839</v>
      </c>
      <c r="M18">
        <v>1200</v>
      </c>
      <c r="N18">
        <v>0</v>
      </c>
      <c r="O18">
        <v>0</v>
      </c>
      <c r="P18">
        <v>534</v>
      </c>
      <c r="Q18">
        <v>549.86</v>
      </c>
      <c r="R18">
        <v>40</v>
      </c>
      <c r="S18">
        <v>36</v>
      </c>
      <c r="T18">
        <v>254</v>
      </c>
      <c r="U18">
        <v>286</v>
      </c>
      <c r="V18">
        <v>24</v>
      </c>
      <c r="W18">
        <v>31.690200000000001</v>
      </c>
      <c r="X18">
        <v>243.59700000000001</v>
      </c>
      <c r="Y18">
        <v>999.86199999999997</v>
      </c>
      <c r="Z18">
        <v>713.43899999999996</v>
      </c>
    </row>
    <row r="19" spans="1:26" x14ac:dyDescent="0.4">
      <c r="A19">
        <v>1992</v>
      </c>
      <c r="B19">
        <v>0</v>
      </c>
      <c r="C19">
        <v>175.179</v>
      </c>
      <c r="D19">
        <v>458.06599999999997</v>
      </c>
      <c r="E19">
        <v>1070.43</v>
      </c>
      <c r="F19">
        <v>0</v>
      </c>
      <c r="G19">
        <v>353.67</v>
      </c>
      <c r="H19">
        <v>8.5353999999999992</v>
      </c>
      <c r="I19">
        <v>17.666799999999999</v>
      </c>
      <c r="J19">
        <v>24.520900000000001</v>
      </c>
      <c r="K19">
        <v>64.523700000000005</v>
      </c>
      <c r="L19">
        <v>5.6458199999999996</v>
      </c>
      <c r="M19">
        <v>1257</v>
      </c>
      <c r="N19">
        <v>0</v>
      </c>
      <c r="O19">
        <v>0</v>
      </c>
      <c r="P19">
        <v>338</v>
      </c>
      <c r="Q19">
        <v>545.41999999999996</v>
      </c>
      <c r="R19">
        <v>39</v>
      </c>
      <c r="S19">
        <v>1</v>
      </c>
      <c r="T19">
        <v>219</v>
      </c>
      <c r="U19">
        <v>197</v>
      </c>
      <c r="V19">
        <v>70</v>
      </c>
      <c r="W19">
        <v>36.595799999999997</v>
      </c>
      <c r="X19">
        <v>289.88400000000001</v>
      </c>
      <c r="Y19">
        <v>764.58499999999901</v>
      </c>
      <c r="Z19">
        <v>806.02</v>
      </c>
    </row>
    <row r="20" spans="1:26" x14ac:dyDescent="0.4">
      <c r="A20">
        <v>1993</v>
      </c>
      <c r="B20">
        <v>0</v>
      </c>
      <c r="C20">
        <v>317.06900000000002</v>
      </c>
      <c r="D20">
        <v>694.00199999999995</v>
      </c>
      <c r="E20">
        <v>1304.4000000000001</v>
      </c>
      <c r="F20">
        <v>0</v>
      </c>
      <c r="G20">
        <v>758.96600000000001</v>
      </c>
      <c r="H20">
        <v>3.3028</v>
      </c>
      <c r="I20">
        <v>11.3033</v>
      </c>
      <c r="J20">
        <v>4.8051899999999996</v>
      </c>
      <c r="K20">
        <v>73.686000000000007</v>
      </c>
      <c r="L20">
        <v>5.0416699999999999</v>
      </c>
      <c r="M20">
        <v>1724</v>
      </c>
      <c r="N20">
        <v>0</v>
      </c>
      <c r="O20">
        <v>0</v>
      </c>
      <c r="P20">
        <v>708</v>
      </c>
      <c r="Q20">
        <v>532.52</v>
      </c>
      <c r="R20">
        <v>69</v>
      </c>
      <c r="S20">
        <v>5</v>
      </c>
      <c r="T20">
        <v>221</v>
      </c>
      <c r="U20">
        <v>142</v>
      </c>
      <c r="V20">
        <v>194</v>
      </c>
      <c r="W20">
        <v>46.900599999999997</v>
      </c>
      <c r="X20">
        <v>316.50200000000001</v>
      </c>
      <c r="Y20">
        <v>622.19799999999998</v>
      </c>
      <c r="Z20">
        <v>647.14279999999997</v>
      </c>
    </row>
    <row r="21" spans="1:26" x14ac:dyDescent="0.4">
      <c r="A21">
        <v>1994</v>
      </c>
      <c r="B21">
        <v>106.84</v>
      </c>
      <c r="C21">
        <v>289.92500000000001</v>
      </c>
      <c r="D21">
        <v>496.77699999999999</v>
      </c>
      <c r="E21">
        <v>1325.2</v>
      </c>
      <c r="F21">
        <v>350.05500000000001</v>
      </c>
      <c r="G21">
        <v>881.87699999999995</v>
      </c>
      <c r="H21">
        <v>11.6302</v>
      </c>
      <c r="I21">
        <v>16.804200000000002</v>
      </c>
      <c r="J21">
        <v>17.9162</v>
      </c>
      <c r="K21">
        <v>43.148699999999998</v>
      </c>
      <c r="L21">
        <v>7.8078599999999998</v>
      </c>
      <c r="M21">
        <v>367.72</v>
      </c>
      <c r="N21">
        <v>560.88</v>
      </c>
      <c r="O21">
        <v>882.12</v>
      </c>
      <c r="P21">
        <v>383</v>
      </c>
      <c r="Q21">
        <v>363.289999999999</v>
      </c>
      <c r="R21">
        <v>34</v>
      </c>
      <c r="S21">
        <v>1</v>
      </c>
      <c r="T21">
        <v>137</v>
      </c>
      <c r="U21">
        <v>196</v>
      </c>
      <c r="V21">
        <v>339</v>
      </c>
      <c r="W21">
        <v>0</v>
      </c>
      <c r="X21">
        <v>0</v>
      </c>
      <c r="Y21">
        <v>0</v>
      </c>
      <c r="Z21">
        <v>0</v>
      </c>
    </row>
    <row r="22" spans="1:26" x14ac:dyDescent="0.4">
      <c r="A22">
        <v>1995</v>
      </c>
      <c r="B22">
        <v>122.676</v>
      </c>
      <c r="C22">
        <v>307.512</v>
      </c>
      <c r="D22">
        <v>386.96300000000002</v>
      </c>
      <c r="E22">
        <v>1137.94</v>
      </c>
      <c r="F22">
        <v>711.33600000000001</v>
      </c>
      <c r="G22">
        <v>1390.04</v>
      </c>
      <c r="H22">
        <v>4.9399499999999996</v>
      </c>
      <c r="I22">
        <v>12.961600000000001</v>
      </c>
      <c r="J22">
        <v>8.7626100000000005</v>
      </c>
      <c r="K22">
        <v>146.53899999999999</v>
      </c>
      <c r="L22">
        <v>4.1651899999999999</v>
      </c>
      <c r="M22">
        <v>258.08</v>
      </c>
      <c r="N22">
        <v>377.03</v>
      </c>
      <c r="O22">
        <v>592.969999999999</v>
      </c>
      <c r="P22">
        <v>283</v>
      </c>
      <c r="Q22">
        <v>738.24</v>
      </c>
      <c r="R22">
        <v>52</v>
      </c>
      <c r="S22">
        <v>27</v>
      </c>
      <c r="T22">
        <v>83</v>
      </c>
      <c r="U22">
        <v>82</v>
      </c>
      <c r="V22">
        <v>320</v>
      </c>
      <c r="W22">
        <v>0</v>
      </c>
      <c r="X22">
        <v>0</v>
      </c>
      <c r="Y22">
        <v>0</v>
      </c>
      <c r="Z22">
        <v>0</v>
      </c>
    </row>
    <row r="23" spans="1:26" x14ac:dyDescent="0.4">
      <c r="A23">
        <v>1996</v>
      </c>
      <c r="B23">
        <v>117.633</v>
      </c>
      <c r="C23">
        <v>236.33699999999999</v>
      </c>
      <c r="D23">
        <v>327.74700000000001</v>
      </c>
      <c r="E23">
        <v>1287.69</v>
      </c>
      <c r="F23">
        <v>254.541</v>
      </c>
      <c r="G23">
        <v>670.61800000000005</v>
      </c>
      <c r="H23">
        <v>8.5940700000000003</v>
      </c>
      <c r="I23">
        <v>14.8841</v>
      </c>
      <c r="J23">
        <v>26.0579</v>
      </c>
      <c r="K23">
        <v>17.5975</v>
      </c>
      <c r="L23">
        <v>10.329000000000001</v>
      </c>
      <c r="M23">
        <v>694.96</v>
      </c>
      <c r="N23">
        <v>273.25</v>
      </c>
      <c r="O23">
        <v>429.75</v>
      </c>
      <c r="P23">
        <v>152</v>
      </c>
      <c r="Q23">
        <v>515.05999999999995</v>
      </c>
      <c r="R23">
        <v>55</v>
      </c>
      <c r="S23">
        <v>26</v>
      </c>
      <c r="T23">
        <v>162</v>
      </c>
      <c r="U23">
        <v>47</v>
      </c>
      <c r="V23">
        <v>183</v>
      </c>
      <c r="W23">
        <v>0</v>
      </c>
      <c r="X23">
        <v>0</v>
      </c>
      <c r="Y23">
        <v>0</v>
      </c>
      <c r="Z23">
        <v>0</v>
      </c>
    </row>
    <row r="24" spans="1:26" x14ac:dyDescent="0.4">
      <c r="A24">
        <v>1997</v>
      </c>
      <c r="B24">
        <v>124.637</v>
      </c>
      <c r="C24">
        <v>238.49199999999999</v>
      </c>
      <c r="D24">
        <v>321.548</v>
      </c>
      <c r="E24">
        <v>973.38499999999999</v>
      </c>
      <c r="F24">
        <v>281.31599999999997</v>
      </c>
      <c r="G24">
        <v>643.40099999999995</v>
      </c>
      <c r="H24">
        <v>5.9326299999999996</v>
      </c>
      <c r="I24">
        <v>15.0679</v>
      </c>
      <c r="J24">
        <v>10.241300000000001</v>
      </c>
      <c r="K24">
        <v>6.54176</v>
      </c>
      <c r="L24">
        <v>2.69367</v>
      </c>
      <c r="M24">
        <v>245.16</v>
      </c>
      <c r="N24">
        <v>316</v>
      </c>
      <c r="O24">
        <v>497</v>
      </c>
      <c r="P24">
        <v>163</v>
      </c>
      <c r="Q24">
        <v>468.01</v>
      </c>
      <c r="R24">
        <v>39</v>
      </c>
      <c r="S24">
        <v>59</v>
      </c>
      <c r="T24">
        <v>290</v>
      </c>
      <c r="U24">
        <v>47</v>
      </c>
      <c r="V24">
        <v>150</v>
      </c>
      <c r="W24">
        <v>0</v>
      </c>
      <c r="X24">
        <v>0</v>
      </c>
      <c r="Y24">
        <v>0</v>
      </c>
      <c r="Z24">
        <v>0</v>
      </c>
    </row>
    <row r="25" spans="1:26" x14ac:dyDescent="0.4">
      <c r="A25">
        <v>1998</v>
      </c>
      <c r="B25">
        <v>105.18300000000001</v>
      </c>
      <c r="C25">
        <v>227.51400000000001</v>
      </c>
      <c r="D25">
        <v>181.47</v>
      </c>
      <c r="E25">
        <v>1321.92</v>
      </c>
      <c r="F25">
        <v>603.18700000000001</v>
      </c>
      <c r="G25">
        <v>756.91399999999999</v>
      </c>
      <c r="H25">
        <v>6.1908700000000003</v>
      </c>
      <c r="I25">
        <v>19.446000000000002</v>
      </c>
      <c r="J25">
        <v>12.3604</v>
      </c>
      <c r="K25">
        <v>18.234400000000001</v>
      </c>
      <c r="L25">
        <v>10.7918</v>
      </c>
      <c r="M25">
        <v>312.32</v>
      </c>
      <c r="N25">
        <v>424.45</v>
      </c>
      <c r="O25">
        <v>667.55</v>
      </c>
      <c r="P25">
        <v>304</v>
      </c>
      <c r="Q25">
        <v>498.98</v>
      </c>
      <c r="R25">
        <v>26</v>
      </c>
      <c r="S25">
        <v>90</v>
      </c>
      <c r="T25">
        <v>205</v>
      </c>
      <c r="U25">
        <v>50</v>
      </c>
      <c r="V25">
        <v>260</v>
      </c>
      <c r="W25">
        <v>0</v>
      </c>
      <c r="X25">
        <v>0</v>
      </c>
      <c r="Y25">
        <v>0</v>
      </c>
      <c r="Z25">
        <v>0</v>
      </c>
    </row>
    <row r="26" spans="1:26" x14ac:dyDescent="0.4">
      <c r="A26">
        <v>1999</v>
      </c>
      <c r="B26">
        <v>140.78700000000001</v>
      </c>
      <c r="C26">
        <v>220.32300000000001</v>
      </c>
      <c r="D26">
        <v>294.91800000000001</v>
      </c>
      <c r="E26">
        <v>872.02099999999996</v>
      </c>
      <c r="F26">
        <v>273.82400000000001</v>
      </c>
      <c r="G26">
        <v>553.74300000000005</v>
      </c>
      <c r="H26">
        <v>9.9972200000000004</v>
      </c>
      <c r="I26">
        <v>14.1386</v>
      </c>
      <c r="J26">
        <v>7.61503</v>
      </c>
      <c r="K26">
        <v>22.4542</v>
      </c>
      <c r="L26">
        <v>6.08927</v>
      </c>
      <c r="M26">
        <v>554.76</v>
      </c>
      <c r="N26">
        <v>437.67</v>
      </c>
      <c r="O26">
        <v>688.33999999999901</v>
      </c>
      <c r="P26">
        <v>184</v>
      </c>
      <c r="Q26">
        <v>451.08</v>
      </c>
      <c r="R26">
        <v>29</v>
      </c>
      <c r="S26">
        <v>66</v>
      </c>
      <c r="T26">
        <v>128</v>
      </c>
      <c r="U26">
        <v>42</v>
      </c>
      <c r="V26">
        <v>306</v>
      </c>
      <c r="W26">
        <v>0</v>
      </c>
      <c r="X26">
        <v>0</v>
      </c>
      <c r="Y26">
        <v>0</v>
      </c>
      <c r="Z26">
        <v>0</v>
      </c>
    </row>
    <row r="27" spans="1:26" x14ac:dyDescent="0.4">
      <c r="A27">
        <v>2000</v>
      </c>
      <c r="B27">
        <v>45.4268</v>
      </c>
      <c r="C27">
        <v>187.11500000000001</v>
      </c>
      <c r="D27">
        <v>236.35599999999999</v>
      </c>
      <c r="E27">
        <v>387.06200000000001</v>
      </c>
      <c r="F27">
        <v>281.45699999999999</v>
      </c>
      <c r="G27">
        <v>476.26100000000002</v>
      </c>
      <c r="H27">
        <v>4.3331900000000001</v>
      </c>
      <c r="I27">
        <v>11.5861</v>
      </c>
      <c r="J27">
        <v>4.1816399999999998</v>
      </c>
      <c r="K27">
        <v>22.3307</v>
      </c>
      <c r="L27">
        <v>3.8501300000000001</v>
      </c>
      <c r="M27">
        <v>343.16</v>
      </c>
      <c r="N27">
        <v>412.789999999999</v>
      </c>
      <c r="O27">
        <v>649.21</v>
      </c>
      <c r="P27">
        <v>297</v>
      </c>
      <c r="Q27">
        <v>233.14</v>
      </c>
      <c r="R27">
        <v>15</v>
      </c>
      <c r="S27">
        <v>90</v>
      </c>
      <c r="T27">
        <v>161</v>
      </c>
      <c r="U27">
        <v>55</v>
      </c>
      <c r="V27">
        <v>170</v>
      </c>
      <c r="W27">
        <v>0</v>
      </c>
      <c r="X27">
        <v>0</v>
      </c>
      <c r="Y27">
        <v>0</v>
      </c>
      <c r="Z27">
        <v>0</v>
      </c>
    </row>
    <row r="28" spans="1:26" x14ac:dyDescent="0.4">
      <c r="A28">
        <v>2001</v>
      </c>
      <c r="B28">
        <v>50.415100000000002</v>
      </c>
      <c r="C28">
        <v>204.792</v>
      </c>
      <c r="D28">
        <v>226.45</v>
      </c>
      <c r="E28">
        <v>406.95</v>
      </c>
      <c r="F28">
        <v>469.61200000000002</v>
      </c>
      <c r="G28">
        <v>556.24800000000005</v>
      </c>
      <c r="H28">
        <v>3.41954</v>
      </c>
      <c r="I28">
        <v>10.954800000000001</v>
      </c>
      <c r="J28">
        <v>7.3616400000000004</v>
      </c>
      <c r="K28">
        <v>13.3233</v>
      </c>
      <c r="L28">
        <v>5.1812899999999997</v>
      </c>
      <c r="M28">
        <v>355.68</v>
      </c>
      <c r="N28">
        <v>418.62</v>
      </c>
      <c r="O28">
        <v>658.38</v>
      </c>
      <c r="P28">
        <v>237</v>
      </c>
      <c r="Q28">
        <v>415.45</v>
      </c>
      <c r="R28">
        <v>44</v>
      </c>
      <c r="S28">
        <v>21</v>
      </c>
      <c r="T28">
        <v>129</v>
      </c>
      <c r="U28">
        <v>51</v>
      </c>
      <c r="V28">
        <v>155</v>
      </c>
      <c r="W28">
        <v>0</v>
      </c>
      <c r="X28">
        <v>0</v>
      </c>
      <c r="Y28">
        <v>0</v>
      </c>
      <c r="Z28">
        <v>0</v>
      </c>
    </row>
    <row r="29" spans="1:26" x14ac:dyDescent="0.4">
      <c r="A29">
        <v>2002</v>
      </c>
      <c r="B29">
        <v>48.644300000000001</v>
      </c>
      <c r="C29">
        <v>222.316</v>
      </c>
      <c r="D29">
        <v>147.30799999999999</v>
      </c>
      <c r="E29">
        <v>498.14499999999998</v>
      </c>
      <c r="F29">
        <v>241.42699999999999</v>
      </c>
      <c r="G29">
        <v>293.61200000000002</v>
      </c>
      <c r="H29">
        <v>2.7064499999999998</v>
      </c>
      <c r="I29">
        <v>14.377700000000001</v>
      </c>
      <c r="J29">
        <v>4.5308099999999998</v>
      </c>
      <c r="K29">
        <v>5.4300699999999997</v>
      </c>
      <c r="L29">
        <v>4.2664799999999996</v>
      </c>
      <c r="M29">
        <v>12.16</v>
      </c>
      <c r="N29">
        <v>491.31</v>
      </c>
      <c r="O29">
        <v>772.7</v>
      </c>
      <c r="P29">
        <v>290</v>
      </c>
      <c r="Q29">
        <v>232.02</v>
      </c>
      <c r="R29">
        <v>30</v>
      </c>
      <c r="S29">
        <v>51</v>
      </c>
      <c r="T29">
        <v>226</v>
      </c>
      <c r="U29">
        <v>29</v>
      </c>
      <c r="V29">
        <v>223</v>
      </c>
      <c r="W29">
        <v>0</v>
      </c>
      <c r="X29">
        <v>0</v>
      </c>
      <c r="Y29">
        <v>0</v>
      </c>
      <c r="Z29">
        <v>0</v>
      </c>
    </row>
    <row r="30" spans="1:26" x14ac:dyDescent="0.4">
      <c r="A30">
        <v>2003</v>
      </c>
      <c r="B30">
        <v>53.022500000000001</v>
      </c>
      <c r="C30">
        <v>245.61699999999999</v>
      </c>
      <c r="D30">
        <v>287.267</v>
      </c>
      <c r="E30">
        <v>408.77300000000002</v>
      </c>
      <c r="F30">
        <v>254.22499999999999</v>
      </c>
      <c r="G30">
        <v>255.905</v>
      </c>
      <c r="H30">
        <v>3.8925000000000001</v>
      </c>
      <c r="I30">
        <v>4.1796899999999999</v>
      </c>
      <c r="J30">
        <v>9.9574099999999994</v>
      </c>
      <c r="K30">
        <v>22.8888</v>
      </c>
      <c r="L30">
        <v>4.1274899999999999</v>
      </c>
      <c r="M30">
        <v>196.64</v>
      </c>
      <c r="N30">
        <v>413.57</v>
      </c>
      <c r="O30">
        <v>650.44000000000005</v>
      </c>
      <c r="P30">
        <v>203</v>
      </c>
      <c r="Q30">
        <v>759.26</v>
      </c>
      <c r="R30">
        <v>30</v>
      </c>
      <c r="S30">
        <v>172</v>
      </c>
      <c r="T30">
        <v>681</v>
      </c>
      <c r="U30">
        <v>43</v>
      </c>
      <c r="V30">
        <v>399</v>
      </c>
      <c r="W30">
        <v>0</v>
      </c>
      <c r="X30">
        <v>0</v>
      </c>
      <c r="Y30">
        <v>0</v>
      </c>
      <c r="Z30">
        <v>0</v>
      </c>
    </row>
    <row r="31" spans="1:26" x14ac:dyDescent="0.4">
      <c r="A31">
        <v>2004</v>
      </c>
      <c r="B31">
        <v>123.98699999999999</v>
      </c>
      <c r="C31">
        <v>189.95500000000001</v>
      </c>
      <c r="D31">
        <v>181.797</v>
      </c>
      <c r="E31">
        <v>334.17</v>
      </c>
      <c r="F31">
        <v>212.55</v>
      </c>
      <c r="G31">
        <v>312.63600000000002</v>
      </c>
      <c r="H31">
        <v>5.8268300000000002</v>
      </c>
      <c r="I31">
        <v>3.82152</v>
      </c>
      <c r="J31">
        <v>10.289899999999999</v>
      </c>
      <c r="K31">
        <v>8.1254500000000007</v>
      </c>
      <c r="L31">
        <v>3.0954100000000002</v>
      </c>
      <c r="M31">
        <v>124.36</v>
      </c>
      <c r="N31">
        <v>520.46</v>
      </c>
      <c r="O31">
        <v>818.54</v>
      </c>
      <c r="P31">
        <v>90</v>
      </c>
      <c r="Q31">
        <v>459.97</v>
      </c>
      <c r="R31">
        <v>35</v>
      </c>
      <c r="S31">
        <v>228</v>
      </c>
      <c r="T31">
        <v>261</v>
      </c>
      <c r="U31">
        <v>24</v>
      </c>
      <c r="V31">
        <v>273</v>
      </c>
      <c r="W31">
        <v>0</v>
      </c>
      <c r="X31">
        <v>0</v>
      </c>
      <c r="Y31">
        <v>0</v>
      </c>
      <c r="Z31">
        <v>0</v>
      </c>
    </row>
    <row r="32" spans="1:26" x14ac:dyDescent="0.4">
      <c r="A32">
        <v>2005</v>
      </c>
      <c r="B32">
        <v>89.637500000000003</v>
      </c>
      <c r="C32">
        <v>107.13800000000001</v>
      </c>
      <c r="D32">
        <v>90.942700000000002</v>
      </c>
      <c r="E32">
        <v>314.85899999999998</v>
      </c>
      <c r="F32">
        <v>130.452</v>
      </c>
      <c r="G32">
        <v>199.054</v>
      </c>
      <c r="H32">
        <v>2.9068399999999999</v>
      </c>
      <c r="I32">
        <v>5.5892200000000001</v>
      </c>
      <c r="J32">
        <v>3.4880300000000002</v>
      </c>
      <c r="K32">
        <v>19.076000000000001</v>
      </c>
      <c r="L32">
        <v>2.07348</v>
      </c>
      <c r="M32">
        <v>110.36</v>
      </c>
      <c r="N32">
        <v>471.87</v>
      </c>
      <c r="O32">
        <v>742.13</v>
      </c>
      <c r="P32">
        <v>98</v>
      </c>
      <c r="Q32">
        <v>733.03</v>
      </c>
      <c r="R32">
        <v>20</v>
      </c>
      <c r="S32">
        <v>176</v>
      </c>
      <c r="T32">
        <v>584</v>
      </c>
      <c r="U32">
        <v>32</v>
      </c>
      <c r="V32">
        <v>282</v>
      </c>
      <c r="W32">
        <v>0</v>
      </c>
      <c r="X32">
        <v>0</v>
      </c>
      <c r="Y32">
        <v>0</v>
      </c>
      <c r="Z32">
        <v>0</v>
      </c>
    </row>
    <row r="33" spans="1:26" x14ac:dyDescent="0.4">
      <c r="A33">
        <v>2006</v>
      </c>
      <c r="B33">
        <v>60.738999999999997</v>
      </c>
      <c r="C33">
        <v>96.477800000000002</v>
      </c>
      <c r="D33">
        <v>82.399500000000003</v>
      </c>
      <c r="E33">
        <v>292.24099999999999</v>
      </c>
      <c r="F33">
        <v>138.85499999999999</v>
      </c>
      <c r="G33">
        <v>196.02099999999999</v>
      </c>
      <c r="H33">
        <v>1.2422</v>
      </c>
      <c r="I33">
        <v>3.15693</v>
      </c>
      <c r="J33">
        <v>2.1990599999999998</v>
      </c>
      <c r="K33">
        <v>10.636799999999999</v>
      </c>
      <c r="L33">
        <v>1.5195399999999999</v>
      </c>
      <c r="M33">
        <v>79.599999999999994</v>
      </c>
      <c r="N33">
        <v>462.539999999999</v>
      </c>
      <c r="O33">
        <v>727.45999999999901</v>
      </c>
      <c r="P33">
        <v>95</v>
      </c>
      <c r="Q33">
        <v>704.48</v>
      </c>
      <c r="R33">
        <v>21</v>
      </c>
      <c r="S33">
        <v>134</v>
      </c>
      <c r="T33">
        <v>537</v>
      </c>
      <c r="U33">
        <v>147</v>
      </c>
      <c r="V33">
        <v>240</v>
      </c>
      <c r="W33">
        <v>0</v>
      </c>
      <c r="X33">
        <v>0</v>
      </c>
      <c r="Y33">
        <v>0</v>
      </c>
      <c r="Z33">
        <v>0</v>
      </c>
    </row>
    <row r="34" spans="1:26" x14ac:dyDescent="0.4">
      <c r="A34">
        <v>2007</v>
      </c>
      <c r="B34">
        <v>101.289</v>
      </c>
      <c r="C34">
        <v>80.355900000000005</v>
      </c>
      <c r="D34">
        <v>69.857100000000003</v>
      </c>
      <c r="E34">
        <v>238.76499999999999</v>
      </c>
      <c r="F34">
        <v>136.60599999999999</v>
      </c>
      <c r="G34">
        <v>375.61</v>
      </c>
      <c r="H34">
        <v>0.80759700000000001</v>
      </c>
      <c r="I34">
        <v>2.70811</v>
      </c>
      <c r="J34">
        <v>4.0475899999999996</v>
      </c>
      <c r="K34">
        <v>12.0905</v>
      </c>
      <c r="L34">
        <v>0.40301599999999999</v>
      </c>
      <c r="M34">
        <v>123.68</v>
      </c>
      <c r="N34">
        <v>377.03</v>
      </c>
      <c r="O34">
        <v>592.969999999999</v>
      </c>
      <c r="P34">
        <v>79</v>
      </c>
      <c r="Q34">
        <v>348.29</v>
      </c>
      <c r="R34">
        <v>13</v>
      </c>
      <c r="S34">
        <v>89</v>
      </c>
      <c r="T34">
        <v>199</v>
      </c>
      <c r="U34">
        <v>170</v>
      </c>
      <c r="V34">
        <v>141</v>
      </c>
      <c r="W34">
        <v>0</v>
      </c>
      <c r="X34">
        <v>0</v>
      </c>
      <c r="Y34">
        <v>0</v>
      </c>
      <c r="Z34">
        <v>0</v>
      </c>
    </row>
    <row r="35" spans="1:26" x14ac:dyDescent="0.4">
      <c r="A35">
        <v>2008</v>
      </c>
      <c r="B35">
        <v>139.42099999999999</v>
      </c>
      <c r="C35">
        <v>102.295</v>
      </c>
      <c r="D35">
        <v>66.142300000000006</v>
      </c>
      <c r="E35">
        <v>211.02799999999999</v>
      </c>
      <c r="F35">
        <v>102.64</v>
      </c>
      <c r="G35">
        <v>271.48500000000001</v>
      </c>
      <c r="H35">
        <v>0.82164300000000001</v>
      </c>
      <c r="I35">
        <v>3.14297</v>
      </c>
      <c r="J35">
        <v>2.2313100000000001</v>
      </c>
      <c r="K35">
        <v>18.379799999999999</v>
      </c>
      <c r="L35">
        <v>5.7436999999999996</v>
      </c>
      <c r="M35">
        <v>89.08</v>
      </c>
      <c r="N35">
        <v>506.08</v>
      </c>
      <c r="O35">
        <v>795.93</v>
      </c>
      <c r="P35">
        <v>97</v>
      </c>
      <c r="Q35">
        <v>476.73</v>
      </c>
      <c r="R35">
        <v>14</v>
      </c>
      <c r="S35">
        <v>72</v>
      </c>
      <c r="T35">
        <v>192</v>
      </c>
      <c r="U35">
        <v>213</v>
      </c>
      <c r="V35">
        <v>211</v>
      </c>
      <c r="W35">
        <v>0</v>
      </c>
      <c r="X35">
        <v>0</v>
      </c>
      <c r="Y35">
        <v>0</v>
      </c>
      <c r="Z35">
        <v>0</v>
      </c>
    </row>
    <row r="36" spans="1:26" x14ac:dyDescent="0.4">
      <c r="A36">
        <v>2009</v>
      </c>
      <c r="B36">
        <v>108.831</v>
      </c>
      <c r="C36">
        <v>59.260599999999997</v>
      </c>
      <c r="D36">
        <v>65.932299999999998</v>
      </c>
      <c r="E36">
        <v>152.03200000000001</v>
      </c>
      <c r="F36">
        <v>104.789</v>
      </c>
      <c r="G36">
        <v>134.321</v>
      </c>
      <c r="H36">
        <v>0.39245400000000003</v>
      </c>
      <c r="I36">
        <v>1.71787</v>
      </c>
      <c r="J36">
        <v>1.9168700000000001</v>
      </c>
      <c r="K36">
        <v>3.4638499999999999</v>
      </c>
      <c r="L36">
        <v>1.15462</v>
      </c>
      <c r="M36">
        <v>136.36000000000001</v>
      </c>
      <c r="N36">
        <v>319.12</v>
      </c>
      <c r="O36">
        <v>501.88</v>
      </c>
      <c r="P36">
        <v>90</v>
      </c>
      <c r="Q36">
        <v>352.11</v>
      </c>
      <c r="R36">
        <v>10</v>
      </c>
      <c r="S36">
        <v>30</v>
      </c>
      <c r="T36">
        <v>225</v>
      </c>
      <c r="U36">
        <v>138</v>
      </c>
      <c r="V36">
        <v>119</v>
      </c>
      <c r="W36">
        <v>0</v>
      </c>
      <c r="X36">
        <v>0</v>
      </c>
      <c r="Y36">
        <v>0</v>
      </c>
      <c r="Z36">
        <v>0</v>
      </c>
    </row>
    <row r="37" spans="1:26" x14ac:dyDescent="0.4">
      <c r="A37">
        <v>2010</v>
      </c>
      <c r="B37">
        <v>141.995</v>
      </c>
      <c r="C37">
        <v>105.117</v>
      </c>
      <c r="D37">
        <v>38.187100000000001</v>
      </c>
      <c r="E37">
        <v>373.22199999999998</v>
      </c>
      <c r="F37">
        <v>87.4161</v>
      </c>
      <c r="G37">
        <v>146.82400000000001</v>
      </c>
      <c r="H37">
        <v>0.82122799999999996</v>
      </c>
      <c r="I37">
        <v>12.8224</v>
      </c>
      <c r="J37">
        <v>9.9025999999999996</v>
      </c>
      <c r="K37">
        <v>0.81342700000000001</v>
      </c>
      <c r="L37">
        <v>6.9141300000000001</v>
      </c>
      <c r="M37">
        <v>161.12</v>
      </c>
      <c r="N37">
        <v>354.88</v>
      </c>
      <c r="O37">
        <v>558.13</v>
      </c>
      <c r="P37">
        <v>82</v>
      </c>
      <c r="Q37">
        <v>183.72</v>
      </c>
      <c r="R37">
        <v>19</v>
      </c>
      <c r="S37">
        <v>32</v>
      </c>
      <c r="T37">
        <v>200</v>
      </c>
      <c r="U37">
        <v>176</v>
      </c>
      <c r="V37">
        <v>127</v>
      </c>
      <c r="W37">
        <v>0</v>
      </c>
      <c r="X37">
        <v>0</v>
      </c>
      <c r="Y37">
        <v>0</v>
      </c>
      <c r="Z37">
        <v>0</v>
      </c>
    </row>
    <row r="38" spans="1:26" x14ac:dyDescent="0.4">
      <c r="A38">
        <v>2011</v>
      </c>
      <c r="B38">
        <v>95.663899999999998</v>
      </c>
      <c r="C38">
        <v>286.40899999999999</v>
      </c>
      <c r="D38">
        <v>102.63</v>
      </c>
      <c r="E38">
        <v>177.35900000000001</v>
      </c>
      <c r="F38">
        <v>196.86</v>
      </c>
      <c r="G38">
        <v>350.16500000000002</v>
      </c>
      <c r="H38">
        <v>4.3757000000000001</v>
      </c>
      <c r="I38">
        <v>12.7903</v>
      </c>
      <c r="J38">
        <v>1.8455600000000001</v>
      </c>
      <c r="K38">
        <v>1.1187400000000001</v>
      </c>
      <c r="L38">
        <v>8.2040699999999998</v>
      </c>
      <c r="M38">
        <v>182.72</v>
      </c>
      <c r="N38">
        <v>134.87</v>
      </c>
      <c r="O38">
        <v>212.13</v>
      </c>
      <c r="P38">
        <v>88</v>
      </c>
      <c r="Q38">
        <v>401.52</v>
      </c>
      <c r="R38">
        <v>16</v>
      </c>
      <c r="S38">
        <v>53</v>
      </c>
      <c r="T38">
        <v>269</v>
      </c>
      <c r="U38">
        <v>127</v>
      </c>
      <c r="V38">
        <v>220</v>
      </c>
      <c r="W38">
        <v>0</v>
      </c>
      <c r="X38">
        <v>0</v>
      </c>
      <c r="Y38">
        <v>0</v>
      </c>
      <c r="Z38">
        <v>0</v>
      </c>
    </row>
    <row r="39" spans="1:26" x14ac:dyDescent="0.4">
      <c r="A39">
        <v>2012</v>
      </c>
      <c r="B39">
        <v>142.21199999999999</v>
      </c>
      <c r="C39">
        <v>249.73</v>
      </c>
      <c r="D39">
        <v>155.64599999999999</v>
      </c>
      <c r="E39">
        <v>399.29399999999998</v>
      </c>
      <c r="F39">
        <v>81.7864</v>
      </c>
      <c r="G39">
        <v>254.71700000000001</v>
      </c>
      <c r="H39">
        <v>1.9358900000000001</v>
      </c>
      <c r="I39">
        <v>2.5352000000000001</v>
      </c>
      <c r="J39">
        <v>2.24512</v>
      </c>
      <c r="K39">
        <v>1.92967</v>
      </c>
      <c r="L39">
        <v>1.1577999999999999</v>
      </c>
      <c r="M39">
        <v>82.56</v>
      </c>
      <c r="N39">
        <v>232.05</v>
      </c>
      <c r="O39">
        <v>364.95</v>
      </c>
      <c r="P39">
        <v>119</v>
      </c>
      <c r="Q39">
        <v>310.2</v>
      </c>
      <c r="R39">
        <v>11</v>
      </c>
      <c r="S39">
        <v>73</v>
      </c>
      <c r="T39">
        <v>352</v>
      </c>
      <c r="U39">
        <v>150</v>
      </c>
      <c r="V39">
        <v>229</v>
      </c>
      <c r="W39">
        <v>0</v>
      </c>
      <c r="X39">
        <v>0</v>
      </c>
      <c r="Y39">
        <v>0</v>
      </c>
      <c r="Z39">
        <v>0</v>
      </c>
    </row>
    <row r="40" spans="1:26" x14ac:dyDescent="0.4">
      <c r="A40">
        <v>2013</v>
      </c>
      <c r="B40">
        <v>186.518</v>
      </c>
      <c r="C40">
        <v>181.54</v>
      </c>
      <c r="D40">
        <v>93.245800000000003</v>
      </c>
      <c r="E40">
        <v>587.49900000000002</v>
      </c>
      <c r="F40">
        <v>63.220799999999997</v>
      </c>
      <c r="G40">
        <v>200.76599999999999</v>
      </c>
      <c r="H40">
        <v>1.2377800000000001</v>
      </c>
      <c r="I40">
        <v>9.1940399999999993</v>
      </c>
      <c r="J40">
        <v>1.7179599999999999</v>
      </c>
      <c r="K40">
        <v>3.2778</v>
      </c>
      <c r="L40">
        <v>0.81945100000000004</v>
      </c>
      <c r="M40">
        <v>173.24</v>
      </c>
      <c r="N40">
        <v>130.6</v>
      </c>
      <c r="O40">
        <v>205.39999999999901</v>
      </c>
      <c r="P40">
        <v>92</v>
      </c>
      <c r="Q40">
        <v>438.92</v>
      </c>
      <c r="R40">
        <v>8</v>
      </c>
      <c r="S40">
        <v>67</v>
      </c>
      <c r="T40">
        <v>285</v>
      </c>
      <c r="U40">
        <v>220</v>
      </c>
      <c r="V40">
        <v>67</v>
      </c>
      <c r="W40">
        <v>0</v>
      </c>
      <c r="X40">
        <v>0</v>
      </c>
      <c r="Y40">
        <v>0</v>
      </c>
      <c r="Z40">
        <v>0</v>
      </c>
    </row>
    <row r="41" spans="1:26" x14ac:dyDescent="0.4">
      <c r="A41">
        <v>2014</v>
      </c>
      <c r="B41">
        <v>125.31699999999999</v>
      </c>
      <c r="C41">
        <v>127.393</v>
      </c>
      <c r="D41">
        <v>151.602</v>
      </c>
      <c r="E41">
        <v>260.32799999999997</v>
      </c>
      <c r="F41">
        <v>113.76900000000001</v>
      </c>
      <c r="G41">
        <v>203.85499999999999</v>
      </c>
      <c r="H41">
        <v>0.79372699999999996</v>
      </c>
      <c r="I41">
        <v>3.3974299999999999</v>
      </c>
      <c r="J41">
        <v>2.44665</v>
      </c>
      <c r="K41">
        <v>1.1160000000000001</v>
      </c>
      <c r="L41">
        <v>1.85999</v>
      </c>
      <c r="M41">
        <v>264.76</v>
      </c>
      <c r="N41">
        <v>67.239999999999995</v>
      </c>
      <c r="O41">
        <v>105.759999999999</v>
      </c>
      <c r="P41">
        <v>57</v>
      </c>
      <c r="Q41">
        <v>468.6</v>
      </c>
      <c r="R41">
        <v>12</v>
      </c>
      <c r="S41">
        <v>16.8</v>
      </c>
      <c r="T41">
        <v>115</v>
      </c>
      <c r="U41">
        <v>69.8</v>
      </c>
      <c r="V41">
        <v>576</v>
      </c>
      <c r="W41">
        <v>0</v>
      </c>
      <c r="X41">
        <v>0</v>
      </c>
      <c r="Y41">
        <v>0</v>
      </c>
      <c r="Z41">
        <v>0</v>
      </c>
    </row>
    <row r="42" spans="1:26" x14ac:dyDescent="0.4">
      <c r="A42">
        <v>2015</v>
      </c>
      <c r="B42">
        <v>105.72</v>
      </c>
      <c r="C42">
        <v>237.52099999999999</v>
      </c>
      <c r="D42">
        <v>128.142</v>
      </c>
      <c r="E42">
        <v>521.74199999999996</v>
      </c>
      <c r="F42">
        <v>67.172300000000007</v>
      </c>
      <c r="G42">
        <v>100.053</v>
      </c>
      <c r="H42">
        <v>0.79839099999999996</v>
      </c>
      <c r="I42">
        <v>2.6687599999999998</v>
      </c>
      <c r="J42">
        <v>3.7317900000000002</v>
      </c>
      <c r="K42">
        <v>2.4304399999999999</v>
      </c>
      <c r="L42">
        <v>1.21522</v>
      </c>
      <c r="M42">
        <v>290.95999999999998</v>
      </c>
      <c r="N42">
        <v>111.56</v>
      </c>
      <c r="O42">
        <v>175.44</v>
      </c>
      <c r="P42">
        <v>101</v>
      </c>
      <c r="Q42">
        <v>539</v>
      </c>
      <c r="R42">
        <v>11</v>
      </c>
      <c r="S42">
        <v>33.32</v>
      </c>
      <c r="T42">
        <v>181</v>
      </c>
      <c r="U42">
        <v>32.92</v>
      </c>
      <c r="V42">
        <v>625</v>
      </c>
      <c r="W42">
        <v>0</v>
      </c>
      <c r="X42">
        <v>0</v>
      </c>
      <c r="Y42">
        <v>0</v>
      </c>
      <c r="Z42">
        <v>0</v>
      </c>
    </row>
    <row r="43" spans="1:26" x14ac:dyDescent="0.4">
      <c r="A43">
        <v>2016</v>
      </c>
      <c r="B43">
        <v>184.559</v>
      </c>
      <c r="C43">
        <v>70.182100000000005</v>
      </c>
      <c r="D43">
        <v>35.091000000000001</v>
      </c>
      <c r="E43">
        <v>264.50099999999998</v>
      </c>
      <c r="F43">
        <v>77.192800000000005</v>
      </c>
      <c r="G43">
        <v>128.005</v>
      </c>
      <c r="H43">
        <v>0.83550100000000005</v>
      </c>
      <c r="I43">
        <v>2.3000099999999999</v>
      </c>
      <c r="J43">
        <v>3.9085000000000001</v>
      </c>
      <c r="K43">
        <v>1.1815800000000001</v>
      </c>
      <c r="L43">
        <v>1.1815800000000001</v>
      </c>
      <c r="M43">
        <v>233.8</v>
      </c>
      <c r="N43">
        <v>119.72</v>
      </c>
      <c r="O43">
        <v>188.29</v>
      </c>
      <c r="P43">
        <v>98</v>
      </c>
      <c r="Q43">
        <v>424.6</v>
      </c>
      <c r="R43">
        <v>12</v>
      </c>
      <c r="S43">
        <v>58</v>
      </c>
      <c r="T43">
        <v>135</v>
      </c>
      <c r="U43">
        <v>24.32</v>
      </c>
      <c r="V43">
        <v>394</v>
      </c>
      <c r="W43">
        <v>0</v>
      </c>
      <c r="X43">
        <v>0</v>
      </c>
      <c r="Y43">
        <v>0</v>
      </c>
      <c r="Z43">
        <v>0</v>
      </c>
    </row>
    <row r="44" spans="1:26" x14ac:dyDescent="0.4">
      <c r="A44">
        <v>2017</v>
      </c>
      <c r="B44">
        <v>171.62</v>
      </c>
      <c r="C44">
        <v>76.768100000000004</v>
      </c>
      <c r="D44">
        <v>61.497</v>
      </c>
      <c r="E44">
        <v>213.23</v>
      </c>
      <c r="F44">
        <v>44.694000000000003</v>
      </c>
      <c r="G44">
        <v>90.884100000000004</v>
      </c>
      <c r="H44">
        <v>0.41273100000000001</v>
      </c>
      <c r="I44">
        <v>0.91711600000000004</v>
      </c>
      <c r="J44">
        <v>2.3174700000000001</v>
      </c>
      <c r="K44">
        <v>1.19584</v>
      </c>
      <c r="L44">
        <v>1.19584</v>
      </c>
      <c r="M44">
        <v>276.12</v>
      </c>
      <c r="N44">
        <v>93.68</v>
      </c>
      <c r="O44">
        <v>147.32999999999899</v>
      </c>
      <c r="P44">
        <v>79</v>
      </c>
      <c r="Q44">
        <v>339.09</v>
      </c>
      <c r="R44">
        <v>6</v>
      </c>
      <c r="S44">
        <v>72</v>
      </c>
      <c r="T44">
        <v>291</v>
      </c>
      <c r="U44">
        <v>48.32</v>
      </c>
      <c r="V44">
        <v>239</v>
      </c>
      <c r="W44">
        <v>0</v>
      </c>
      <c r="X44">
        <v>0</v>
      </c>
      <c r="Y44">
        <v>0</v>
      </c>
      <c r="Z44">
        <v>0</v>
      </c>
    </row>
    <row r="45" spans="1:26" x14ac:dyDescent="0.4">
      <c r="A45">
        <v>2018</v>
      </c>
      <c r="B45">
        <v>118.229</v>
      </c>
      <c r="C45">
        <v>81.043499999999995</v>
      </c>
      <c r="D45">
        <v>43.223199999999999</v>
      </c>
      <c r="E45">
        <v>178.54499999999999</v>
      </c>
      <c r="F45">
        <v>44.148899999999998</v>
      </c>
      <c r="G45">
        <v>111.967</v>
      </c>
      <c r="H45">
        <v>0.41560799999999998</v>
      </c>
      <c r="I45">
        <v>0.92271499999999995</v>
      </c>
      <c r="J45">
        <v>1.6473500000000001</v>
      </c>
      <c r="K45">
        <v>1.1911400000000001</v>
      </c>
      <c r="L45">
        <v>0.79409099999999999</v>
      </c>
      <c r="M45">
        <v>267.8</v>
      </c>
      <c r="N45">
        <v>108.06</v>
      </c>
      <c r="O45">
        <v>169.94</v>
      </c>
      <c r="P45">
        <v>116</v>
      </c>
      <c r="Q45">
        <v>416.6</v>
      </c>
      <c r="R45">
        <v>6</v>
      </c>
      <c r="S45">
        <v>54</v>
      </c>
      <c r="T45">
        <v>259</v>
      </c>
      <c r="U45">
        <v>32.840000000000003</v>
      </c>
      <c r="V45">
        <v>165</v>
      </c>
      <c r="W45">
        <v>0</v>
      </c>
      <c r="X45">
        <v>0</v>
      </c>
      <c r="Y45">
        <v>0</v>
      </c>
      <c r="Z45">
        <v>0</v>
      </c>
    </row>
    <row r="46" spans="1:26" x14ac:dyDescent="0.4">
      <c r="A46">
        <v>2019</v>
      </c>
      <c r="B46">
        <v>161.22900000000001</v>
      </c>
      <c r="C46">
        <v>107.56</v>
      </c>
      <c r="D46">
        <v>42.468499999999999</v>
      </c>
      <c r="E46">
        <v>359.81200000000001</v>
      </c>
      <c r="F46">
        <v>121.593</v>
      </c>
      <c r="G46">
        <v>216.60599999999999</v>
      </c>
      <c r="H46">
        <v>0.39690199999999998</v>
      </c>
      <c r="I46">
        <v>4.3039800000000001</v>
      </c>
      <c r="J46">
        <v>1.2471099999999999</v>
      </c>
      <c r="K46">
        <v>0.75604099999999996</v>
      </c>
      <c r="L46">
        <v>1.1340600000000001</v>
      </c>
      <c r="M46">
        <v>251.08</v>
      </c>
      <c r="N46">
        <v>93.68</v>
      </c>
      <c r="O46">
        <v>147.32999999999899</v>
      </c>
      <c r="P46">
        <v>129</v>
      </c>
      <c r="Q46">
        <v>508.5</v>
      </c>
      <c r="R46">
        <v>6</v>
      </c>
      <c r="S46">
        <v>39</v>
      </c>
      <c r="T46">
        <v>314</v>
      </c>
      <c r="U46">
        <v>33.880000000000003</v>
      </c>
      <c r="V46">
        <v>155</v>
      </c>
      <c r="W46">
        <v>0</v>
      </c>
      <c r="X46">
        <v>0</v>
      </c>
      <c r="Y46">
        <v>0</v>
      </c>
      <c r="Z46">
        <v>0</v>
      </c>
    </row>
    <row r="47" spans="1:26" x14ac:dyDescent="0.4">
      <c r="A47">
        <v>2020</v>
      </c>
      <c r="B47">
        <v>346.17200000000003</v>
      </c>
      <c r="C47">
        <v>114.67100000000001</v>
      </c>
      <c r="D47">
        <v>22.538900000000002</v>
      </c>
      <c r="E47">
        <v>243.37700000000001</v>
      </c>
      <c r="F47">
        <v>62.1096</v>
      </c>
      <c r="G47">
        <v>208.31200000000001</v>
      </c>
      <c r="H47">
        <v>0</v>
      </c>
      <c r="I47">
        <v>3.92544</v>
      </c>
      <c r="J47">
        <v>1.63446</v>
      </c>
      <c r="K47">
        <v>0</v>
      </c>
      <c r="L47">
        <v>1.18136</v>
      </c>
      <c r="M47">
        <v>221.6</v>
      </c>
      <c r="N47">
        <v>93.68</v>
      </c>
      <c r="O47">
        <v>147.32999999999899</v>
      </c>
      <c r="P47">
        <v>129</v>
      </c>
      <c r="Q47">
        <v>319.3</v>
      </c>
      <c r="R47">
        <v>6</v>
      </c>
      <c r="S47">
        <v>31.52</v>
      </c>
      <c r="T47">
        <v>307</v>
      </c>
      <c r="U47">
        <v>33.4</v>
      </c>
      <c r="V47">
        <v>119</v>
      </c>
      <c r="W47">
        <v>0</v>
      </c>
      <c r="X47">
        <v>0</v>
      </c>
      <c r="Y47">
        <v>0</v>
      </c>
      <c r="Z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scenario1-catch</vt:lpstr>
      <vt:lpstr>scenario2-catch</vt:lpstr>
      <vt:lpstr>scenario3-catch</vt:lpstr>
      <vt:lpstr>S1</vt:lpstr>
      <vt:lpstr>S2</vt:lpstr>
      <vt:lpstr>S3</vt:lpstr>
      <vt:lpstr>work</vt:lpstr>
      <vt:lpstr>CatchbyFleet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Brodziak</dc:creator>
  <cp:lastModifiedBy>Jon Brodziak</cp:lastModifiedBy>
  <cp:lastPrinted>2025-03-15T03:06:58Z</cp:lastPrinted>
  <dcterms:created xsi:type="dcterms:W3CDTF">2025-02-19T06:29:14Z</dcterms:created>
  <dcterms:modified xsi:type="dcterms:W3CDTF">2025-03-15T03:08:27Z</dcterms:modified>
</cp:coreProperties>
</file>