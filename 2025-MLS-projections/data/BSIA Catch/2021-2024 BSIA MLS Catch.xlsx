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.brodziak\Desktop\2024 WCNPO MLS Rebuilding\2025 MLS projections\data\BSIA Catch\"/>
    </mc:Choice>
  </mc:AlternateContent>
  <xr:revisionPtr revIDLastSave="0" documentId="13_ncr:1_{B0C06AEE-F0F7-4AB8-A27A-164F1687C353}" xr6:coauthVersionLast="47" xr6:coauthVersionMax="47" xr10:uidLastSave="{00000000-0000-0000-0000-000000000000}"/>
  <bookViews>
    <workbookView xWindow="437" yWindow="471" windowWidth="13766" windowHeight="8186" firstSheet="2" activeTab="3" xr2:uid="{416E3EAD-1861-4C87-937B-DDBEC44D9B39}"/>
  </bookViews>
  <sheets>
    <sheet name="2021-2024-mls-catch" sheetId="4" r:id="rId1"/>
    <sheet name="2021-2024-mls-catch-us-longline" sheetId="3" r:id="rId2"/>
    <sheet name="2021-2024-mls-catch-us-yearbook" sheetId="2" r:id="rId3"/>
    <sheet name="table" sheetId="5" r:id="rId4"/>
    <sheet name="work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4" i="5" l="1"/>
  <c r="D94" i="5"/>
  <c r="C94" i="5"/>
  <c r="B94" i="5"/>
  <c r="F94" i="5" s="1"/>
  <c r="F93" i="5"/>
  <c r="F92" i="5"/>
  <c r="F91" i="5"/>
  <c r="F90" i="5"/>
  <c r="F89" i="5"/>
  <c r="F88" i="5"/>
  <c r="F87" i="5"/>
  <c r="F80" i="5"/>
  <c r="E79" i="5"/>
  <c r="E81" i="5" s="1"/>
  <c r="D79" i="5"/>
  <c r="D81" i="5" s="1"/>
  <c r="C79" i="5"/>
  <c r="C81" i="5" s="1"/>
  <c r="B79" i="5"/>
  <c r="B81" i="5" s="1"/>
  <c r="F78" i="5"/>
  <c r="F77" i="5"/>
  <c r="F76" i="5"/>
  <c r="E66" i="5"/>
  <c r="D66" i="5"/>
  <c r="C66" i="5"/>
  <c r="B66" i="5"/>
  <c r="E65" i="5"/>
  <c r="D65" i="5"/>
  <c r="C65" i="5"/>
  <c r="B65" i="5"/>
  <c r="E64" i="5"/>
  <c r="D64" i="5"/>
  <c r="C64" i="5"/>
  <c r="B64" i="5"/>
  <c r="E63" i="5"/>
  <c r="D63" i="5"/>
  <c r="C63" i="5"/>
  <c r="B63" i="5"/>
  <c r="E62" i="5"/>
  <c r="D62" i="5"/>
  <c r="C62" i="5"/>
  <c r="B62" i="5"/>
  <c r="F62" i="5" s="1"/>
  <c r="E61" i="5"/>
  <c r="D61" i="5"/>
  <c r="C61" i="5"/>
  <c r="B61" i="5"/>
  <c r="F61" i="5" s="1"/>
  <c r="E60" i="5"/>
  <c r="D60" i="5"/>
  <c r="C60" i="5"/>
  <c r="B60" i="5"/>
  <c r="F60" i="5" s="1"/>
  <c r="E59" i="5"/>
  <c r="D59" i="5"/>
  <c r="C59" i="5"/>
  <c r="B59" i="5"/>
  <c r="F59" i="5" s="1"/>
  <c r="E58" i="5"/>
  <c r="D58" i="5"/>
  <c r="C58" i="5"/>
  <c r="B58" i="5"/>
  <c r="F58" i="5" s="1"/>
  <c r="E50" i="5"/>
  <c r="D50" i="5"/>
  <c r="C50" i="5"/>
  <c r="B50" i="5"/>
  <c r="F49" i="5"/>
  <c r="F48" i="5"/>
  <c r="F47" i="5"/>
  <c r="F46" i="5"/>
  <c r="F45" i="5"/>
  <c r="F44" i="5"/>
  <c r="F43" i="5"/>
  <c r="F42" i="5"/>
  <c r="F41" i="5"/>
  <c r="E34" i="5"/>
  <c r="D34" i="5"/>
  <c r="C34" i="5"/>
  <c r="B34" i="5"/>
  <c r="B5" i="5" s="1" a="1"/>
  <c r="B5" i="5" s="1"/>
  <c r="F33" i="5"/>
  <c r="F32" i="5"/>
  <c r="F31" i="5"/>
  <c r="F30" i="5"/>
  <c r="F29" i="5"/>
  <c r="F28" i="5"/>
  <c r="F27" i="5"/>
  <c r="F26" i="5"/>
  <c r="F25" i="5"/>
  <c r="E17" i="5"/>
  <c r="C17" i="5"/>
  <c r="E16" i="5"/>
  <c r="C16" i="5"/>
  <c r="E15" i="5"/>
  <c r="C15" i="5"/>
  <c r="E14" i="5"/>
  <c r="C14" i="5"/>
  <c r="C9" i="5"/>
  <c r="C16" i="1"/>
  <c r="C15" i="1"/>
  <c r="C14" i="1"/>
  <c r="C13" i="1"/>
  <c r="D8" i="1"/>
  <c r="D7" i="1"/>
  <c r="D6" i="1"/>
  <c r="D5" i="1"/>
  <c r="E16" i="1"/>
  <c r="E15" i="1"/>
  <c r="E14" i="1"/>
  <c r="E13" i="1"/>
  <c r="C9" i="1"/>
  <c r="F90" i="1"/>
  <c r="F89" i="1"/>
  <c r="F88" i="1"/>
  <c r="F87" i="1"/>
  <c r="F86" i="1"/>
  <c r="F85" i="1"/>
  <c r="F84" i="1"/>
  <c r="E91" i="1"/>
  <c r="D91" i="1"/>
  <c r="C91" i="1"/>
  <c r="B91" i="1"/>
  <c r="F91" i="1" s="1"/>
  <c r="F77" i="1"/>
  <c r="F75" i="1"/>
  <c r="F74" i="1"/>
  <c r="F73" i="1"/>
  <c r="F46" i="1"/>
  <c r="F45" i="1"/>
  <c r="F44" i="1"/>
  <c r="F43" i="1"/>
  <c r="F42" i="1"/>
  <c r="F41" i="1"/>
  <c r="F40" i="1"/>
  <c r="F39" i="1"/>
  <c r="F38" i="1"/>
  <c r="F30" i="1"/>
  <c r="F29" i="1"/>
  <c r="F28" i="1"/>
  <c r="F27" i="1"/>
  <c r="F26" i="1"/>
  <c r="F25" i="1"/>
  <c r="F24" i="1"/>
  <c r="F23" i="1"/>
  <c r="F22" i="1"/>
  <c r="E31" i="1"/>
  <c r="D31" i="1"/>
  <c r="C31" i="1"/>
  <c r="B31" i="1"/>
  <c r="B5" i="1" s="1" a="1"/>
  <c r="E47" i="1"/>
  <c r="D47" i="1"/>
  <c r="C47" i="1"/>
  <c r="B47" i="1"/>
  <c r="E67" i="5" l="1"/>
  <c r="F66" i="5"/>
  <c r="F50" i="5"/>
  <c r="F64" i="5"/>
  <c r="B67" i="5"/>
  <c r="F65" i="5"/>
  <c r="F34" i="5"/>
  <c r="D67" i="5"/>
  <c r="F81" i="5"/>
  <c r="F63" i="5"/>
  <c r="F67" i="5" s="1"/>
  <c r="C67" i="5"/>
  <c r="B9" i="5"/>
  <c r="D9" i="5" s="1"/>
  <c r="D5" i="5"/>
  <c r="F79" i="5"/>
  <c r="D6" i="5"/>
  <c r="D7" i="5"/>
  <c r="D8" i="5"/>
  <c r="B5" i="1"/>
  <c r="E5" i="1" s="1"/>
  <c r="E6" i="1"/>
  <c r="E8" i="1"/>
  <c r="E7" i="1"/>
  <c r="F31" i="1"/>
  <c r="F47" i="1"/>
  <c r="E76" i="1"/>
  <c r="E78" i="1" s="1"/>
  <c r="D76" i="1"/>
  <c r="D78" i="1" s="1"/>
  <c r="C76" i="1"/>
  <c r="C78" i="1" s="1"/>
  <c r="B76" i="1"/>
  <c r="E63" i="1"/>
  <c r="D63" i="1"/>
  <c r="C63" i="1"/>
  <c r="E62" i="1"/>
  <c r="D62" i="1"/>
  <c r="C62" i="1"/>
  <c r="B63" i="1"/>
  <c r="B62" i="1"/>
  <c r="F62" i="1" s="1"/>
  <c r="E61" i="1"/>
  <c r="D61" i="1"/>
  <c r="C61" i="1"/>
  <c r="B61" i="1"/>
  <c r="E60" i="1"/>
  <c r="D60" i="1"/>
  <c r="C60" i="1"/>
  <c r="B60" i="1"/>
  <c r="E59" i="1"/>
  <c r="D59" i="1"/>
  <c r="C59" i="1"/>
  <c r="B59" i="1"/>
  <c r="E58" i="1"/>
  <c r="D58" i="1"/>
  <c r="C58" i="1"/>
  <c r="B58" i="1"/>
  <c r="E57" i="1"/>
  <c r="D57" i="1"/>
  <c r="C57" i="1"/>
  <c r="B57" i="1"/>
  <c r="F57" i="1" s="1"/>
  <c r="E56" i="1"/>
  <c r="D56" i="1"/>
  <c r="C56" i="1"/>
  <c r="B56" i="1"/>
  <c r="F56" i="1" s="1"/>
  <c r="E55" i="1"/>
  <c r="D55" i="1"/>
  <c r="C55" i="1"/>
  <c r="B55" i="1"/>
  <c r="F55" i="1" s="1"/>
  <c r="F63" i="1" l="1"/>
  <c r="F59" i="1"/>
  <c r="F60" i="1"/>
  <c r="B9" i="1"/>
  <c r="E9" i="1" s="1"/>
  <c r="F61" i="1"/>
  <c r="F58" i="1"/>
  <c r="B78" i="1"/>
  <c r="F78" i="1" s="1"/>
  <c r="F76" i="1"/>
  <c r="D64" i="1"/>
  <c r="C64" i="1"/>
  <c r="E64" i="1"/>
  <c r="B64" i="1"/>
  <c r="F6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<sst xmlns="http://schemas.openxmlformats.org/spreadsheetml/2006/main" count="174" uniqueCount="42">
  <si>
    <t>G3</t>
  </si>
  <si>
    <t>G8</t>
  </si>
  <si>
    <t>G9</t>
  </si>
  <si>
    <t>Year</t>
  </si>
  <si>
    <t>Fleet Group</t>
  </si>
  <si>
    <t>G1</t>
  </si>
  <si>
    <t>G2</t>
  </si>
  <si>
    <t>G4</t>
  </si>
  <si>
    <t>G5</t>
  </si>
  <si>
    <t>G6</t>
  </si>
  <si>
    <t>G7</t>
  </si>
  <si>
    <t>WCPFC 2024 Yearbook WCNPO MLS Catch Biomass (mt)</t>
  </si>
  <si>
    <t>Japanese WCNPO MLS Catch Biomass by Fleet Group</t>
  </si>
  <si>
    <t>Total WCNPO MLS Catch Biomass by Fleet Group</t>
  </si>
  <si>
    <t>USA Catch (G8) Taken From WCPFC 2024 Yearbook</t>
  </si>
  <si>
    <t>USA Catch (G8) Taken From Hawaii Longline Fleet Retained MLS</t>
  </si>
  <si>
    <t>From HI Longline Retained Catch</t>
  </si>
  <si>
    <t>USA Catch (G8) From Hawaii Longline and HDAR Non-Longline MLS Catch</t>
  </si>
  <si>
    <t>Average</t>
  </si>
  <si>
    <t>Total</t>
  </si>
  <si>
    <t>From WCPFC Yearbook Reported Catch</t>
  </si>
  <si>
    <t>Total G3 + G8 + G9</t>
  </si>
  <si>
    <t>Japan</t>
  </si>
  <si>
    <t>From WESTERN AND CENTRAL PACIFIC FISHERIES COMMISSION TUNA FISHERY YEARBOOK 2024</t>
  </si>
  <si>
    <t>F-Based</t>
  </si>
  <si>
    <t>% Change</t>
  </si>
  <si>
    <t>F-Based Std</t>
  </si>
  <si>
    <t>Observed C</t>
  </si>
  <si>
    <t>Observed F</t>
  </si>
  <si>
    <t>Obs F Std</t>
  </si>
  <si>
    <t>F-Based C</t>
  </si>
  <si>
    <t>F-Based 80CI</t>
  </si>
  <si>
    <t>Obs F 80CI</t>
  </si>
  <si>
    <t>From M. Jussup, Fisheries Research Agency, Japan, 26-Feb-2025</t>
  </si>
  <si>
    <t>Total 2025 BSIA for WCNPO MLS Catch Biomass by Fleet Group</t>
  </si>
  <si>
    <t>Scenario 1 from CMM 2024-06 projections</t>
  </si>
  <si>
    <t>Scenario 6 from 2024 rebuilding projections</t>
  </si>
  <si>
    <t>Initial WCNPO MLS Catch Biomass (mt) and Fishing Mortality</t>
  </si>
  <si>
    <t>Observed Catch</t>
  </si>
  <si>
    <t>F-Based Catch</t>
  </si>
  <si>
    <t>% Change from 2024</t>
  </si>
  <si>
    <t>Source: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</si>
</sst>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0" fontId="0" fillId="0" borderId="10" xfId="0" applyBorder="1"/>
    <xf numFmtId="0" fontId="0" fillId="0" borderId="12" xfId="0" applyBorder="1"/>
    <xf numFmtId="0" fontId="0" fillId="0" borderId="2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2" fillId="0" borderId="0" xfId="0" applyFont="1"/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9" fontId="0" fillId="0" borderId="6" xfId="1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9" fontId="0" fillId="0" borderId="9" xfId="1" applyFont="1" applyBorder="1" applyAlignment="1">
      <alignment horizontal="center"/>
    </xf>
    <xf numFmtId="0" fontId="0" fillId="0" borderId="12" xfId="0" applyFill="1" applyBorder="1" applyAlignment="1">
      <alignment horizontal="center"/>
    </xf>
    <xf numFmtId="1" fontId="0" fillId="0" borderId="14" xfId="0" applyNumberFormat="1" applyFill="1" applyBorder="1" applyAlignment="1">
      <alignment horizontal="center"/>
    </xf>
    <xf numFmtId="1" fontId="0" fillId="0" borderId="15" xfId="0" applyNumberFormat="1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9" fontId="0" fillId="0" borderId="12" xfId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" fontId="0" fillId="0" borderId="13" xfId="0" applyNumberFormat="1" applyFill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9" fontId="0" fillId="0" borderId="4" xfId="1" applyFon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9" fontId="0" fillId="0" borderId="0" xfId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0" applyFont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12" xfId="0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5" fillId="0" borderId="10" xfId="0" applyFont="1" applyBorder="1" applyAlignment="1">
      <alignment horizontal="right" vertical="top"/>
    </xf>
    <xf numFmtId="0" fontId="5" fillId="0" borderId="11" xfId="0" applyFont="1" applyBorder="1" applyAlignment="1">
      <alignment wrapText="1"/>
    </xf>
    <xf numFmtId="1" fontId="0" fillId="0" borderId="12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62B0-1A68-481A-94BC-40B11FBDFE09}">
  <dimension ref="A1:D10"/>
  <sheetViews>
    <sheetView topLeftCell="A3" workbookViewId="0">
      <selection activeCell="G7" sqref="G7"/>
    </sheetView>
  </sheetViews>
  <sheetFormatPr defaultRowHeight="14.6" x14ac:dyDescent="0.4"/>
  <sheetData>
    <row r="1" spans="1:4" x14ac:dyDescent="0.4">
      <c r="A1">
        <v>2021</v>
      </c>
      <c r="B1">
        <v>2022</v>
      </c>
      <c r="C1">
        <v>2023</v>
      </c>
      <c r="D1">
        <v>2024</v>
      </c>
    </row>
    <row r="2" spans="1:4" x14ac:dyDescent="0.4">
      <c r="A2">
        <v>118.18600000000001</v>
      </c>
      <c r="B2">
        <v>74.753</v>
      </c>
      <c r="C2">
        <v>128.80199999999999</v>
      </c>
      <c r="D2">
        <v>82.938999999999993</v>
      </c>
    </row>
    <row r="3" spans="1:4" x14ac:dyDescent="0.4">
      <c r="A3">
        <v>100.309</v>
      </c>
      <c r="B3">
        <v>98.667000000000002</v>
      </c>
      <c r="C3">
        <v>80.421000000000006</v>
      </c>
      <c r="D3">
        <v>176.49799999999999</v>
      </c>
    </row>
    <row r="4" spans="1:4" x14ac:dyDescent="0.4">
      <c r="A4">
        <v>551.13499999999999</v>
      </c>
      <c r="B4">
        <v>464.16500000000002</v>
      </c>
      <c r="C4">
        <v>525.50099999999998</v>
      </c>
      <c r="D4">
        <v>577.67600000000004</v>
      </c>
    </row>
    <row r="5" spans="1:4" x14ac:dyDescent="0.4">
      <c r="A5">
        <v>71.613</v>
      </c>
      <c r="B5">
        <v>36.423000000000002</v>
      </c>
      <c r="C5">
        <v>27.530999999999999</v>
      </c>
      <c r="D5">
        <v>26.783999999999999</v>
      </c>
    </row>
    <row r="6" spans="1:4" x14ac:dyDescent="0.4">
      <c r="A6">
        <v>89.24</v>
      </c>
      <c r="B6">
        <v>79.738</v>
      </c>
      <c r="C6">
        <v>110.13</v>
      </c>
      <c r="D6">
        <v>110.13</v>
      </c>
    </row>
    <row r="7" spans="1:4" x14ac:dyDescent="0.4">
      <c r="A7">
        <v>36.92</v>
      </c>
      <c r="B7">
        <v>53.64</v>
      </c>
      <c r="C7">
        <v>53.64</v>
      </c>
      <c r="D7">
        <v>53.64</v>
      </c>
    </row>
    <row r="8" spans="1:4" x14ac:dyDescent="0.4">
      <c r="A8">
        <v>58.08</v>
      </c>
      <c r="B8">
        <v>84.36</v>
      </c>
      <c r="C8">
        <v>84.36</v>
      </c>
      <c r="D8">
        <v>84.36</v>
      </c>
    </row>
    <row r="9" spans="1:4" x14ac:dyDescent="0.4">
      <c r="A9">
        <v>265.31358231668298</v>
      </c>
      <c r="B9">
        <v>298.12579429597298</v>
      </c>
      <c r="C9">
        <v>214.02563460981</v>
      </c>
      <c r="D9">
        <v>583.71476371508106</v>
      </c>
    </row>
    <row r="10" spans="1:4" x14ac:dyDescent="0.4">
      <c r="A10">
        <v>249</v>
      </c>
      <c r="B10">
        <v>284</v>
      </c>
      <c r="C10">
        <v>461</v>
      </c>
      <c r="D10">
        <v>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5199-39AD-4CC8-B278-39B80ABCA4C9}">
  <dimension ref="A1:D10"/>
  <sheetViews>
    <sheetView workbookViewId="0">
      <selection activeCell="B13" sqref="B13"/>
    </sheetView>
  </sheetViews>
  <sheetFormatPr defaultRowHeight="14.6" x14ac:dyDescent="0.4"/>
  <sheetData>
    <row r="1" spans="1:4" x14ac:dyDescent="0.4">
      <c r="A1">
        <v>2021</v>
      </c>
      <c r="B1">
        <v>2022</v>
      </c>
      <c r="C1">
        <v>2023</v>
      </c>
      <c r="D1">
        <v>2024</v>
      </c>
    </row>
    <row r="2" spans="1:4" x14ac:dyDescent="0.4">
      <c r="A2">
        <v>118.18600000000001</v>
      </c>
      <c r="B2">
        <v>74.753</v>
      </c>
      <c r="C2">
        <v>128.80199999999999</v>
      </c>
      <c r="D2">
        <v>82.938999999999993</v>
      </c>
    </row>
    <row r="3" spans="1:4" x14ac:dyDescent="0.4">
      <c r="A3">
        <v>100.309</v>
      </c>
      <c r="B3">
        <v>98.667000000000002</v>
      </c>
      <c r="C3">
        <v>80.421000000000006</v>
      </c>
      <c r="D3">
        <v>176.49799999999999</v>
      </c>
    </row>
    <row r="4" spans="1:4" x14ac:dyDescent="0.4">
      <c r="A4">
        <v>551.13499999999999</v>
      </c>
      <c r="B4">
        <v>464.16500000000002</v>
      </c>
      <c r="C4">
        <v>525.50099999999998</v>
      </c>
      <c r="D4">
        <v>577.67600000000004</v>
      </c>
    </row>
    <row r="5" spans="1:4" x14ac:dyDescent="0.4">
      <c r="A5">
        <v>71.613</v>
      </c>
      <c r="B5">
        <v>36.423000000000002</v>
      </c>
      <c r="C5">
        <v>27.530999999999999</v>
      </c>
      <c r="D5">
        <v>26.783999999999999</v>
      </c>
    </row>
    <row r="6" spans="1:4" x14ac:dyDescent="0.4">
      <c r="A6">
        <v>89.24</v>
      </c>
      <c r="B6">
        <v>79.738</v>
      </c>
      <c r="C6">
        <v>110.13</v>
      </c>
      <c r="D6">
        <v>110.13</v>
      </c>
    </row>
    <row r="7" spans="1:4" x14ac:dyDescent="0.4">
      <c r="A7">
        <v>36.92</v>
      </c>
      <c r="B7">
        <v>53.64</v>
      </c>
      <c r="C7">
        <v>53.64</v>
      </c>
      <c r="D7">
        <v>53.64</v>
      </c>
    </row>
    <row r="8" spans="1:4" x14ac:dyDescent="0.4">
      <c r="A8">
        <v>58.08</v>
      </c>
      <c r="B8">
        <v>84.36</v>
      </c>
      <c r="C8">
        <v>84.36</v>
      </c>
      <c r="D8">
        <v>84.36</v>
      </c>
    </row>
    <row r="9" spans="1:4" x14ac:dyDescent="0.4">
      <c r="A9">
        <v>256.49400000000003</v>
      </c>
      <c r="B9">
        <v>288.541</v>
      </c>
      <c r="C9">
        <v>207.28299999999999</v>
      </c>
      <c r="D9">
        <v>565.12400000000002</v>
      </c>
    </row>
    <row r="10" spans="1:4" x14ac:dyDescent="0.4">
      <c r="A10">
        <v>249</v>
      </c>
      <c r="B10">
        <v>284</v>
      </c>
      <c r="C10">
        <v>461</v>
      </c>
      <c r="D10">
        <v>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31F53-AAAA-4311-8991-6F315BEA1C2A}">
  <dimension ref="A1:D10"/>
  <sheetViews>
    <sheetView workbookViewId="0">
      <selection activeCell="F7" sqref="F7"/>
    </sheetView>
  </sheetViews>
  <sheetFormatPr defaultRowHeight="14.6" x14ac:dyDescent="0.4"/>
  <sheetData>
    <row r="1" spans="1:4" x14ac:dyDescent="0.4">
      <c r="A1">
        <v>2021</v>
      </c>
      <c r="B1">
        <v>2022</v>
      </c>
      <c r="C1">
        <v>2023</v>
      </c>
      <c r="D1">
        <v>2024</v>
      </c>
    </row>
    <row r="2" spans="1:4" x14ac:dyDescent="0.4">
      <c r="A2">
        <v>118.18600000000001</v>
      </c>
      <c r="B2">
        <v>74.753</v>
      </c>
      <c r="C2">
        <v>128.80199999999999</v>
      </c>
      <c r="D2">
        <v>82.938999999999993</v>
      </c>
    </row>
    <row r="3" spans="1:4" x14ac:dyDescent="0.4">
      <c r="A3">
        <v>100.309</v>
      </c>
      <c r="B3">
        <v>98.667000000000002</v>
      </c>
      <c r="C3">
        <v>80.421000000000006</v>
      </c>
      <c r="D3">
        <v>176.49799999999999</v>
      </c>
    </row>
    <row r="4" spans="1:4" x14ac:dyDescent="0.4">
      <c r="A4">
        <v>551.13499999999999</v>
      </c>
      <c r="B4">
        <v>464.16500000000002</v>
      </c>
      <c r="C4">
        <v>525.50099999999998</v>
      </c>
      <c r="D4">
        <v>577.67599999999993</v>
      </c>
    </row>
    <row r="5" spans="1:4" x14ac:dyDescent="0.4">
      <c r="A5">
        <v>71.613</v>
      </c>
      <c r="B5">
        <v>36.423000000000002</v>
      </c>
      <c r="C5">
        <v>27.530999999999999</v>
      </c>
      <c r="D5">
        <v>26.783999999999999</v>
      </c>
    </row>
    <row r="6" spans="1:4" x14ac:dyDescent="0.4">
      <c r="A6">
        <v>89.24</v>
      </c>
      <c r="B6">
        <v>79.738</v>
      </c>
      <c r="C6">
        <v>110.13000000000001</v>
      </c>
      <c r="D6">
        <v>110.13000000000001</v>
      </c>
    </row>
    <row r="7" spans="1:4" x14ac:dyDescent="0.4">
      <c r="A7">
        <v>36.92</v>
      </c>
      <c r="B7">
        <v>53.64</v>
      </c>
      <c r="C7">
        <v>53.64</v>
      </c>
      <c r="D7">
        <v>53.64</v>
      </c>
    </row>
    <row r="8" spans="1:4" x14ac:dyDescent="0.4">
      <c r="A8">
        <v>58.08</v>
      </c>
      <c r="B8">
        <v>84.36</v>
      </c>
      <c r="C8">
        <v>84.36</v>
      </c>
      <c r="D8">
        <v>84.36</v>
      </c>
    </row>
    <row r="9" spans="1:4" x14ac:dyDescent="0.4">
      <c r="A9">
        <v>207</v>
      </c>
      <c r="B9">
        <v>239</v>
      </c>
      <c r="C9">
        <v>175</v>
      </c>
      <c r="D9">
        <v>175</v>
      </c>
    </row>
    <row r="10" spans="1:4" x14ac:dyDescent="0.4">
      <c r="A10">
        <v>249</v>
      </c>
      <c r="B10">
        <v>284</v>
      </c>
      <c r="C10">
        <v>461</v>
      </c>
      <c r="D10">
        <v>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1B2E-618B-4661-9D8F-8574BA7FDA85}">
  <dimension ref="A1:AA94"/>
  <sheetViews>
    <sheetView tabSelected="1" workbookViewId="0">
      <selection activeCell="E10" sqref="E10"/>
    </sheetView>
  </sheetViews>
  <sheetFormatPr defaultRowHeight="14.6" x14ac:dyDescent="0.4"/>
  <cols>
    <col min="1" max="1" width="16.23046875" customWidth="1"/>
    <col min="2" max="4" width="11.4609375" customWidth="1"/>
    <col min="5" max="5" width="12.921875" customWidth="1"/>
    <col min="6" max="6" width="18.15234375" customWidth="1"/>
    <col min="7" max="7" width="4.69140625" customWidth="1"/>
    <col min="8" max="8" width="7" customWidth="1"/>
    <col min="9" max="9" width="10.69140625" customWidth="1"/>
    <col min="10" max="10" width="9.4609375" customWidth="1"/>
    <col min="11" max="11" width="11.3046875" customWidth="1"/>
    <col min="12" max="12" width="10.61328125" bestFit="1" customWidth="1"/>
    <col min="13" max="13" width="6.84375" bestFit="1" customWidth="1"/>
    <col min="14" max="14" width="12.07421875" customWidth="1"/>
    <col min="15" max="15" width="6.84375" customWidth="1"/>
    <col min="17" max="17" width="6.07421875" customWidth="1"/>
    <col min="18" max="18" width="10.4609375" customWidth="1"/>
    <col min="20" max="20" width="3.3828125" customWidth="1"/>
    <col min="21" max="21" width="7.61328125" customWidth="1"/>
    <col min="26" max="26" width="4.3828125" customWidth="1"/>
    <col min="27" max="27" width="7.53515625" customWidth="1"/>
  </cols>
  <sheetData>
    <row r="1" spans="1:8" ht="18.45" x14ac:dyDescent="0.5">
      <c r="A1" s="68" t="s">
        <v>37</v>
      </c>
    </row>
    <row r="2" spans="1:8" ht="20.6" x14ac:dyDescent="0.55000000000000004">
      <c r="A2" s="1"/>
    </row>
    <row r="3" spans="1:8" ht="15" thickBot="1" x14ac:dyDescent="0.45"/>
    <row r="4" spans="1:8" ht="29.6" thickBot="1" x14ac:dyDescent="0.45">
      <c r="A4" s="35" t="s">
        <v>3</v>
      </c>
      <c r="B4" s="41" t="s">
        <v>38</v>
      </c>
      <c r="C4" s="75" t="s">
        <v>39</v>
      </c>
      <c r="D4" s="76" t="s">
        <v>40</v>
      </c>
      <c r="E4" s="77"/>
      <c r="H4" s="36" t="s">
        <v>26</v>
      </c>
    </row>
    <row r="5" spans="1:8" x14ac:dyDescent="0.4">
      <c r="A5" s="50">
        <v>2021</v>
      </c>
      <c r="B5" s="78" cm="1">
        <f t="array" ref="B5:B8">TRANSPOSE(B34:E34)</f>
        <v>1539.7965823166828</v>
      </c>
      <c r="C5" s="29">
        <v>2970</v>
      </c>
      <c r="D5" s="46">
        <f>(B5-C5)/C5</f>
        <v>-0.48154997228394519</v>
      </c>
      <c r="E5" s="55"/>
      <c r="H5" s="32">
        <v>480</v>
      </c>
    </row>
    <row r="6" spans="1:8" x14ac:dyDescent="0.4">
      <c r="A6" s="50">
        <v>2022</v>
      </c>
      <c r="B6" s="78">
        <v>1473.8717942959731</v>
      </c>
      <c r="C6" s="29">
        <v>3420</v>
      </c>
      <c r="D6" s="46">
        <f>(B6-C6)/C6</f>
        <v>-0.56904333500117743</v>
      </c>
      <c r="E6" s="55"/>
      <c r="H6" s="32">
        <v>570</v>
      </c>
    </row>
    <row r="7" spans="1:8" x14ac:dyDescent="0.4">
      <c r="A7" s="50">
        <v>2023</v>
      </c>
      <c r="B7" s="78">
        <v>1685.4106346098099</v>
      </c>
      <c r="C7" s="29">
        <v>3380</v>
      </c>
      <c r="D7" s="46">
        <f>(B7-C7)/C7</f>
        <v>-0.50135780041129885</v>
      </c>
      <c r="E7" s="55"/>
      <c r="H7" s="32">
        <v>670</v>
      </c>
    </row>
    <row r="8" spans="1:8" ht="15" thickBot="1" x14ac:dyDescent="0.45">
      <c r="A8" s="51">
        <v>2024</v>
      </c>
      <c r="B8" s="79">
        <v>2156.7417637150811</v>
      </c>
      <c r="C8" s="38">
        <v>3080</v>
      </c>
      <c r="D8" s="48">
        <f>(B8-C8)/C8</f>
        <v>-0.29975916762497368</v>
      </c>
      <c r="E8" s="55"/>
      <c r="H8" s="33">
        <v>700</v>
      </c>
    </row>
    <row r="9" spans="1:8" ht="15" thickBot="1" x14ac:dyDescent="0.45">
      <c r="A9" s="36" t="s">
        <v>19</v>
      </c>
      <c r="B9" s="52">
        <f>SUM(_xlfn.ANCHORARRAY(B5))</f>
        <v>6855.820774937547</v>
      </c>
      <c r="C9" s="53">
        <f>SUM(C5:C8)</f>
        <v>12850</v>
      </c>
      <c r="D9" s="54">
        <f>(B9-C9)/C9</f>
        <v>-0.46647309144454885</v>
      </c>
    </row>
    <row r="10" spans="1:8" ht="33.450000000000003" thickBot="1" x14ac:dyDescent="0.45">
      <c r="A10" s="80" t="s">
        <v>41</v>
      </c>
      <c r="B10" s="81" t="s">
        <v>35</v>
      </c>
      <c r="C10" s="81" t="s">
        <v>36</v>
      </c>
      <c r="D10" s="82"/>
      <c r="E10" s="61"/>
    </row>
    <row r="11" spans="1:8" x14ac:dyDescent="0.4">
      <c r="A11" s="29"/>
      <c r="B11" s="45"/>
      <c r="C11" s="45"/>
      <c r="D11" s="45"/>
      <c r="E11" s="61"/>
    </row>
    <row r="12" spans="1:8" ht="15" thickBot="1" x14ac:dyDescent="0.45"/>
    <row r="13" spans="1:8" ht="15" thickBot="1" x14ac:dyDescent="0.45">
      <c r="A13" s="36" t="s">
        <v>3</v>
      </c>
      <c r="B13" s="63" t="s">
        <v>28</v>
      </c>
      <c r="C13" s="63" t="s">
        <v>32</v>
      </c>
      <c r="D13" s="63" t="s">
        <v>24</v>
      </c>
      <c r="E13" s="49" t="s">
        <v>25</v>
      </c>
      <c r="G13" s="36" t="s">
        <v>29</v>
      </c>
    </row>
    <row r="14" spans="1:8" x14ac:dyDescent="0.4">
      <c r="A14" s="57">
        <v>2021</v>
      </c>
      <c r="B14" s="58">
        <v>0.52700000000000002</v>
      </c>
      <c r="C14" s="58">
        <f>1.28*G14</f>
        <v>0.1216</v>
      </c>
      <c r="D14" s="66">
        <v>0.68</v>
      </c>
      <c r="E14" s="59">
        <f>(B14-D14)/D14</f>
        <v>-0.22500000000000003</v>
      </c>
      <c r="G14" s="32">
        <v>9.5000000000000001E-2</v>
      </c>
    </row>
    <row r="15" spans="1:8" x14ac:dyDescent="0.4">
      <c r="A15" s="50">
        <v>2022</v>
      </c>
      <c r="B15" s="55">
        <v>0.373</v>
      </c>
      <c r="C15" s="55">
        <f t="shared" ref="C15:C17" si="0">1.28*G15</f>
        <v>9.6000000000000002E-2</v>
      </c>
      <c r="D15" s="29">
        <v>0.68</v>
      </c>
      <c r="E15" s="46">
        <f t="shared" ref="E15:E17" si="1">(B15-D15)/D15</f>
        <v>-0.45147058823529418</v>
      </c>
      <c r="G15" s="32">
        <v>7.4999999999999997E-2</v>
      </c>
    </row>
    <row r="16" spans="1:8" x14ac:dyDescent="0.4">
      <c r="A16" s="50">
        <v>2023</v>
      </c>
      <c r="B16" s="55">
        <v>0.38100000000000001</v>
      </c>
      <c r="C16" s="55">
        <f t="shared" si="0"/>
        <v>0.11648</v>
      </c>
      <c r="D16" s="29">
        <v>0.68</v>
      </c>
      <c r="E16" s="46">
        <f t="shared" si="1"/>
        <v>-0.43970588235294122</v>
      </c>
      <c r="G16" s="32">
        <v>9.0999999999999998E-2</v>
      </c>
    </row>
    <row r="17" spans="1:7" ht="15" thickBot="1" x14ac:dyDescent="0.45">
      <c r="A17" s="51">
        <v>2024</v>
      </c>
      <c r="B17" s="56">
        <v>0.42399999999999999</v>
      </c>
      <c r="C17" s="56">
        <f t="shared" si="0"/>
        <v>0.15359999999999999</v>
      </c>
      <c r="D17" s="38">
        <v>0.68</v>
      </c>
      <c r="E17" s="48">
        <f t="shared" si="1"/>
        <v>-0.37647058823529417</v>
      </c>
      <c r="G17" s="33">
        <v>0.12</v>
      </c>
    </row>
    <row r="18" spans="1:7" x14ac:dyDescent="0.4">
      <c r="B18" s="55"/>
      <c r="C18" s="55"/>
      <c r="D18" s="29"/>
      <c r="E18" s="61"/>
      <c r="G18" s="29"/>
    </row>
    <row r="19" spans="1:7" x14ac:dyDescent="0.4">
      <c r="B19" s="55"/>
      <c r="C19" s="55"/>
      <c r="D19" s="29"/>
      <c r="E19" s="61"/>
      <c r="G19" s="29"/>
    </row>
    <row r="20" spans="1:7" x14ac:dyDescent="0.4">
      <c r="B20" s="55"/>
      <c r="C20" s="55"/>
      <c r="D20" s="29"/>
      <c r="E20" s="61"/>
      <c r="G20" s="29"/>
    </row>
    <row r="21" spans="1:7" ht="20.6" x14ac:dyDescent="0.55000000000000004">
      <c r="A21" s="1" t="s">
        <v>34</v>
      </c>
    </row>
    <row r="22" spans="1:7" ht="15" thickBot="1" x14ac:dyDescent="0.45">
      <c r="A22" t="s">
        <v>17</v>
      </c>
    </row>
    <row r="23" spans="1:7" ht="15" thickBot="1" x14ac:dyDescent="0.45">
      <c r="A23" s="4"/>
      <c r="B23" s="69" t="s">
        <v>3</v>
      </c>
      <c r="C23" s="70"/>
      <c r="D23" s="70"/>
      <c r="E23" s="71"/>
      <c r="F23" s="5"/>
    </row>
    <row r="24" spans="1:7" ht="15" thickBot="1" x14ac:dyDescent="0.45">
      <c r="A24" s="6" t="s">
        <v>4</v>
      </c>
      <c r="B24" s="62">
        <v>2021</v>
      </c>
      <c r="C24" s="63">
        <v>2022</v>
      </c>
      <c r="D24" s="63">
        <v>2023</v>
      </c>
      <c r="E24" s="64">
        <v>2024</v>
      </c>
      <c r="F24" s="67" t="s">
        <v>18</v>
      </c>
    </row>
    <row r="25" spans="1:7" x14ac:dyDescent="0.4">
      <c r="A25" s="65" t="s">
        <v>5</v>
      </c>
      <c r="B25" s="12">
        <v>118.18600000000001</v>
      </c>
      <c r="C25" s="13">
        <v>74.753</v>
      </c>
      <c r="D25" s="13">
        <v>128.80199999999999</v>
      </c>
      <c r="E25" s="13">
        <v>82.938999999999993</v>
      </c>
      <c r="F25" s="14">
        <f>AVERAGE(B25:E25)</f>
        <v>101.16999999999999</v>
      </c>
    </row>
    <row r="26" spans="1:7" x14ac:dyDescent="0.4">
      <c r="A26" s="26" t="s">
        <v>6</v>
      </c>
      <c r="B26" s="15">
        <v>100.309</v>
      </c>
      <c r="C26" s="16">
        <v>98.667000000000002</v>
      </c>
      <c r="D26" s="16">
        <v>80.421000000000006</v>
      </c>
      <c r="E26" s="16">
        <v>176.49799999999999</v>
      </c>
      <c r="F26" s="17">
        <f t="shared" ref="F26:F33" si="2">AVERAGE(B26:E26)</f>
        <v>113.97375</v>
      </c>
    </row>
    <row r="27" spans="1:7" x14ac:dyDescent="0.4">
      <c r="A27" s="26" t="s">
        <v>0</v>
      </c>
      <c r="B27" s="15">
        <v>551.13499999999999</v>
      </c>
      <c r="C27" s="16">
        <v>464.16500000000002</v>
      </c>
      <c r="D27" s="16">
        <v>525.50099999999998</v>
      </c>
      <c r="E27" s="16">
        <v>577.67599999999993</v>
      </c>
      <c r="F27" s="17">
        <f t="shared" si="2"/>
        <v>529.61924999999997</v>
      </c>
    </row>
    <row r="28" spans="1:7" x14ac:dyDescent="0.4">
      <c r="A28" s="26" t="s">
        <v>7</v>
      </c>
      <c r="B28" s="15">
        <v>71.613</v>
      </c>
      <c r="C28" s="16">
        <v>36.423000000000002</v>
      </c>
      <c r="D28" s="16">
        <v>27.530999999999999</v>
      </c>
      <c r="E28" s="16">
        <v>26.783999999999999</v>
      </c>
      <c r="F28" s="17">
        <f t="shared" si="2"/>
        <v>40.58775</v>
      </c>
    </row>
    <row r="29" spans="1:7" x14ac:dyDescent="0.4">
      <c r="A29" s="26" t="s">
        <v>8</v>
      </c>
      <c r="B29" s="15">
        <v>89.24</v>
      </c>
      <c r="C29" s="16">
        <v>79.738</v>
      </c>
      <c r="D29" s="16">
        <v>110.13000000000001</v>
      </c>
      <c r="E29" s="16">
        <v>110.13000000000001</v>
      </c>
      <c r="F29" s="17">
        <f t="shared" si="2"/>
        <v>97.3095</v>
      </c>
    </row>
    <row r="30" spans="1:7" x14ac:dyDescent="0.4">
      <c r="A30" s="26" t="s">
        <v>9</v>
      </c>
      <c r="B30" s="15">
        <v>36.92</v>
      </c>
      <c r="C30" s="16">
        <v>53.64</v>
      </c>
      <c r="D30" s="16">
        <v>53.64</v>
      </c>
      <c r="E30" s="16">
        <v>53.64</v>
      </c>
      <c r="F30" s="17">
        <f t="shared" si="2"/>
        <v>49.459999999999994</v>
      </c>
    </row>
    <row r="31" spans="1:7" x14ac:dyDescent="0.4">
      <c r="A31" s="26" t="s">
        <v>10</v>
      </c>
      <c r="B31" s="15">
        <v>58.08</v>
      </c>
      <c r="C31" s="16">
        <v>84.36</v>
      </c>
      <c r="D31" s="16">
        <v>84.36</v>
      </c>
      <c r="E31" s="16">
        <v>84.36</v>
      </c>
      <c r="F31" s="17">
        <f t="shared" si="2"/>
        <v>77.790000000000006</v>
      </c>
    </row>
    <row r="32" spans="1:7" x14ac:dyDescent="0.4">
      <c r="A32" s="26" t="s">
        <v>1</v>
      </c>
      <c r="B32" s="15">
        <v>265.31358231668298</v>
      </c>
      <c r="C32" s="16">
        <v>298.12579429597298</v>
      </c>
      <c r="D32" s="16">
        <v>214.02563460981</v>
      </c>
      <c r="E32" s="16">
        <v>583.71476371508106</v>
      </c>
      <c r="F32" s="17">
        <f t="shared" si="2"/>
        <v>340.29494373438672</v>
      </c>
    </row>
    <row r="33" spans="1:27" ht="15" thickBot="1" x14ac:dyDescent="0.45">
      <c r="A33" s="11" t="s">
        <v>2</v>
      </c>
      <c r="B33" s="18">
        <v>249</v>
      </c>
      <c r="C33" s="19">
        <v>284</v>
      </c>
      <c r="D33" s="19">
        <v>461</v>
      </c>
      <c r="E33" s="19">
        <v>461</v>
      </c>
      <c r="F33" s="20">
        <f t="shared" si="2"/>
        <v>363.75</v>
      </c>
    </row>
    <row r="34" spans="1:27" ht="15" thickBot="1" x14ac:dyDescent="0.45">
      <c r="A34" s="11" t="s">
        <v>19</v>
      </c>
      <c r="B34" s="21">
        <f>SUM(B25:B33)</f>
        <v>1539.7965823166828</v>
      </c>
      <c r="C34" s="22">
        <f t="shared" ref="C34:F34" si="3">SUM(C25:C33)</f>
        <v>1473.8717942959731</v>
      </c>
      <c r="D34" s="22">
        <f t="shared" si="3"/>
        <v>1685.4106346098099</v>
      </c>
      <c r="E34" s="23">
        <f t="shared" si="3"/>
        <v>2156.7417637150811</v>
      </c>
      <c r="F34" s="20">
        <f t="shared" si="3"/>
        <v>1713.9551937343867</v>
      </c>
    </row>
    <row r="37" spans="1:27" ht="20.6" x14ac:dyDescent="0.55000000000000004">
      <c r="A37" s="1" t="s">
        <v>13</v>
      </c>
    </row>
    <row r="38" spans="1:27" ht="15" thickBot="1" x14ac:dyDescent="0.45">
      <c r="A38" t="s">
        <v>15</v>
      </c>
    </row>
    <row r="39" spans="1:27" ht="15" thickBot="1" x14ac:dyDescent="0.45">
      <c r="A39" s="31"/>
      <c r="B39" s="70" t="s">
        <v>3</v>
      </c>
      <c r="C39" s="70"/>
      <c r="D39" s="70"/>
      <c r="E39" s="70"/>
      <c r="F39" s="31"/>
    </row>
    <row r="40" spans="1:27" ht="15" thickBot="1" x14ac:dyDescent="0.45">
      <c r="A40" s="35" t="s">
        <v>4</v>
      </c>
      <c r="B40" s="63">
        <v>2021</v>
      </c>
      <c r="C40" s="63">
        <v>2022</v>
      </c>
      <c r="D40" s="63">
        <v>2023</v>
      </c>
      <c r="E40" s="63">
        <v>2024</v>
      </c>
      <c r="F40" s="36" t="s">
        <v>18</v>
      </c>
    </row>
    <row r="41" spans="1:27" x14ac:dyDescent="0.4">
      <c r="A41" s="32" t="s">
        <v>5</v>
      </c>
      <c r="B41" s="16">
        <v>118.18600000000001</v>
      </c>
      <c r="C41" s="16">
        <v>74.753</v>
      </c>
      <c r="D41" s="16">
        <v>128.80199999999999</v>
      </c>
      <c r="E41" s="16">
        <v>82.938999999999993</v>
      </c>
      <c r="F41" s="17">
        <f>AVERAGE(B41:E41)</f>
        <v>101.16999999999999</v>
      </c>
      <c r="H41" s="2"/>
      <c r="O41" s="2"/>
      <c r="U41" s="2"/>
      <c r="AA41" s="2"/>
    </row>
    <row r="42" spans="1:27" x14ac:dyDescent="0.4">
      <c r="A42" s="32" t="s">
        <v>6</v>
      </c>
      <c r="B42" s="16">
        <v>100.309</v>
      </c>
      <c r="C42" s="16">
        <v>98.667000000000002</v>
      </c>
      <c r="D42" s="16">
        <v>80.421000000000006</v>
      </c>
      <c r="E42" s="16">
        <v>176.49799999999999</v>
      </c>
      <c r="F42" s="17">
        <f t="shared" ref="F42:F49" si="4">AVERAGE(B42:E42)</f>
        <v>113.97375</v>
      </c>
    </row>
    <row r="43" spans="1:27" x14ac:dyDescent="0.4">
      <c r="A43" s="32" t="s">
        <v>0</v>
      </c>
      <c r="B43" s="16">
        <v>551.13499999999999</v>
      </c>
      <c r="C43" s="16">
        <v>464.16500000000002</v>
      </c>
      <c r="D43" s="16">
        <v>525.50099999999998</v>
      </c>
      <c r="E43" s="16">
        <v>577.67599999999993</v>
      </c>
      <c r="F43" s="17">
        <f t="shared" si="4"/>
        <v>529.61924999999997</v>
      </c>
    </row>
    <row r="44" spans="1:27" x14ac:dyDescent="0.4">
      <c r="A44" s="32" t="s">
        <v>7</v>
      </c>
      <c r="B44" s="16">
        <v>71.613</v>
      </c>
      <c r="C44" s="16">
        <v>36.423000000000002</v>
      </c>
      <c r="D44" s="16">
        <v>27.530999999999999</v>
      </c>
      <c r="E44" s="16">
        <v>26.783999999999999</v>
      </c>
      <c r="F44" s="17">
        <f t="shared" si="4"/>
        <v>40.58775</v>
      </c>
    </row>
    <row r="45" spans="1:27" x14ac:dyDescent="0.4">
      <c r="A45" s="32" t="s">
        <v>8</v>
      </c>
      <c r="B45" s="16">
        <v>89.24</v>
      </c>
      <c r="C45" s="16">
        <v>79.738</v>
      </c>
      <c r="D45" s="16">
        <v>110.13000000000001</v>
      </c>
      <c r="E45" s="16">
        <v>110.13000000000001</v>
      </c>
      <c r="F45" s="17">
        <f t="shared" si="4"/>
        <v>97.3095</v>
      </c>
    </row>
    <row r="46" spans="1:27" x14ac:dyDescent="0.4">
      <c r="A46" s="32" t="s">
        <v>9</v>
      </c>
      <c r="B46" s="16">
        <v>36.92</v>
      </c>
      <c r="C46" s="16">
        <v>53.64</v>
      </c>
      <c r="D46" s="16">
        <v>53.64</v>
      </c>
      <c r="E46" s="16">
        <v>53.64</v>
      </c>
      <c r="F46" s="17">
        <f t="shared" si="4"/>
        <v>49.459999999999994</v>
      </c>
    </row>
    <row r="47" spans="1:27" x14ac:dyDescent="0.4">
      <c r="A47" s="32" t="s">
        <v>10</v>
      </c>
      <c r="B47" s="16">
        <v>58.08</v>
      </c>
      <c r="C47" s="16">
        <v>84.36</v>
      </c>
      <c r="D47" s="16">
        <v>84.36</v>
      </c>
      <c r="E47" s="16">
        <v>84.36</v>
      </c>
      <c r="F47" s="17">
        <f t="shared" si="4"/>
        <v>77.790000000000006</v>
      </c>
    </row>
    <row r="48" spans="1:27" x14ac:dyDescent="0.4">
      <c r="A48" s="32" t="s">
        <v>1</v>
      </c>
      <c r="B48" s="16">
        <v>256.49358231668299</v>
      </c>
      <c r="C48" s="16">
        <v>288.540794295973</v>
      </c>
      <c r="D48" s="16">
        <v>207.28263460981</v>
      </c>
      <c r="E48" s="16">
        <v>565.12376371508105</v>
      </c>
      <c r="F48" s="17">
        <f t="shared" si="4"/>
        <v>329.36019373438671</v>
      </c>
      <c r="G48" t="s">
        <v>16</v>
      </c>
    </row>
    <row r="49" spans="1:6" ht="15" thickBot="1" x14ac:dyDescent="0.45">
      <c r="A49" s="33" t="s">
        <v>2</v>
      </c>
      <c r="B49" s="19">
        <v>249</v>
      </c>
      <c r="C49" s="19">
        <v>284</v>
      </c>
      <c r="D49" s="19">
        <v>461</v>
      </c>
      <c r="E49" s="19">
        <v>461</v>
      </c>
      <c r="F49" s="17">
        <f t="shared" si="4"/>
        <v>363.75</v>
      </c>
    </row>
    <row r="50" spans="1:6" ht="15" thickBot="1" x14ac:dyDescent="0.45">
      <c r="A50" s="33" t="s">
        <v>19</v>
      </c>
      <c r="B50" s="19">
        <f>SUM(B41:B49)</f>
        <v>1530.9765823166829</v>
      </c>
      <c r="C50" s="19">
        <f t="shared" ref="C50:F50" si="5">SUM(C41:C49)</f>
        <v>1464.2867942959731</v>
      </c>
      <c r="D50" s="19">
        <f t="shared" si="5"/>
        <v>1678.66763460981</v>
      </c>
      <c r="E50" s="19">
        <f t="shared" si="5"/>
        <v>2138.1507637150808</v>
      </c>
      <c r="F50" s="37">
        <f t="shared" si="5"/>
        <v>1703.0204437343866</v>
      </c>
    </row>
    <row r="54" spans="1:6" ht="20.6" x14ac:dyDescent="0.55000000000000004">
      <c r="A54" s="1" t="s">
        <v>13</v>
      </c>
    </row>
    <row r="55" spans="1:6" ht="15" thickBot="1" x14ac:dyDescent="0.45">
      <c r="A55" t="s">
        <v>14</v>
      </c>
    </row>
    <row r="56" spans="1:6" ht="15" thickBot="1" x14ac:dyDescent="0.45">
      <c r="A56" s="31"/>
      <c r="B56" s="70" t="s">
        <v>3</v>
      </c>
      <c r="C56" s="70"/>
      <c r="D56" s="70"/>
      <c r="E56" s="70"/>
      <c r="F56" s="31"/>
    </row>
    <row r="57" spans="1:6" ht="15" thickBot="1" x14ac:dyDescent="0.45">
      <c r="A57" s="35" t="s">
        <v>4</v>
      </c>
      <c r="B57" s="63">
        <v>2021</v>
      </c>
      <c r="C57" s="63">
        <v>2022</v>
      </c>
      <c r="D57" s="63">
        <v>2023</v>
      </c>
      <c r="E57" s="63">
        <v>2024</v>
      </c>
      <c r="F57" s="36" t="s">
        <v>18</v>
      </c>
    </row>
    <row r="58" spans="1:6" x14ac:dyDescent="0.4">
      <c r="A58" s="32" t="s">
        <v>5</v>
      </c>
      <c r="B58" s="16">
        <f>B87</f>
        <v>118.18600000000001</v>
      </c>
      <c r="C58" s="16">
        <f t="shared" ref="C58:E59" si="6">C87</f>
        <v>74.753</v>
      </c>
      <c r="D58" s="16">
        <f t="shared" si="6"/>
        <v>128.80199999999999</v>
      </c>
      <c r="E58" s="16">
        <f t="shared" si="6"/>
        <v>82.938999999999993</v>
      </c>
      <c r="F58" s="17">
        <f>AVERAGE(B58:E58)</f>
        <v>101.16999999999999</v>
      </c>
    </row>
    <row r="59" spans="1:6" x14ac:dyDescent="0.4">
      <c r="A59" s="32" t="s">
        <v>6</v>
      </c>
      <c r="B59" s="16">
        <f>B88</f>
        <v>100.309</v>
      </c>
      <c r="C59" s="16">
        <f t="shared" si="6"/>
        <v>98.667000000000002</v>
      </c>
      <c r="D59" s="16">
        <f t="shared" si="6"/>
        <v>80.421000000000006</v>
      </c>
      <c r="E59" s="16">
        <f t="shared" si="6"/>
        <v>176.49799999999999</v>
      </c>
      <c r="F59" s="17">
        <f t="shared" ref="F59:F66" si="7">AVERAGE(B59:E59)</f>
        <v>113.97375</v>
      </c>
    </row>
    <row r="60" spans="1:6" x14ac:dyDescent="0.4">
      <c r="A60" s="32" t="s">
        <v>0</v>
      </c>
      <c r="B60" s="16">
        <f>B76+B89</f>
        <v>551.13499999999999</v>
      </c>
      <c r="C60" s="16">
        <f t="shared" ref="C60:E60" si="8">C76+C89</f>
        <v>464.16500000000002</v>
      </c>
      <c r="D60" s="16">
        <f t="shared" si="8"/>
        <v>525.50099999999998</v>
      </c>
      <c r="E60" s="16">
        <f t="shared" si="8"/>
        <v>577.67599999999993</v>
      </c>
      <c r="F60" s="17">
        <f t="shared" si="7"/>
        <v>529.61924999999997</v>
      </c>
    </row>
    <row r="61" spans="1:6" x14ac:dyDescent="0.4">
      <c r="A61" s="32" t="s">
        <v>7</v>
      </c>
      <c r="B61" s="16">
        <f>B90</f>
        <v>71.613</v>
      </c>
      <c r="C61" s="16">
        <f t="shared" ref="C61:E64" si="9">C90</f>
        <v>36.423000000000002</v>
      </c>
      <c r="D61" s="16">
        <f t="shared" si="9"/>
        <v>27.530999999999999</v>
      </c>
      <c r="E61" s="16">
        <f t="shared" si="9"/>
        <v>26.783999999999999</v>
      </c>
      <c r="F61" s="17">
        <f t="shared" si="7"/>
        <v>40.58775</v>
      </c>
    </row>
    <row r="62" spans="1:6" x14ac:dyDescent="0.4">
      <c r="A62" s="32" t="s">
        <v>8</v>
      </c>
      <c r="B62" s="16">
        <f>B91</f>
        <v>89.24</v>
      </c>
      <c r="C62" s="16">
        <f t="shared" si="9"/>
        <v>79.738</v>
      </c>
      <c r="D62" s="16">
        <f t="shared" si="9"/>
        <v>110.13000000000001</v>
      </c>
      <c r="E62" s="16">
        <f t="shared" si="9"/>
        <v>110.13000000000001</v>
      </c>
      <c r="F62" s="17">
        <f t="shared" si="7"/>
        <v>97.3095</v>
      </c>
    </row>
    <row r="63" spans="1:6" x14ac:dyDescent="0.4">
      <c r="A63" s="32" t="s">
        <v>9</v>
      </c>
      <c r="B63" s="16">
        <f>B92</f>
        <v>36.92</v>
      </c>
      <c r="C63" s="16">
        <f t="shared" si="9"/>
        <v>53.64</v>
      </c>
      <c r="D63" s="16">
        <f t="shared" si="9"/>
        <v>53.64</v>
      </c>
      <c r="E63" s="16">
        <f t="shared" si="9"/>
        <v>53.64</v>
      </c>
      <c r="F63" s="17">
        <f t="shared" si="7"/>
        <v>49.459999999999994</v>
      </c>
    </row>
    <row r="64" spans="1:6" x14ac:dyDescent="0.4">
      <c r="A64" s="32" t="s">
        <v>10</v>
      </c>
      <c r="B64" s="16">
        <f>B93</f>
        <v>58.08</v>
      </c>
      <c r="C64" s="16">
        <f t="shared" si="9"/>
        <v>84.36</v>
      </c>
      <c r="D64" s="16">
        <f t="shared" si="9"/>
        <v>84.36</v>
      </c>
      <c r="E64" s="16">
        <f t="shared" si="9"/>
        <v>84.36</v>
      </c>
      <c r="F64" s="17">
        <f t="shared" si="7"/>
        <v>77.790000000000006</v>
      </c>
    </row>
    <row r="65" spans="1:7" x14ac:dyDescent="0.4">
      <c r="A65" s="32" t="s">
        <v>1</v>
      </c>
      <c r="B65" s="16">
        <f>B77</f>
        <v>207</v>
      </c>
      <c r="C65" s="16">
        <f t="shared" ref="C65:E66" si="10">C77</f>
        <v>239</v>
      </c>
      <c r="D65" s="16">
        <f t="shared" si="10"/>
        <v>175</v>
      </c>
      <c r="E65" s="16">
        <f t="shared" si="10"/>
        <v>175</v>
      </c>
      <c r="F65" s="17">
        <f t="shared" si="7"/>
        <v>199</v>
      </c>
      <c r="G65" t="s">
        <v>20</v>
      </c>
    </row>
    <row r="66" spans="1:7" ht="15" thickBot="1" x14ac:dyDescent="0.45">
      <c r="A66" s="32" t="s">
        <v>2</v>
      </c>
      <c r="B66" s="16">
        <f>B78</f>
        <v>249</v>
      </c>
      <c r="C66" s="16">
        <f t="shared" si="10"/>
        <v>284</v>
      </c>
      <c r="D66" s="16">
        <f t="shared" si="10"/>
        <v>461</v>
      </c>
      <c r="E66" s="16">
        <f t="shared" si="10"/>
        <v>461</v>
      </c>
      <c r="F66" s="17">
        <f t="shared" si="7"/>
        <v>363.75</v>
      </c>
    </row>
    <row r="67" spans="1:7" ht="15" thickBot="1" x14ac:dyDescent="0.45">
      <c r="A67" s="36" t="s">
        <v>19</v>
      </c>
      <c r="B67" s="22">
        <f>SUM(B58:B66)</f>
        <v>1481.4829999999999</v>
      </c>
      <c r="C67" s="22">
        <f t="shared" ref="C67:F67" si="11">SUM(C58:C66)</f>
        <v>1414.7460000000001</v>
      </c>
      <c r="D67" s="22">
        <f t="shared" si="11"/>
        <v>1646.3849999999998</v>
      </c>
      <c r="E67" s="22">
        <f t="shared" si="11"/>
        <v>1748.0269999999998</v>
      </c>
      <c r="F67" s="37">
        <f t="shared" si="11"/>
        <v>1572.6602499999999</v>
      </c>
    </row>
    <row r="70" spans="1:7" x14ac:dyDescent="0.4">
      <c r="F70" s="3"/>
    </row>
    <row r="72" spans="1:7" ht="26.15" customHeight="1" x14ac:dyDescent="0.55000000000000004">
      <c r="A72" s="1" t="s">
        <v>11</v>
      </c>
    </row>
    <row r="73" spans="1:7" ht="15" customHeight="1" thickBot="1" x14ac:dyDescent="0.45">
      <c r="A73" s="42" t="s">
        <v>23</v>
      </c>
    </row>
    <row r="74" spans="1:7" ht="15" thickBot="1" x14ac:dyDescent="0.45">
      <c r="A74" s="65"/>
      <c r="B74" s="72" t="s">
        <v>3</v>
      </c>
      <c r="C74" s="73"/>
      <c r="D74" s="73"/>
      <c r="E74" s="74"/>
      <c r="F74" s="67"/>
    </row>
    <row r="75" spans="1:7" ht="15" thickBot="1" x14ac:dyDescent="0.45">
      <c r="A75" s="41" t="s">
        <v>4</v>
      </c>
      <c r="B75" s="62">
        <v>2021</v>
      </c>
      <c r="C75" s="63">
        <v>2022</v>
      </c>
      <c r="D75" s="63">
        <v>2023</v>
      </c>
      <c r="E75" s="64">
        <v>2024</v>
      </c>
      <c r="F75" s="64" t="s">
        <v>18</v>
      </c>
    </row>
    <row r="76" spans="1:7" x14ac:dyDescent="0.4">
      <c r="A76" s="65" t="s">
        <v>0</v>
      </c>
      <c r="B76" s="65">
        <v>139</v>
      </c>
      <c r="C76" s="66">
        <v>100</v>
      </c>
      <c r="D76" s="66">
        <v>89</v>
      </c>
      <c r="E76" s="67">
        <v>89</v>
      </c>
      <c r="F76" s="40">
        <f>AVERAGE(B76:E76)</f>
        <v>104.25</v>
      </c>
    </row>
    <row r="77" spans="1:7" x14ac:dyDescent="0.4">
      <c r="A77" s="26" t="s">
        <v>1</v>
      </c>
      <c r="B77" s="26">
        <v>207</v>
      </c>
      <c r="C77" s="29">
        <v>239</v>
      </c>
      <c r="D77" s="29">
        <v>175</v>
      </c>
      <c r="E77" s="30">
        <v>175</v>
      </c>
      <c r="F77" s="28">
        <f t="shared" ref="F77:F81" si="12">AVERAGE(B77:E77)</f>
        <v>199</v>
      </c>
    </row>
    <row r="78" spans="1:7" x14ac:dyDescent="0.4">
      <c r="A78" s="26" t="s">
        <v>2</v>
      </c>
      <c r="B78" s="26">
        <v>249</v>
      </c>
      <c r="C78" s="29">
        <v>284</v>
      </c>
      <c r="D78" s="29">
        <v>461</v>
      </c>
      <c r="E78" s="30">
        <v>461</v>
      </c>
      <c r="F78" s="28">
        <f t="shared" si="12"/>
        <v>363.75</v>
      </c>
    </row>
    <row r="79" spans="1:7" x14ac:dyDescent="0.4">
      <c r="A79" s="26" t="s">
        <v>21</v>
      </c>
      <c r="B79" s="26">
        <f>SUM(B76:B78)</f>
        <v>595</v>
      </c>
      <c r="C79" s="29">
        <f t="shared" ref="C79:E79" si="13">SUM(C76:C78)</f>
        <v>623</v>
      </c>
      <c r="D79" s="29">
        <f t="shared" si="13"/>
        <v>725</v>
      </c>
      <c r="E79" s="30">
        <f t="shared" si="13"/>
        <v>725</v>
      </c>
      <c r="F79" s="28">
        <f t="shared" si="12"/>
        <v>667</v>
      </c>
    </row>
    <row r="80" spans="1:7" ht="15" thickBot="1" x14ac:dyDescent="0.45">
      <c r="A80" s="11" t="s">
        <v>22</v>
      </c>
      <c r="B80" s="11">
        <v>1091</v>
      </c>
      <c r="C80" s="38">
        <v>804</v>
      </c>
      <c r="D80" s="38">
        <v>836</v>
      </c>
      <c r="E80" s="39">
        <v>836</v>
      </c>
      <c r="F80" s="24">
        <f t="shared" si="12"/>
        <v>891.75</v>
      </c>
    </row>
    <row r="81" spans="1:6" ht="15" thickBot="1" x14ac:dyDescent="0.45">
      <c r="A81" s="11" t="s">
        <v>19</v>
      </c>
      <c r="B81" s="11">
        <f>SUM(B79:B80)</f>
        <v>1686</v>
      </c>
      <c r="C81" s="38">
        <f t="shared" ref="C81:E81" si="14">SUM(C79:C80)</f>
        <v>1427</v>
      </c>
      <c r="D81" s="38">
        <f t="shared" si="14"/>
        <v>1561</v>
      </c>
      <c r="E81" s="39">
        <f t="shared" si="14"/>
        <v>1561</v>
      </c>
      <c r="F81" s="24">
        <f t="shared" si="12"/>
        <v>1558.75</v>
      </c>
    </row>
    <row r="83" spans="1:6" ht="20.6" x14ac:dyDescent="0.55000000000000004">
      <c r="A83" s="1" t="s">
        <v>12</v>
      </c>
    </row>
    <row r="84" spans="1:6" ht="13.85" customHeight="1" thickBot="1" x14ac:dyDescent="0.45">
      <c r="A84" s="42" t="s">
        <v>33</v>
      </c>
    </row>
    <row r="85" spans="1:6" ht="15" thickBot="1" x14ac:dyDescent="0.45">
      <c r="A85" s="34"/>
      <c r="B85" s="73" t="s">
        <v>3</v>
      </c>
      <c r="C85" s="73"/>
      <c r="D85" s="73"/>
      <c r="E85" s="73"/>
      <c r="F85" s="34"/>
    </row>
    <row r="86" spans="1:6" ht="15" thickBot="1" x14ac:dyDescent="0.45">
      <c r="A86" s="35" t="s">
        <v>4</v>
      </c>
      <c r="B86" s="63">
        <v>2021</v>
      </c>
      <c r="C86" s="63">
        <v>2022</v>
      </c>
      <c r="D86" s="63">
        <v>2023</v>
      </c>
      <c r="E86" s="63">
        <v>2024</v>
      </c>
      <c r="F86" s="36" t="s">
        <v>18</v>
      </c>
    </row>
    <row r="87" spans="1:6" x14ac:dyDescent="0.4">
      <c r="A87" s="32" t="s">
        <v>5</v>
      </c>
      <c r="B87" s="16">
        <v>118.18600000000001</v>
      </c>
      <c r="C87" s="16">
        <v>74.753</v>
      </c>
      <c r="D87" s="16">
        <v>128.80199999999999</v>
      </c>
      <c r="E87" s="16">
        <v>82.938999999999993</v>
      </c>
      <c r="F87" s="17">
        <f>AVERAGE(B87:E87)</f>
        <v>101.16999999999999</v>
      </c>
    </row>
    <row r="88" spans="1:6" x14ac:dyDescent="0.4">
      <c r="A88" s="32" t="s">
        <v>6</v>
      </c>
      <c r="B88" s="16">
        <v>100.309</v>
      </c>
      <c r="C88" s="16">
        <v>98.667000000000002</v>
      </c>
      <c r="D88" s="16">
        <v>80.421000000000006</v>
      </c>
      <c r="E88" s="16">
        <v>176.49799999999999</v>
      </c>
      <c r="F88" s="17">
        <f t="shared" ref="F88:F94" si="15">AVERAGE(B88:E88)</f>
        <v>113.97375</v>
      </c>
    </row>
    <row r="89" spans="1:6" x14ac:dyDescent="0.4">
      <c r="A89" s="32" t="s">
        <v>0</v>
      </c>
      <c r="B89" s="16">
        <v>412.13499999999999</v>
      </c>
      <c r="C89" s="16">
        <v>364.16500000000002</v>
      </c>
      <c r="D89" s="16">
        <v>436.50100000000003</v>
      </c>
      <c r="E89" s="16">
        <v>488.67599999999999</v>
      </c>
      <c r="F89" s="17">
        <f t="shared" si="15"/>
        <v>425.36924999999997</v>
      </c>
    </row>
    <row r="90" spans="1:6" x14ac:dyDescent="0.4">
      <c r="A90" s="32" t="s">
        <v>7</v>
      </c>
      <c r="B90" s="16">
        <v>71.613</v>
      </c>
      <c r="C90" s="16">
        <v>36.423000000000002</v>
      </c>
      <c r="D90" s="16">
        <v>27.530999999999999</v>
      </c>
      <c r="E90" s="16">
        <v>26.783999999999999</v>
      </c>
      <c r="F90" s="17">
        <f t="shared" si="15"/>
        <v>40.58775</v>
      </c>
    </row>
    <row r="91" spans="1:6" x14ac:dyDescent="0.4">
      <c r="A91" s="32" t="s">
        <v>8</v>
      </c>
      <c r="B91" s="16">
        <v>89.24</v>
      </c>
      <c r="C91" s="16">
        <v>79.738</v>
      </c>
      <c r="D91" s="16">
        <v>110.13000000000001</v>
      </c>
      <c r="E91" s="16">
        <v>110.13000000000001</v>
      </c>
      <c r="F91" s="17">
        <f t="shared" si="15"/>
        <v>97.3095</v>
      </c>
    </row>
    <row r="92" spans="1:6" x14ac:dyDescent="0.4">
      <c r="A92" s="32" t="s">
        <v>9</v>
      </c>
      <c r="B92" s="16">
        <v>36.92</v>
      </c>
      <c r="C92" s="16">
        <v>53.64</v>
      </c>
      <c r="D92" s="16">
        <v>53.64</v>
      </c>
      <c r="E92" s="16">
        <v>53.64</v>
      </c>
      <c r="F92" s="17">
        <f t="shared" si="15"/>
        <v>49.459999999999994</v>
      </c>
    </row>
    <row r="93" spans="1:6" ht="15" thickBot="1" x14ac:dyDescent="0.45">
      <c r="A93" s="33" t="s">
        <v>10</v>
      </c>
      <c r="B93" s="19">
        <v>58.08</v>
      </c>
      <c r="C93" s="19">
        <v>84.36</v>
      </c>
      <c r="D93" s="19">
        <v>84.36</v>
      </c>
      <c r="E93" s="19">
        <v>84.36</v>
      </c>
      <c r="F93" s="20">
        <f t="shared" si="15"/>
        <v>77.790000000000006</v>
      </c>
    </row>
    <row r="94" spans="1:6" ht="15" thickBot="1" x14ac:dyDescent="0.45">
      <c r="A94" s="33" t="s">
        <v>19</v>
      </c>
      <c r="B94" s="19">
        <f>SUM(B87:B93)</f>
        <v>886.48299999999995</v>
      </c>
      <c r="C94" s="19">
        <f t="shared" ref="C94:E94" si="16">SUM(C87:C93)</f>
        <v>791.74600000000009</v>
      </c>
      <c r="D94" s="19">
        <f t="shared" si="16"/>
        <v>921.38499999999999</v>
      </c>
      <c r="E94" s="19">
        <f t="shared" si="16"/>
        <v>1023.027</v>
      </c>
      <c r="F94" s="20">
        <f t="shared" si="15"/>
        <v>905.66025000000002</v>
      </c>
    </row>
  </sheetData>
  <mergeCells count="5">
    <mergeCell ref="B23:E23"/>
    <mergeCell ref="B39:E39"/>
    <mergeCell ref="B56:E56"/>
    <mergeCell ref="B74:E74"/>
    <mergeCell ref="B85:E85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68C6-DF10-449B-94B3-ED91F02DF6B4}">
  <dimension ref="A1:AA91"/>
  <sheetViews>
    <sheetView workbookViewId="0">
      <selection activeCell="A3" sqref="A3"/>
    </sheetView>
  </sheetViews>
  <sheetFormatPr defaultRowHeight="14.6" x14ac:dyDescent="0.4"/>
  <cols>
    <col min="1" max="1" width="16.23046875" customWidth="1"/>
    <col min="2" max="4" width="11.4609375" customWidth="1"/>
    <col min="5" max="5" width="12.921875" customWidth="1"/>
    <col min="6" max="6" width="18.15234375" customWidth="1"/>
    <col min="7" max="7" width="4.69140625" customWidth="1"/>
    <col min="8" max="8" width="7" customWidth="1"/>
    <col min="9" max="9" width="10.69140625" customWidth="1"/>
    <col min="10" max="10" width="9.4609375" customWidth="1"/>
    <col min="11" max="11" width="11.3046875" customWidth="1"/>
    <col min="12" max="12" width="10.61328125" bestFit="1" customWidth="1"/>
    <col min="13" max="13" width="6.84375" bestFit="1" customWidth="1"/>
    <col min="14" max="14" width="12.07421875" customWidth="1"/>
    <col min="15" max="15" width="6.84375" customWidth="1"/>
    <col min="17" max="17" width="6.07421875" customWidth="1"/>
    <col min="18" max="18" width="10.4609375" customWidth="1"/>
    <col min="20" max="20" width="3.3828125" customWidth="1"/>
    <col min="21" max="21" width="7.61328125" customWidth="1"/>
    <col min="26" max="26" width="4.3828125" customWidth="1"/>
    <col min="27" max="27" width="7.53515625" customWidth="1"/>
  </cols>
  <sheetData>
    <row r="1" spans="1:7" ht="18.45" x14ac:dyDescent="0.5">
      <c r="A1" s="68" t="s">
        <v>37</v>
      </c>
    </row>
    <row r="2" spans="1:7" ht="20.6" x14ac:dyDescent="0.55000000000000004">
      <c r="A2" s="1"/>
    </row>
    <row r="3" spans="1:7" ht="15" thickBot="1" x14ac:dyDescent="0.45">
      <c r="A3" t="s">
        <v>36</v>
      </c>
    </row>
    <row r="4" spans="1:7" ht="15" thickBot="1" x14ac:dyDescent="0.45">
      <c r="A4" s="36" t="s">
        <v>3</v>
      </c>
      <c r="B4" s="8" t="s">
        <v>27</v>
      </c>
      <c r="C4" s="8" t="s">
        <v>30</v>
      </c>
      <c r="D4" s="43" t="s">
        <v>31</v>
      </c>
      <c r="E4" s="49" t="s">
        <v>25</v>
      </c>
      <c r="G4" s="36" t="s">
        <v>26</v>
      </c>
    </row>
    <row r="5" spans="1:7" x14ac:dyDescent="0.4">
      <c r="A5" s="50">
        <v>2021</v>
      </c>
      <c r="B5" s="45" cm="1">
        <f t="array" ref="B5:B8">TRANSPOSE(B31:E31)</f>
        <v>1539.7965823166828</v>
      </c>
      <c r="C5" s="29">
        <v>2970</v>
      </c>
      <c r="D5" s="45">
        <f>G5*1.28</f>
        <v>614.4</v>
      </c>
      <c r="E5" s="46">
        <f>(B5-C5)/C5</f>
        <v>-0.48154997228394519</v>
      </c>
      <c r="G5" s="32">
        <v>480</v>
      </c>
    </row>
    <row r="6" spans="1:7" x14ac:dyDescent="0.4">
      <c r="A6" s="50">
        <v>2022</v>
      </c>
      <c r="B6" s="45">
        <v>1473.8717942959731</v>
      </c>
      <c r="C6" s="29">
        <v>3420</v>
      </c>
      <c r="D6" s="45">
        <f t="shared" ref="D6:D8" si="0">G6*1.28</f>
        <v>729.6</v>
      </c>
      <c r="E6" s="46">
        <f t="shared" ref="E6:E9" si="1">(B6-C6)/C6</f>
        <v>-0.56904333500117743</v>
      </c>
      <c r="G6" s="32">
        <v>570</v>
      </c>
    </row>
    <row r="7" spans="1:7" x14ac:dyDescent="0.4">
      <c r="A7" s="50">
        <v>2023</v>
      </c>
      <c r="B7" s="45">
        <v>1685.4106346098099</v>
      </c>
      <c r="C7" s="29">
        <v>3380</v>
      </c>
      <c r="D7" s="45">
        <f t="shared" si="0"/>
        <v>857.6</v>
      </c>
      <c r="E7" s="46">
        <f t="shared" si="1"/>
        <v>-0.50135780041129885</v>
      </c>
      <c r="G7" s="32">
        <v>670</v>
      </c>
    </row>
    <row r="8" spans="1:7" ht="15" thickBot="1" x14ac:dyDescent="0.45">
      <c r="A8" s="51">
        <v>2024</v>
      </c>
      <c r="B8" s="47">
        <v>2156.7417637150811</v>
      </c>
      <c r="C8" s="38">
        <v>3080</v>
      </c>
      <c r="D8" s="45">
        <f t="shared" si="0"/>
        <v>896</v>
      </c>
      <c r="E8" s="48">
        <f t="shared" si="1"/>
        <v>-0.29975916762497368</v>
      </c>
      <c r="G8" s="33">
        <v>700</v>
      </c>
    </row>
    <row r="9" spans="1:7" ht="15" thickBot="1" x14ac:dyDescent="0.45">
      <c r="A9" s="36" t="s">
        <v>19</v>
      </c>
      <c r="B9" s="52">
        <f>SUM(_xlfn.ANCHORARRAY(B5))</f>
        <v>6855.820774937547</v>
      </c>
      <c r="C9" s="53">
        <f>SUM(C5:C8)</f>
        <v>12850</v>
      </c>
      <c r="D9" s="53"/>
      <c r="E9" s="54">
        <f t="shared" si="1"/>
        <v>-0.46647309144454885</v>
      </c>
    </row>
    <row r="10" spans="1:7" x14ac:dyDescent="0.4">
      <c r="A10" s="29"/>
      <c r="B10" s="45"/>
      <c r="C10" s="45"/>
      <c r="D10" s="45"/>
      <c r="E10" s="61"/>
    </row>
    <row r="11" spans="1:7" ht="15" thickBot="1" x14ac:dyDescent="0.45">
      <c r="A11" t="s">
        <v>35</v>
      </c>
    </row>
    <row r="12" spans="1:7" ht="15" thickBot="1" x14ac:dyDescent="0.45">
      <c r="A12" s="36" t="s">
        <v>3</v>
      </c>
      <c r="B12" s="43" t="s">
        <v>28</v>
      </c>
      <c r="C12" s="43" t="s">
        <v>32</v>
      </c>
      <c r="D12" s="43" t="s">
        <v>24</v>
      </c>
      <c r="E12" s="49" t="s">
        <v>25</v>
      </c>
      <c r="G12" s="36" t="s">
        <v>29</v>
      </c>
    </row>
    <row r="13" spans="1:7" x14ac:dyDescent="0.4">
      <c r="A13" s="57">
        <v>2021</v>
      </c>
      <c r="B13" s="58">
        <v>0.52700000000000002</v>
      </c>
      <c r="C13" s="58">
        <f>1.28*G13</f>
        <v>0.1216</v>
      </c>
      <c r="D13" s="44">
        <v>0.68</v>
      </c>
      <c r="E13" s="59">
        <f>(B13-D13)/D13</f>
        <v>-0.22500000000000003</v>
      </c>
      <c r="G13" s="32">
        <v>9.5000000000000001E-2</v>
      </c>
    </row>
    <row r="14" spans="1:7" x14ac:dyDescent="0.4">
      <c r="A14" s="50">
        <v>2022</v>
      </c>
      <c r="B14" s="55">
        <v>0.373</v>
      </c>
      <c r="C14" s="55">
        <f t="shared" ref="C14:C16" si="2">1.28*G14</f>
        <v>9.6000000000000002E-2</v>
      </c>
      <c r="D14" s="29">
        <v>0.68</v>
      </c>
      <c r="E14" s="46">
        <f t="shared" ref="E14:E16" si="3">(B14-D14)/D14</f>
        <v>-0.45147058823529418</v>
      </c>
      <c r="G14" s="32">
        <v>7.4999999999999997E-2</v>
      </c>
    </row>
    <row r="15" spans="1:7" x14ac:dyDescent="0.4">
      <c r="A15" s="50">
        <v>2023</v>
      </c>
      <c r="B15" s="55">
        <v>0.38100000000000001</v>
      </c>
      <c r="C15" s="55">
        <f t="shared" si="2"/>
        <v>0.11648</v>
      </c>
      <c r="D15" s="29">
        <v>0.68</v>
      </c>
      <c r="E15" s="46">
        <f t="shared" si="3"/>
        <v>-0.43970588235294122</v>
      </c>
      <c r="G15" s="32">
        <v>9.0999999999999998E-2</v>
      </c>
    </row>
    <row r="16" spans="1:7" ht="15" thickBot="1" x14ac:dyDescent="0.45">
      <c r="A16" s="51">
        <v>2024</v>
      </c>
      <c r="B16" s="56">
        <v>0.42399999999999999</v>
      </c>
      <c r="C16" s="56">
        <f t="shared" si="2"/>
        <v>0.15359999999999999</v>
      </c>
      <c r="D16" s="38">
        <v>0.68</v>
      </c>
      <c r="E16" s="48">
        <f t="shared" si="3"/>
        <v>-0.37647058823529417</v>
      </c>
      <c r="G16" s="33">
        <v>0.12</v>
      </c>
    </row>
    <row r="17" spans="1:7" x14ac:dyDescent="0.4">
      <c r="A17" s="60"/>
      <c r="B17" s="55"/>
      <c r="C17" s="55"/>
      <c r="D17" s="29"/>
      <c r="E17" s="61"/>
      <c r="G17" s="29"/>
    </row>
    <row r="18" spans="1:7" ht="20.6" x14ac:dyDescent="0.55000000000000004">
      <c r="A18" s="1" t="s">
        <v>34</v>
      </c>
    </row>
    <row r="19" spans="1:7" ht="15" thickBot="1" x14ac:dyDescent="0.45">
      <c r="A19" t="s">
        <v>17</v>
      </c>
    </row>
    <row r="20" spans="1:7" ht="15" thickBot="1" x14ac:dyDescent="0.45">
      <c r="A20" s="4"/>
      <c r="B20" s="69" t="s">
        <v>3</v>
      </c>
      <c r="C20" s="70"/>
      <c r="D20" s="70"/>
      <c r="E20" s="71"/>
      <c r="F20" s="5"/>
    </row>
    <row r="21" spans="1:7" ht="15" thickBot="1" x14ac:dyDescent="0.45">
      <c r="A21" s="6" t="s">
        <v>4</v>
      </c>
      <c r="B21" s="7">
        <v>2021</v>
      </c>
      <c r="C21" s="8">
        <v>2022</v>
      </c>
      <c r="D21" s="8">
        <v>2023</v>
      </c>
      <c r="E21" s="9">
        <v>2024</v>
      </c>
      <c r="F21" s="10" t="s">
        <v>18</v>
      </c>
    </row>
    <row r="22" spans="1:7" x14ac:dyDescent="0.4">
      <c r="A22" s="25" t="s">
        <v>5</v>
      </c>
      <c r="B22" s="12">
        <v>118.18600000000001</v>
      </c>
      <c r="C22" s="13">
        <v>74.753</v>
      </c>
      <c r="D22" s="13">
        <v>128.80199999999999</v>
      </c>
      <c r="E22" s="13">
        <v>82.938999999999993</v>
      </c>
      <c r="F22" s="14">
        <f>AVERAGE(B22:E22)</f>
        <v>101.16999999999999</v>
      </c>
    </row>
    <row r="23" spans="1:7" x14ac:dyDescent="0.4">
      <c r="A23" s="26" t="s">
        <v>6</v>
      </c>
      <c r="B23" s="15">
        <v>100.309</v>
      </c>
      <c r="C23" s="16">
        <v>98.667000000000002</v>
      </c>
      <c r="D23" s="16">
        <v>80.421000000000006</v>
      </c>
      <c r="E23" s="16">
        <v>176.49799999999999</v>
      </c>
      <c r="F23" s="17">
        <f t="shared" ref="F23:F30" si="4">AVERAGE(B23:E23)</f>
        <v>113.97375</v>
      </c>
    </row>
    <row r="24" spans="1:7" x14ac:dyDescent="0.4">
      <c r="A24" s="26" t="s">
        <v>0</v>
      </c>
      <c r="B24" s="15">
        <v>551.13499999999999</v>
      </c>
      <c r="C24" s="16">
        <v>464.16500000000002</v>
      </c>
      <c r="D24" s="16">
        <v>525.50099999999998</v>
      </c>
      <c r="E24" s="16">
        <v>577.67599999999993</v>
      </c>
      <c r="F24" s="17">
        <f t="shared" si="4"/>
        <v>529.61924999999997</v>
      </c>
    </row>
    <row r="25" spans="1:7" x14ac:dyDescent="0.4">
      <c r="A25" s="26" t="s">
        <v>7</v>
      </c>
      <c r="B25" s="15">
        <v>71.613</v>
      </c>
      <c r="C25" s="16">
        <v>36.423000000000002</v>
      </c>
      <c r="D25" s="16">
        <v>27.530999999999999</v>
      </c>
      <c r="E25" s="16">
        <v>26.783999999999999</v>
      </c>
      <c r="F25" s="17">
        <f t="shared" si="4"/>
        <v>40.58775</v>
      </c>
    </row>
    <row r="26" spans="1:7" x14ac:dyDescent="0.4">
      <c r="A26" s="26" t="s">
        <v>8</v>
      </c>
      <c r="B26" s="15">
        <v>89.24</v>
      </c>
      <c r="C26" s="16">
        <v>79.738</v>
      </c>
      <c r="D26" s="16">
        <v>110.13000000000001</v>
      </c>
      <c r="E26" s="16">
        <v>110.13000000000001</v>
      </c>
      <c r="F26" s="17">
        <f t="shared" si="4"/>
        <v>97.3095</v>
      </c>
    </row>
    <row r="27" spans="1:7" x14ac:dyDescent="0.4">
      <c r="A27" s="26" t="s">
        <v>9</v>
      </c>
      <c r="B27" s="15">
        <v>36.92</v>
      </c>
      <c r="C27" s="16">
        <v>53.64</v>
      </c>
      <c r="D27" s="16">
        <v>53.64</v>
      </c>
      <c r="E27" s="16">
        <v>53.64</v>
      </c>
      <c r="F27" s="17">
        <f t="shared" si="4"/>
        <v>49.459999999999994</v>
      </c>
    </row>
    <row r="28" spans="1:7" x14ac:dyDescent="0.4">
      <c r="A28" s="26" t="s">
        <v>10</v>
      </c>
      <c r="B28" s="15">
        <v>58.08</v>
      </c>
      <c r="C28" s="16">
        <v>84.36</v>
      </c>
      <c r="D28" s="16">
        <v>84.36</v>
      </c>
      <c r="E28" s="16">
        <v>84.36</v>
      </c>
      <c r="F28" s="17">
        <f t="shared" si="4"/>
        <v>77.790000000000006</v>
      </c>
    </row>
    <row r="29" spans="1:7" x14ac:dyDescent="0.4">
      <c r="A29" s="26" t="s">
        <v>1</v>
      </c>
      <c r="B29" s="15">
        <v>265.31358231668298</v>
      </c>
      <c r="C29" s="16">
        <v>298.12579429597298</v>
      </c>
      <c r="D29" s="16">
        <v>214.02563460981</v>
      </c>
      <c r="E29" s="16">
        <v>583.71476371508106</v>
      </c>
      <c r="F29" s="17">
        <f t="shared" si="4"/>
        <v>340.29494373438672</v>
      </c>
    </row>
    <row r="30" spans="1:7" ht="15" thickBot="1" x14ac:dyDescent="0.45">
      <c r="A30" s="11" t="s">
        <v>2</v>
      </c>
      <c r="B30" s="18">
        <v>249</v>
      </c>
      <c r="C30" s="19">
        <v>284</v>
      </c>
      <c r="D30" s="19">
        <v>461</v>
      </c>
      <c r="E30" s="19">
        <v>461</v>
      </c>
      <c r="F30" s="20">
        <f t="shared" si="4"/>
        <v>363.75</v>
      </c>
    </row>
    <row r="31" spans="1:7" ht="15" thickBot="1" x14ac:dyDescent="0.45">
      <c r="A31" s="11" t="s">
        <v>19</v>
      </c>
      <c r="B31" s="21">
        <f>SUM(B22:B30)</f>
        <v>1539.7965823166828</v>
      </c>
      <c r="C31" s="22">
        <f t="shared" ref="C31:E31" si="5">SUM(C22:C30)</f>
        <v>1473.8717942959731</v>
      </c>
      <c r="D31" s="22">
        <f t="shared" si="5"/>
        <v>1685.4106346098099</v>
      </c>
      <c r="E31" s="23">
        <f t="shared" si="5"/>
        <v>2156.7417637150811</v>
      </c>
      <c r="F31" s="20">
        <f t="shared" ref="F31" si="6">SUM(F22:F30)</f>
        <v>1713.9551937343867</v>
      </c>
    </row>
    <row r="34" spans="1:27" ht="20.6" x14ac:dyDescent="0.55000000000000004">
      <c r="A34" s="1" t="s">
        <v>13</v>
      </c>
    </row>
    <row r="35" spans="1:27" ht="15" thickBot="1" x14ac:dyDescent="0.45">
      <c r="A35" t="s">
        <v>15</v>
      </c>
    </row>
    <row r="36" spans="1:27" ht="15" thickBot="1" x14ac:dyDescent="0.45">
      <c r="A36" s="31"/>
      <c r="B36" s="70" t="s">
        <v>3</v>
      </c>
      <c r="C36" s="70"/>
      <c r="D36" s="70"/>
      <c r="E36" s="70"/>
      <c r="F36" s="31"/>
    </row>
    <row r="37" spans="1:27" ht="15" thickBot="1" x14ac:dyDescent="0.45">
      <c r="A37" s="35" t="s">
        <v>4</v>
      </c>
      <c r="B37" s="8">
        <v>2021</v>
      </c>
      <c r="C37" s="8">
        <v>2022</v>
      </c>
      <c r="D37" s="8">
        <v>2023</v>
      </c>
      <c r="E37" s="8">
        <v>2024</v>
      </c>
      <c r="F37" s="36" t="s">
        <v>18</v>
      </c>
    </row>
    <row r="38" spans="1:27" x14ac:dyDescent="0.4">
      <c r="A38" s="32" t="s">
        <v>5</v>
      </c>
      <c r="B38" s="16">
        <v>118.18600000000001</v>
      </c>
      <c r="C38" s="16">
        <v>74.753</v>
      </c>
      <c r="D38" s="16">
        <v>128.80199999999999</v>
      </c>
      <c r="E38" s="16">
        <v>82.938999999999993</v>
      </c>
      <c r="F38" s="17">
        <f>AVERAGE(B38:E38)</f>
        <v>101.16999999999999</v>
      </c>
      <c r="H38" s="2"/>
      <c r="O38" s="2"/>
      <c r="U38" s="2"/>
      <c r="AA38" s="2"/>
    </row>
    <row r="39" spans="1:27" x14ac:dyDescent="0.4">
      <c r="A39" s="32" t="s">
        <v>6</v>
      </c>
      <c r="B39" s="16">
        <v>100.309</v>
      </c>
      <c r="C39" s="16">
        <v>98.667000000000002</v>
      </c>
      <c r="D39" s="16">
        <v>80.421000000000006</v>
      </c>
      <c r="E39" s="16">
        <v>176.49799999999999</v>
      </c>
      <c r="F39" s="17">
        <f t="shared" ref="F39:F46" si="7">AVERAGE(B39:E39)</f>
        <v>113.97375</v>
      </c>
    </row>
    <row r="40" spans="1:27" x14ac:dyDescent="0.4">
      <c r="A40" s="32" t="s">
        <v>0</v>
      </c>
      <c r="B40" s="16">
        <v>551.13499999999999</v>
      </c>
      <c r="C40" s="16">
        <v>464.16500000000002</v>
      </c>
      <c r="D40" s="16">
        <v>525.50099999999998</v>
      </c>
      <c r="E40" s="16">
        <v>577.67599999999993</v>
      </c>
      <c r="F40" s="17">
        <f t="shared" si="7"/>
        <v>529.61924999999997</v>
      </c>
    </row>
    <row r="41" spans="1:27" x14ac:dyDescent="0.4">
      <c r="A41" s="32" t="s">
        <v>7</v>
      </c>
      <c r="B41" s="16">
        <v>71.613</v>
      </c>
      <c r="C41" s="16">
        <v>36.423000000000002</v>
      </c>
      <c r="D41" s="16">
        <v>27.530999999999999</v>
      </c>
      <c r="E41" s="16">
        <v>26.783999999999999</v>
      </c>
      <c r="F41" s="17">
        <f t="shared" si="7"/>
        <v>40.58775</v>
      </c>
    </row>
    <row r="42" spans="1:27" x14ac:dyDescent="0.4">
      <c r="A42" s="32" t="s">
        <v>8</v>
      </c>
      <c r="B42" s="16">
        <v>89.24</v>
      </c>
      <c r="C42" s="16">
        <v>79.738</v>
      </c>
      <c r="D42" s="16">
        <v>110.13000000000001</v>
      </c>
      <c r="E42" s="16">
        <v>110.13000000000001</v>
      </c>
      <c r="F42" s="17">
        <f t="shared" si="7"/>
        <v>97.3095</v>
      </c>
    </row>
    <row r="43" spans="1:27" x14ac:dyDescent="0.4">
      <c r="A43" s="32" t="s">
        <v>9</v>
      </c>
      <c r="B43" s="16">
        <v>36.92</v>
      </c>
      <c r="C43" s="16">
        <v>53.64</v>
      </c>
      <c r="D43" s="16">
        <v>53.64</v>
      </c>
      <c r="E43" s="16">
        <v>53.64</v>
      </c>
      <c r="F43" s="17">
        <f t="shared" si="7"/>
        <v>49.459999999999994</v>
      </c>
    </row>
    <row r="44" spans="1:27" x14ac:dyDescent="0.4">
      <c r="A44" s="32" t="s">
        <v>10</v>
      </c>
      <c r="B44" s="16">
        <v>58.08</v>
      </c>
      <c r="C44" s="16">
        <v>84.36</v>
      </c>
      <c r="D44" s="16">
        <v>84.36</v>
      </c>
      <c r="E44" s="16">
        <v>84.36</v>
      </c>
      <c r="F44" s="17">
        <f t="shared" si="7"/>
        <v>77.790000000000006</v>
      </c>
    </row>
    <row r="45" spans="1:27" x14ac:dyDescent="0.4">
      <c r="A45" s="32" t="s">
        <v>1</v>
      </c>
      <c r="B45" s="16">
        <v>256.49358231668299</v>
      </c>
      <c r="C45" s="16">
        <v>288.540794295973</v>
      </c>
      <c r="D45" s="16">
        <v>207.28263460981</v>
      </c>
      <c r="E45" s="16">
        <v>565.12376371508105</v>
      </c>
      <c r="F45" s="17">
        <f t="shared" si="7"/>
        <v>329.36019373438671</v>
      </c>
      <c r="G45" t="s">
        <v>16</v>
      </c>
    </row>
    <row r="46" spans="1:27" ht="15" thickBot="1" x14ac:dyDescent="0.45">
      <c r="A46" s="33" t="s">
        <v>2</v>
      </c>
      <c r="B46" s="19">
        <v>249</v>
      </c>
      <c r="C46" s="19">
        <v>284</v>
      </c>
      <c r="D46" s="19">
        <v>461</v>
      </c>
      <c r="E46" s="19">
        <v>461</v>
      </c>
      <c r="F46" s="17">
        <f t="shared" si="7"/>
        <v>363.75</v>
      </c>
    </row>
    <row r="47" spans="1:27" ht="15" thickBot="1" x14ac:dyDescent="0.45">
      <c r="A47" s="33" t="s">
        <v>19</v>
      </c>
      <c r="B47" s="19">
        <f>SUM(B38:B46)</f>
        <v>1530.9765823166829</v>
      </c>
      <c r="C47" s="19">
        <f t="shared" ref="C47:F47" si="8">SUM(C38:C46)</f>
        <v>1464.2867942959731</v>
      </c>
      <c r="D47" s="19">
        <f t="shared" si="8"/>
        <v>1678.66763460981</v>
      </c>
      <c r="E47" s="19">
        <f t="shared" si="8"/>
        <v>2138.1507637150808</v>
      </c>
      <c r="F47" s="37">
        <f t="shared" si="8"/>
        <v>1703.0204437343866</v>
      </c>
    </row>
    <row r="51" spans="1:7" ht="20.6" x14ac:dyDescent="0.55000000000000004">
      <c r="A51" s="1" t="s">
        <v>13</v>
      </c>
    </row>
    <row r="52" spans="1:7" ht="15" thickBot="1" x14ac:dyDescent="0.45">
      <c r="A52" t="s">
        <v>14</v>
      </c>
    </row>
    <row r="53" spans="1:7" ht="15" thickBot="1" x14ac:dyDescent="0.45">
      <c r="A53" s="31"/>
      <c r="B53" s="70" t="s">
        <v>3</v>
      </c>
      <c r="C53" s="70"/>
      <c r="D53" s="70"/>
      <c r="E53" s="70"/>
      <c r="F53" s="31"/>
    </row>
    <row r="54" spans="1:7" ht="15" thickBot="1" x14ac:dyDescent="0.45">
      <c r="A54" s="35" t="s">
        <v>4</v>
      </c>
      <c r="B54" s="8">
        <v>2021</v>
      </c>
      <c r="C54" s="8">
        <v>2022</v>
      </c>
      <c r="D54" s="8">
        <v>2023</v>
      </c>
      <c r="E54" s="8">
        <v>2024</v>
      </c>
      <c r="F54" s="36" t="s">
        <v>18</v>
      </c>
    </row>
    <row r="55" spans="1:7" x14ac:dyDescent="0.4">
      <c r="A55" s="32" t="s">
        <v>5</v>
      </c>
      <c r="B55" s="16">
        <f>B84</f>
        <v>118.18600000000001</v>
      </c>
      <c r="C55" s="16">
        <f t="shared" ref="C55:E55" si="9">C84</f>
        <v>74.753</v>
      </c>
      <c r="D55" s="16">
        <f t="shared" si="9"/>
        <v>128.80199999999999</v>
      </c>
      <c r="E55" s="16">
        <f t="shared" si="9"/>
        <v>82.938999999999993</v>
      </c>
      <c r="F55" s="17">
        <f>AVERAGE(B55:E55)</f>
        <v>101.16999999999999</v>
      </c>
    </row>
    <row r="56" spans="1:7" x14ac:dyDescent="0.4">
      <c r="A56" s="32" t="s">
        <v>6</v>
      </c>
      <c r="B56" s="16">
        <f>B85</f>
        <v>100.309</v>
      </c>
      <c r="C56" s="16">
        <f t="shared" ref="C56:E56" si="10">C85</f>
        <v>98.667000000000002</v>
      </c>
      <c r="D56" s="16">
        <f t="shared" si="10"/>
        <v>80.421000000000006</v>
      </c>
      <c r="E56" s="16">
        <f t="shared" si="10"/>
        <v>176.49799999999999</v>
      </c>
      <c r="F56" s="17">
        <f t="shared" ref="F56:F63" si="11">AVERAGE(B56:E56)</f>
        <v>113.97375</v>
      </c>
    </row>
    <row r="57" spans="1:7" x14ac:dyDescent="0.4">
      <c r="A57" s="32" t="s">
        <v>0</v>
      </c>
      <c r="B57" s="16">
        <f>B73+B86</f>
        <v>551.13499999999999</v>
      </c>
      <c r="C57" s="16">
        <f t="shared" ref="C57:E57" si="12">C73+C86</f>
        <v>464.16500000000002</v>
      </c>
      <c r="D57" s="16">
        <f t="shared" si="12"/>
        <v>525.50099999999998</v>
      </c>
      <c r="E57" s="16">
        <f t="shared" si="12"/>
        <v>577.67599999999993</v>
      </c>
      <c r="F57" s="17">
        <f t="shared" si="11"/>
        <v>529.61924999999997</v>
      </c>
    </row>
    <row r="58" spans="1:7" x14ac:dyDescent="0.4">
      <c r="A58" s="32" t="s">
        <v>7</v>
      </c>
      <c r="B58" s="16">
        <f>B87</f>
        <v>71.613</v>
      </c>
      <c r="C58" s="16">
        <f t="shared" ref="C58:E58" si="13">C87</f>
        <v>36.423000000000002</v>
      </c>
      <c r="D58" s="16">
        <f t="shared" si="13"/>
        <v>27.530999999999999</v>
      </c>
      <c r="E58" s="16">
        <f t="shared" si="13"/>
        <v>26.783999999999999</v>
      </c>
      <c r="F58" s="17">
        <f t="shared" si="11"/>
        <v>40.58775</v>
      </c>
    </row>
    <row r="59" spans="1:7" x14ac:dyDescent="0.4">
      <c r="A59" s="32" t="s">
        <v>8</v>
      </c>
      <c r="B59" s="16">
        <f>B88</f>
        <v>89.24</v>
      </c>
      <c r="C59" s="16">
        <f t="shared" ref="C59:E59" si="14">C88</f>
        <v>79.738</v>
      </c>
      <c r="D59" s="16">
        <f t="shared" si="14"/>
        <v>110.13000000000001</v>
      </c>
      <c r="E59" s="16">
        <f t="shared" si="14"/>
        <v>110.13000000000001</v>
      </c>
      <c r="F59" s="17">
        <f t="shared" si="11"/>
        <v>97.3095</v>
      </c>
    </row>
    <row r="60" spans="1:7" x14ac:dyDescent="0.4">
      <c r="A60" s="32" t="s">
        <v>9</v>
      </c>
      <c r="B60" s="16">
        <f>B89</f>
        <v>36.92</v>
      </c>
      <c r="C60" s="16">
        <f t="shared" ref="C60:E60" si="15">C89</f>
        <v>53.64</v>
      </c>
      <c r="D60" s="16">
        <f t="shared" si="15"/>
        <v>53.64</v>
      </c>
      <c r="E60" s="16">
        <f t="shared" si="15"/>
        <v>53.64</v>
      </c>
      <c r="F60" s="17">
        <f t="shared" si="11"/>
        <v>49.459999999999994</v>
      </c>
    </row>
    <row r="61" spans="1:7" x14ac:dyDescent="0.4">
      <c r="A61" s="32" t="s">
        <v>10</v>
      </c>
      <c r="B61" s="16">
        <f>B90</f>
        <v>58.08</v>
      </c>
      <c r="C61" s="16">
        <f t="shared" ref="C61:E61" si="16">C90</f>
        <v>84.36</v>
      </c>
      <c r="D61" s="16">
        <f t="shared" si="16"/>
        <v>84.36</v>
      </c>
      <c r="E61" s="16">
        <f t="shared" si="16"/>
        <v>84.36</v>
      </c>
      <c r="F61" s="17">
        <f t="shared" si="11"/>
        <v>77.790000000000006</v>
      </c>
    </row>
    <row r="62" spans="1:7" x14ac:dyDescent="0.4">
      <c r="A62" s="32" t="s">
        <v>1</v>
      </c>
      <c r="B62" s="16">
        <f>B74</f>
        <v>207</v>
      </c>
      <c r="C62" s="16">
        <f t="shared" ref="C62:E62" si="17">C74</f>
        <v>239</v>
      </c>
      <c r="D62" s="16">
        <f t="shared" si="17"/>
        <v>175</v>
      </c>
      <c r="E62" s="16">
        <f t="shared" si="17"/>
        <v>175</v>
      </c>
      <c r="F62" s="17">
        <f t="shared" si="11"/>
        <v>199</v>
      </c>
      <c r="G62" t="s">
        <v>20</v>
      </c>
    </row>
    <row r="63" spans="1:7" ht="15" thickBot="1" x14ac:dyDescent="0.45">
      <c r="A63" s="32" t="s">
        <v>2</v>
      </c>
      <c r="B63" s="16">
        <f>B75</f>
        <v>249</v>
      </c>
      <c r="C63" s="16">
        <f t="shared" ref="C63:E63" si="18">C75</f>
        <v>284</v>
      </c>
      <c r="D63" s="16">
        <f t="shared" si="18"/>
        <v>461</v>
      </c>
      <c r="E63" s="16">
        <f t="shared" si="18"/>
        <v>461</v>
      </c>
      <c r="F63" s="17">
        <f t="shared" si="11"/>
        <v>363.75</v>
      </c>
    </row>
    <row r="64" spans="1:7" ht="15" thickBot="1" x14ac:dyDescent="0.45">
      <c r="A64" s="36" t="s">
        <v>19</v>
      </c>
      <c r="B64" s="22">
        <f>SUM(B55:B63)</f>
        <v>1481.4829999999999</v>
      </c>
      <c r="C64" s="22">
        <f t="shared" ref="C64:F64" si="19">SUM(C55:C63)</f>
        <v>1414.7460000000001</v>
      </c>
      <c r="D64" s="22">
        <f t="shared" si="19"/>
        <v>1646.3849999999998</v>
      </c>
      <c r="E64" s="22">
        <f t="shared" si="19"/>
        <v>1748.0269999999998</v>
      </c>
      <c r="F64" s="37">
        <f t="shared" si="19"/>
        <v>1572.6602499999999</v>
      </c>
    </row>
    <row r="67" spans="1:6" x14ac:dyDescent="0.4">
      <c r="F67" s="3"/>
    </row>
    <row r="69" spans="1:6" ht="26.15" customHeight="1" x14ac:dyDescent="0.55000000000000004">
      <c r="A69" s="1" t="s">
        <v>11</v>
      </c>
    </row>
    <row r="70" spans="1:6" ht="15" customHeight="1" thickBot="1" x14ac:dyDescent="0.45">
      <c r="A70" s="42" t="s">
        <v>23</v>
      </c>
    </row>
    <row r="71" spans="1:6" ht="15" thickBot="1" x14ac:dyDescent="0.45">
      <c r="A71" s="25"/>
      <c r="B71" s="72" t="s">
        <v>3</v>
      </c>
      <c r="C71" s="73"/>
      <c r="D71" s="73"/>
      <c r="E71" s="74"/>
      <c r="F71" s="10"/>
    </row>
    <row r="72" spans="1:6" ht="15" thickBot="1" x14ac:dyDescent="0.45">
      <c r="A72" s="41" t="s">
        <v>4</v>
      </c>
      <c r="B72" s="7">
        <v>2021</v>
      </c>
      <c r="C72" s="8">
        <v>2022</v>
      </c>
      <c r="D72" s="8">
        <v>2023</v>
      </c>
      <c r="E72" s="9">
        <v>2024</v>
      </c>
      <c r="F72" s="9" t="s">
        <v>18</v>
      </c>
    </row>
    <row r="73" spans="1:6" x14ac:dyDescent="0.4">
      <c r="A73" s="25" t="s">
        <v>0</v>
      </c>
      <c r="B73" s="25">
        <v>139</v>
      </c>
      <c r="C73" s="27">
        <v>100</v>
      </c>
      <c r="D73" s="27">
        <v>89</v>
      </c>
      <c r="E73" s="10">
        <v>89</v>
      </c>
      <c r="F73" s="40">
        <f>AVERAGE(B73:E73)</f>
        <v>104.25</v>
      </c>
    </row>
    <row r="74" spans="1:6" x14ac:dyDescent="0.4">
      <c r="A74" s="26" t="s">
        <v>1</v>
      </c>
      <c r="B74" s="26">
        <v>207</v>
      </c>
      <c r="C74" s="29">
        <v>239</v>
      </c>
      <c r="D74" s="29">
        <v>175</v>
      </c>
      <c r="E74" s="30">
        <v>175</v>
      </c>
      <c r="F74" s="28">
        <f t="shared" ref="F74:F78" si="20">AVERAGE(B74:E74)</f>
        <v>199</v>
      </c>
    </row>
    <row r="75" spans="1:6" x14ac:dyDescent="0.4">
      <c r="A75" s="26" t="s">
        <v>2</v>
      </c>
      <c r="B75" s="26">
        <v>249</v>
      </c>
      <c r="C75" s="29">
        <v>284</v>
      </c>
      <c r="D75" s="29">
        <v>461</v>
      </c>
      <c r="E75" s="30">
        <v>461</v>
      </c>
      <c r="F75" s="28">
        <f t="shared" si="20"/>
        <v>363.75</v>
      </c>
    </row>
    <row r="76" spans="1:6" x14ac:dyDescent="0.4">
      <c r="A76" s="26" t="s">
        <v>21</v>
      </c>
      <c r="B76" s="26">
        <f>SUM(B73:B75)</f>
        <v>595</v>
      </c>
      <c r="C76" s="29">
        <f t="shared" ref="C76:E76" si="21">SUM(C73:C75)</f>
        <v>623</v>
      </c>
      <c r="D76" s="29">
        <f t="shared" si="21"/>
        <v>725</v>
      </c>
      <c r="E76" s="30">
        <f t="shared" si="21"/>
        <v>725</v>
      </c>
      <c r="F76" s="28">
        <f t="shared" si="20"/>
        <v>667</v>
      </c>
    </row>
    <row r="77" spans="1:6" ht="15" thickBot="1" x14ac:dyDescent="0.45">
      <c r="A77" s="11" t="s">
        <v>22</v>
      </c>
      <c r="B77" s="11">
        <v>1091</v>
      </c>
      <c r="C77" s="38">
        <v>804</v>
      </c>
      <c r="D77" s="38">
        <v>836</v>
      </c>
      <c r="E77" s="39">
        <v>836</v>
      </c>
      <c r="F77" s="24">
        <f t="shared" si="20"/>
        <v>891.75</v>
      </c>
    </row>
    <row r="78" spans="1:6" ht="15" thickBot="1" x14ac:dyDescent="0.45">
      <c r="A78" s="11" t="s">
        <v>19</v>
      </c>
      <c r="B78" s="11">
        <f>SUM(B76:B77)</f>
        <v>1686</v>
      </c>
      <c r="C78" s="38">
        <f t="shared" ref="C78:E78" si="22">SUM(C76:C77)</f>
        <v>1427</v>
      </c>
      <c r="D78" s="38">
        <f t="shared" si="22"/>
        <v>1561</v>
      </c>
      <c r="E78" s="39">
        <f t="shared" si="22"/>
        <v>1561</v>
      </c>
      <c r="F78" s="24">
        <f t="shared" si="20"/>
        <v>1558.75</v>
      </c>
    </row>
    <row r="80" spans="1:6" ht="20.6" x14ac:dyDescent="0.55000000000000004">
      <c r="A80" s="1" t="s">
        <v>12</v>
      </c>
    </row>
    <row r="81" spans="1:6" ht="13.85" customHeight="1" thickBot="1" x14ac:dyDescent="0.45">
      <c r="A81" s="42" t="s">
        <v>33</v>
      </c>
    </row>
    <row r="82" spans="1:6" ht="15" thickBot="1" x14ac:dyDescent="0.45">
      <c r="A82" s="34"/>
      <c r="B82" s="73" t="s">
        <v>3</v>
      </c>
      <c r="C82" s="73"/>
      <c r="D82" s="73"/>
      <c r="E82" s="73"/>
      <c r="F82" s="34"/>
    </row>
    <row r="83" spans="1:6" ht="15" thickBot="1" x14ac:dyDescent="0.45">
      <c r="A83" s="35" t="s">
        <v>4</v>
      </c>
      <c r="B83" s="8">
        <v>2021</v>
      </c>
      <c r="C83" s="8">
        <v>2022</v>
      </c>
      <c r="D83" s="8">
        <v>2023</v>
      </c>
      <c r="E83" s="8">
        <v>2024</v>
      </c>
      <c r="F83" s="36" t="s">
        <v>18</v>
      </c>
    </row>
    <row r="84" spans="1:6" x14ac:dyDescent="0.4">
      <c r="A84" s="32" t="s">
        <v>5</v>
      </c>
      <c r="B84" s="16">
        <v>118.18600000000001</v>
      </c>
      <c r="C84" s="16">
        <v>74.753</v>
      </c>
      <c r="D84" s="16">
        <v>128.80199999999999</v>
      </c>
      <c r="E84" s="16">
        <v>82.938999999999993</v>
      </c>
      <c r="F84" s="17">
        <f>AVERAGE(B84:E84)</f>
        <v>101.16999999999999</v>
      </c>
    </row>
    <row r="85" spans="1:6" x14ac:dyDescent="0.4">
      <c r="A85" s="32" t="s">
        <v>6</v>
      </c>
      <c r="B85" s="16">
        <v>100.309</v>
      </c>
      <c r="C85" s="16">
        <v>98.667000000000002</v>
      </c>
      <c r="D85" s="16">
        <v>80.421000000000006</v>
      </c>
      <c r="E85" s="16">
        <v>176.49799999999999</v>
      </c>
      <c r="F85" s="17">
        <f t="shared" ref="F85:F91" si="23">AVERAGE(B85:E85)</f>
        <v>113.97375</v>
      </c>
    </row>
    <row r="86" spans="1:6" x14ac:dyDescent="0.4">
      <c r="A86" s="32" t="s">
        <v>0</v>
      </c>
      <c r="B86" s="16">
        <v>412.13499999999999</v>
      </c>
      <c r="C86" s="16">
        <v>364.16500000000002</v>
      </c>
      <c r="D86" s="16">
        <v>436.50100000000003</v>
      </c>
      <c r="E86" s="16">
        <v>488.67599999999999</v>
      </c>
      <c r="F86" s="17">
        <f t="shared" si="23"/>
        <v>425.36924999999997</v>
      </c>
    </row>
    <row r="87" spans="1:6" x14ac:dyDescent="0.4">
      <c r="A87" s="32" t="s">
        <v>7</v>
      </c>
      <c r="B87" s="16">
        <v>71.613</v>
      </c>
      <c r="C87" s="16">
        <v>36.423000000000002</v>
      </c>
      <c r="D87" s="16">
        <v>27.530999999999999</v>
      </c>
      <c r="E87" s="16">
        <v>26.783999999999999</v>
      </c>
      <c r="F87" s="17">
        <f t="shared" si="23"/>
        <v>40.58775</v>
      </c>
    </row>
    <row r="88" spans="1:6" x14ac:dyDescent="0.4">
      <c r="A88" s="32" t="s">
        <v>8</v>
      </c>
      <c r="B88" s="16">
        <v>89.24</v>
      </c>
      <c r="C88" s="16">
        <v>79.738</v>
      </c>
      <c r="D88" s="16">
        <v>110.13000000000001</v>
      </c>
      <c r="E88" s="16">
        <v>110.13000000000001</v>
      </c>
      <c r="F88" s="17">
        <f t="shared" si="23"/>
        <v>97.3095</v>
      </c>
    </row>
    <row r="89" spans="1:6" x14ac:dyDescent="0.4">
      <c r="A89" s="32" t="s">
        <v>9</v>
      </c>
      <c r="B89" s="16">
        <v>36.92</v>
      </c>
      <c r="C89" s="16">
        <v>53.64</v>
      </c>
      <c r="D89" s="16">
        <v>53.64</v>
      </c>
      <c r="E89" s="16">
        <v>53.64</v>
      </c>
      <c r="F89" s="17">
        <f t="shared" si="23"/>
        <v>49.459999999999994</v>
      </c>
    </row>
    <row r="90" spans="1:6" ht="15" thickBot="1" x14ac:dyDescent="0.45">
      <c r="A90" s="33" t="s">
        <v>10</v>
      </c>
      <c r="B90" s="19">
        <v>58.08</v>
      </c>
      <c r="C90" s="19">
        <v>84.36</v>
      </c>
      <c r="D90" s="19">
        <v>84.36</v>
      </c>
      <c r="E90" s="19">
        <v>84.36</v>
      </c>
      <c r="F90" s="20">
        <f t="shared" si="23"/>
        <v>77.790000000000006</v>
      </c>
    </row>
    <row r="91" spans="1:6" ht="15" thickBot="1" x14ac:dyDescent="0.45">
      <c r="A91" s="33" t="s">
        <v>19</v>
      </c>
      <c r="B91" s="19">
        <f>SUM(B84:B90)</f>
        <v>886.48299999999995</v>
      </c>
      <c r="C91" s="19">
        <f t="shared" ref="C91:E91" si="24">SUM(C84:C90)</f>
        <v>791.74600000000009</v>
      </c>
      <c r="D91" s="19">
        <f t="shared" si="24"/>
        <v>921.38499999999999</v>
      </c>
      <c r="E91" s="19">
        <f t="shared" si="24"/>
        <v>1023.027</v>
      </c>
      <c r="F91" s="20">
        <f t="shared" si="23"/>
        <v>905.66025000000002</v>
      </c>
    </row>
  </sheetData>
  <mergeCells count="5">
    <mergeCell ref="B20:E20"/>
    <mergeCell ref="B36:E36"/>
    <mergeCell ref="B53:E53"/>
    <mergeCell ref="B71:E71"/>
    <mergeCell ref="B82:E8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2021-2024-mls-catch</vt:lpstr>
      <vt:lpstr>2021-2024-mls-catch-us-longline</vt:lpstr>
      <vt:lpstr>2021-2024-mls-catch-us-yearbook</vt:lpstr>
      <vt:lpstr>table</vt:lpstr>
      <vt:lpstr>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Brodziak</dc:creator>
  <cp:lastModifiedBy>Jon Brodziak</cp:lastModifiedBy>
  <cp:lastPrinted>2025-04-30T02:54:18Z</cp:lastPrinted>
  <dcterms:created xsi:type="dcterms:W3CDTF">2025-02-26T01:03:40Z</dcterms:created>
  <dcterms:modified xsi:type="dcterms:W3CDTF">2025-05-02T02:59:51Z</dcterms:modified>
</cp:coreProperties>
</file>