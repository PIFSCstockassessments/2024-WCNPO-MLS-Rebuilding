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data\US Catch\"/>
    </mc:Choice>
  </mc:AlternateContent>
  <xr:revisionPtr revIDLastSave="0" documentId="13_ncr:1_{E2D5E3BE-3EA7-4C62-B0A1-3000D869B0A8}" xr6:coauthVersionLast="47" xr6:coauthVersionMax="47" xr10:uidLastSave="{00000000-0000-0000-0000-000000000000}"/>
  <bookViews>
    <workbookView xWindow="-103" yWindow="-103" windowWidth="16663" windowHeight="8863" xr2:uid="{B7E737E3-9C19-4BAF-A933-783AA9D546EB}"/>
  </bookViews>
  <sheets>
    <sheet name="US WCNPO MLS Catch" sheetId="6" r:id="rId1"/>
    <sheet name="HI Longline MLS" sheetId="8" r:id="rId2"/>
    <sheet name="HI HDAR Non-Longline Catch" sheetId="9" r:id="rId3"/>
    <sheet name="US Yearbook Catch" sheetId="4" r:id="rId4"/>
    <sheet name="HI Dealer Non-Longline Catch" sheetId="7" r:id="rId5"/>
    <sheet name="HI MRIP Catch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F7" i="4"/>
  <c r="F6" i="4"/>
  <c r="F5" i="4"/>
  <c r="F4" i="4"/>
  <c r="G18" i="6" l="1"/>
  <c r="G17" i="6"/>
  <c r="G9" i="6"/>
  <c r="G8" i="6"/>
  <c r="F5" i="6"/>
  <c r="F4" i="6"/>
  <c r="B10" i="6"/>
  <c r="I6" i="9"/>
  <c r="I5" i="9"/>
  <c r="I4" i="9"/>
  <c r="I3" i="9"/>
  <c r="I2" i="9"/>
  <c r="B13" i="9" s="1" a="1"/>
  <c r="B13" i="9" s="1"/>
  <c r="G6" i="9"/>
  <c r="G5" i="9"/>
  <c r="G4" i="9"/>
  <c r="G3" i="9"/>
  <c r="G2" i="9"/>
  <c r="F10" i="6"/>
  <c r="E10" i="6"/>
  <c r="D10" i="6"/>
  <c r="C10" i="6"/>
  <c r="K6" i="9"/>
  <c r="K5" i="9"/>
  <c r="K4" i="9"/>
  <c r="K3" i="9"/>
  <c r="K2" i="9"/>
  <c r="E6" i="9"/>
  <c r="E5" i="9"/>
  <c r="E4" i="9"/>
  <c r="E3" i="9"/>
  <c r="E2" i="9"/>
  <c r="D7" i="8" a="1"/>
  <c r="D7" i="8" s="1"/>
  <c r="D12" i="8" s="1"/>
  <c r="H6" i="8"/>
  <c r="H5" i="8"/>
  <c r="H4" i="8"/>
  <c r="H3" i="8"/>
  <c r="H2" i="8"/>
  <c r="D18" i="8" s="1" a="1"/>
  <c r="D18" i="8" s="1"/>
  <c r="E6" i="6"/>
  <c r="D6" i="6"/>
  <c r="C6" i="6"/>
  <c r="B6" i="6"/>
  <c r="L3" i="6" s="1" a="1"/>
  <c r="H2" i="7" a="1"/>
  <c r="H2" i="7"/>
  <c r="I2" i="7"/>
  <c r="J2" i="7"/>
  <c r="K2" i="7"/>
  <c r="F6" i="7"/>
  <c r="F5" i="7"/>
  <c r="F4" i="7"/>
  <c r="F3" i="7"/>
  <c r="F2" i="7"/>
  <c r="E24" i="4"/>
  <c r="D24" i="4"/>
  <c r="C24" i="4"/>
  <c r="B24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E21" i="4" s="1"/>
  <c r="D17" i="4"/>
  <c r="D21" i="4" s="1"/>
  <c r="C17" i="4"/>
  <c r="C21" i="4" s="1"/>
  <c r="B17" i="4"/>
  <c r="B21" i="4" s="1"/>
  <c r="B10" i="4" a="1"/>
  <c r="D11" i="4" s="1"/>
  <c r="F6" i="6" l="1"/>
  <c r="L3" i="6"/>
  <c r="M3" i="6"/>
  <c r="N3" i="6"/>
  <c r="L4" i="6"/>
  <c r="M4" i="6"/>
  <c r="N4" i="6"/>
  <c r="L5" i="6"/>
  <c r="M5" i="6"/>
  <c r="N5" i="6"/>
  <c r="L6" i="6"/>
  <c r="N6" i="6"/>
  <c r="M6" i="6"/>
  <c r="G10" i="6"/>
  <c r="B12" i="9" a="1"/>
  <c r="B12" i="9" s="1"/>
  <c r="B18" i="9" a="1"/>
  <c r="D18" i="9" s="1"/>
  <c r="G12" i="8"/>
  <c r="D13" i="9"/>
  <c r="C13" i="9"/>
  <c r="F13" i="9"/>
  <c r="E13" i="9"/>
  <c r="B11" i="9" a="1"/>
  <c r="B11" i="9" s="1"/>
  <c r="H12" i="8"/>
  <c r="E12" i="8"/>
  <c r="F12" i="8"/>
  <c r="B10" i="4"/>
  <c r="B11" i="4" s="1"/>
  <c r="C11" i="4"/>
  <c r="E11" i="4"/>
  <c r="F12" i="9" l="1"/>
  <c r="C12" i="9"/>
  <c r="D12" i="9"/>
  <c r="E12" i="9"/>
  <c r="F18" i="9"/>
  <c r="E18" i="9"/>
  <c r="C18" i="9"/>
  <c r="B18" i="9"/>
  <c r="C11" i="9"/>
  <c r="D11" i="9"/>
  <c r="E11" i="9"/>
  <c r="F1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<sst xmlns="http://schemas.openxmlformats.org/spreadsheetml/2006/main" count="567" uniqueCount="155">
  <si>
    <t>report_year</t>
  </si>
  <si>
    <t>species_id</t>
  </si>
  <si>
    <t>display_name</t>
  </si>
  <si>
    <t>catch_kgs</t>
  </si>
  <si>
    <t>Striped Marlin</t>
  </si>
  <si>
    <t>LANDING_YEAR</t>
  </si>
  <si>
    <t>BEGIN_SET_QUADRANT</t>
  </si>
  <si>
    <t>SPECIES</t>
  </si>
  <si>
    <t>ENGLISH_NAME</t>
  </si>
  <si>
    <t>RETAINED_LBS</t>
  </si>
  <si>
    <t>RETAINED_KG</t>
  </si>
  <si>
    <t>FROM_FILE</t>
  </si>
  <si>
    <t>2020</t>
  </si>
  <si>
    <t>WCPFC-N</t>
  </si>
  <si>
    <t xml:space="preserve"> 2</t>
  </si>
  <si>
    <t>STRIPED MARLIN</t>
  </si>
  <si>
    <t>LLDS.LLDS_DETAIL_20250224HI</t>
  </si>
  <si>
    <t>2021</t>
  </si>
  <si>
    <t>2022</t>
  </si>
  <si>
    <t>2023</t>
  </si>
  <si>
    <t>2024</t>
  </si>
  <si>
    <t>Marine Recreational Information Program Query Results</t>
  </si>
  <si>
    <t>Your Query Parameters:</t>
  </si>
  <si>
    <t>Query: MRIP CATCH TIME SERIES</t>
  </si>
  <si>
    <t>Year: 1981 - 2024</t>
  </si>
  <si>
    <t>Summary:ANNUAL</t>
  </si>
  <si>
    <t>Fishing Year: CALENDAR YEAR (JANUARY 1 - DECEMBER 31)</t>
  </si>
  <si>
    <t>Geographic Area: HAWAII</t>
  </si>
  <si>
    <t xml:space="preserve">Species: STRIPED MARLIN                                                                                                                                                                                          </t>
  </si>
  <si>
    <t>Fishing Mode: ALL MODES COMBINED</t>
  </si>
  <si>
    <t>Fishing Area: ALL AREAS COMBINED</t>
  </si>
  <si>
    <t>Type of Catch: HARVEST (TYPE A + B1)</t>
  </si>
  <si>
    <t>Information:</t>
  </si>
  <si>
    <t>NUMBERS OF FISH</t>
  </si>
  <si>
    <t>WEIGHT OF FISH (KILOGRAMS)</t>
  </si>
  <si>
    <t>MRIP does not support the use of estimates with a percent standard error above 50 and in those instances</t>
  </si>
  <si>
    <t xml:space="preserve"> recommends considering higher levels of aggregation (e.g.</t>
  </si>
  <si>
    <t xml:space="preserve"> geographic regions</t>
  </si>
  <si>
    <t xml:space="preserve"> or fishing modes).</t>
  </si>
  <si>
    <t>Results from 1981-2017 contain estimates resulting from the full application of both the Access Point Angler Intercept Survey (APAIS) and Fishing Effort Survey (FES) calibration.</t>
  </si>
  <si>
    <t>As of 2018 wave 1</t>
  </si>
  <si>
    <t xml:space="preserve"> all estimates of shore and private/rental boat fishing effort are now based on the FES.</t>
  </si>
  <si>
    <t>MRIP estimates for Louisiana are not available after 2013. State produced estimates are available through the MRIP National Query. For more information on state run surveys and estimates</t>
  </si>
  <si>
    <t xml:space="preserve"> please click &lt;a href='http://www.wlf.louisiana.gov/lacreel' target='_blank'&gt;here&lt;/a&gt;.</t>
  </si>
  <si>
    <t>Estimates for Hawaii (prior to 2023) and Puerto Rico (prior to 2014) are based on Marine Recreational Fisheries Statistics Survey methodology and have not been calibrated.</t>
  </si>
  <si>
    <t>Beginning in 2023</t>
  </si>
  <si>
    <t xml:space="preserve"> estimates for Hawaii are produced using certified MRIP survey designs and weighted estimation methods.</t>
  </si>
  <si>
    <t>As part of the government's guidelines for statistical programs</t>
  </si>
  <si>
    <t xml:space="preserve"> the Office of Management and Budget requires federal agencies to establish their own criteria for statistical precision (Standard 4.1.5 in OMB Standards and Guidelines for Statistical Surveys)</t>
  </si>
  <si>
    <t>Upper and lower confidence limits are calculated using a standard 95% confidence interval. The lower 95% confidence interval is truncated at 0 to match graph output.</t>
  </si>
  <si>
    <t>&lt;a href='https://www.fisheries.noaa.gov/recreational-fishing-data/recreational-fishing-data-glossary#percent-standard-error-(pse)' target='_blank'&gt;&lt;b&gt;PSE&lt;/b&gt;&lt;/a&gt;</t>
  </si>
  <si>
    <t xml:space="preserve"> or percent standard error</t>
  </si>
  <si>
    <t xml:space="preserve"> or PSE</t>
  </si>
  <si>
    <t xml:space="preserve"> the larger the margin of error around the estimate</t>
  </si>
  <si>
    <t xml:space="preserve"> which means there is more uncertainty in the estimate.</t>
  </si>
  <si>
    <t>Estimates with a percent standard error exceeding 50 are not statistically different from zero using a standard 95% confidence interval.  Note this significance comparison is not suggesting these estimates all equal zero</t>
  </si>
  <si>
    <t xml:space="preserve"> but is rather intended to illustrate their high uncertainty.</t>
  </si>
  <si>
    <t>Estimate Status</t>
  </si>
  <si>
    <t>Year</t>
  </si>
  <si>
    <t>Common Name</t>
  </si>
  <si>
    <t>Cumulative Through</t>
  </si>
  <si>
    <t>PSE Total Harvest (A+B1)</t>
  </si>
  <si>
    <t>Does Total Harvest (A+B1) Meet MRIP Standard</t>
  </si>
  <si>
    <t>Is Total Harvest (A+B1) Significantly Different From 0</t>
  </si>
  <si>
    <t>Total Harvest (A+B1)</t>
  </si>
  <si>
    <t>Total Harvest (A+B1) Lower 95% Confidence Limit</t>
  </si>
  <si>
    <t>Total Harvest (A+B1) Upper 95% Confidence Limit</t>
  </si>
  <si>
    <t>PSE Harvest (A+B1) Total Weight (kg)</t>
  </si>
  <si>
    <t>Does Harvest (A+B1) Total Weight (kg) Meet MRIP Standard</t>
  </si>
  <si>
    <t>Is Harvest (A+B1) Total Weight (kg) Significantly Different From 0</t>
  </si>
  <si>
    <t>Harvest (A+B1) Total Weight (kg)</t>
  </si>
  <si>
    <t>Harvest (A+B1) Total Weight (kg) Lower 95% Confidence Limit</t>
  </si>
  <si>
    <t>Harvest (A+B1) Total Weight (kg) Upper 95% Confidence Limit</t>
  </si>
  <si>
    <t>Landings (no.) without Size Information</t>
  </si>
  <si>
    <t>** Contribution of Imputed Data to Total Harvest Rate</t>
  </si>
  <si>
    <t>** Contribution of Imputed Data to Total Harvest Rate (kg)</t>
  </si>
  <si>
    <t>FINAL</t>
  </si>
  <si>
    <t>ANNUAL</t>
  </si>
  <si>
    <t>CAUTION</t>
  </si>
  <si>
    <t>YES</t>
  </si>
  <si>
    <t>NO</t>
  </si>
  <si>
    <t>.</t>
  </si>
  <si>
    <t>PRELIMINARY</t>
  </si>
  <si>
    <t>YEAR</t>
  </si>
  <si>
    <t>FLEET GROUP</t>
  </si>
  <si>
    <t>SS3 FLEET</t>
  </si>
  <si>
    <t>YY</t>
  </si>
  <si>
    <t>FLAG_CODE</t>
  </si>
  <si>
    <t>SP_MT</t>
  </si>
  <si>
    <t>G3</t>
  </si>
  <si>
    <t>F21</t>
  </si>
  <si>
    <t>CN</t>
  </si>
  <si>
    <t>G8</t>
  </si>
  <si>
    <t>FM</t>
  </si>
  <si>
    <t>KI</t>
  </si>
  <si>
    <t>G9</t>
  </si>
  <si>
    <t>KR</t>
  </si>
  <si>
    <t>JPN</t>
  </si>
  <si>
    <t>MH</t>
  </si>
  <si>
    <t>TOTAL</t>
  </si>
  <si>
    <t>NR</t>
  </si>
  <si>
    <t>VU</t>
  </si>
  <si>
    <t>F16</t>
  </si>
  <si>
    <t>US</t>
  </si>
  <si>
    <t>F17</t>
  </si>
  <si>
    <t>F18</t>
  </si>
  <si>
    <t>TW</t>
  </si>
  <si>
    <t>F19</t>
  </si>
  <si>
    <t>WCPFC 2024 YEARBOOK MLS CATCH BIOMASS (MT)</t>
  </si>
  <si>
    <t>DGN</t>
  </si>
  <si>
    <t>JP</t>
  </si>
  <si>
    <t>LL_JP</t>
  </si>
  <si>
    <t>LL_CS</t>
  </si>
  <si>
    <t>F15</t>
  </si>
  <si>
    <t>CHECKSUM</t>
  </si>
  <si>
    <t>Source</t>
  </si>
  <si>
    <t>HI Longline Catch</t>
  </si>
  <si>
    <t>HI HDAR Non-Longline Catch</t>
  </si>
  <si>
    <t>SPECIES_NAME</t>
  </si>
  <si>
    <t>sold_kgs</t>
  </si>
  <si>
    <t>est_kgs</t>
  </si>
  <si>
    <t>WCNPO MLS Mean Fish Weight (kg)</t>
  </si>
  <si>
    <t>NUMBER_RETAINED</t>
  </si>
  <si>
    <t>Mean Weight (kg)</t>
  </si>
  <si>
    <t>sold_est_kgs</t>
  </si>
  <si>
    <t>number_caught</t>
  </si>
  <si>
    <t>mean weight (kg)</t>
  </si>
  <si>
    <t>Catch (mt)</t>
  </si>
  <si>
    <t>WCPFC-North US-AS Yearbook Catch</t>
  </si>
  <si>
    <t>WCPFC-North US-HW Yearbook Catch</t>
  </si>
  <si>
    <t>Dealer Sold</t>
  </si>
  <si>
    <t>Dealer Estimated</t>
  </si>
  <si>
    <t>Sold (mt)</t>
  </si>
  <si>
    <t>Sold (mt, wet)</t>
  </si>
  <si>
    <t>Average</t>
  </si>
  <si>
    <t>WCNPO MLS Catch Biomass (mt) for US Vessels</t>
  </si>
  <si>
    <t>WCPFC-North US Yearbook Total Catch (mt)</t>
  </si>
  <si>
    <t>USA Hawaii Longline MLS Mean Weight (kg)</t>
  </si>
  <si>
    <t>USA Hawaii Longline MLS Catch Biomass (mt)</t>
  </si>
  <si>
    <t>HDAR Non-Longline Catch</t>
  </si>
  <si>
    <t>USA Non-Longline MLS Catch Biomass (mt)</t>
  </si>
  <si>
    <t>USA Non-Longline MLS Mean Weight (kg)</t>
  </si>
  <si>
    <t>Data Source</t>
  </si>
  <si>
    <t>WCNPO MLS Catch Biomass (mt) from WCPFC 2024 Yearbook</t>
  </si>
  <si>
    <t>Fleet Group</t>
  </si>
  <si>
    <t>Total</t>
  </si>
  <si>
    <t>American Samoa LL*</t>
  </si>
  <si>
    <t>G8 + AmSam LL*</t>
  </si>
  <si>
    <t>AS Yearbook catch is from the South Pacific</t>
  </si>
  <si>
    <t>HI Longline</t>
  </si>
  <si>
    <t>HI Non-Longline</t>
  </si>
  <si>
    <t>US Total</t>
  </si>
  <si>
    <t>Hawaii Commerical Longline Catch (mt)</t>
  </si>
  <si>
    <t>Hawaii Recreational Catch (mt)</t>
  </si>
  <si>
    <t>Total U.S. WCNPO Striped Marlin Catch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</si>
</sst>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00"/>
    <numFmt numFmtId="166" formatCode="0.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167" fontId="2" fillId="0" borderId="0" xfId="1" applyNumberFormat="1" applyFont="1"/>
    <xf numFmtId="3" fontId="3" fillId="0" borderId="0" xfId="1" applyNumberFormat="1" applyFont="1"/>
    <xf numFmtId="167" fontId="3" fillId="0" borderId="0" xfId="1" applyNumberFormat="1" applyFont="1"/>
    <xf numFmtId="165" fontId="3" fillId="0" borderId="0" xfId="1" applyNumberFormat="1" applyFont="1" applyAlignment="1">
      <alignment horizontal="center"/>
    </xf>
    <xf numFmtId="167" fontId="1" fillId="0" borderId="0" xfId="1" applyNumberFormat="1"/>
    <xf numFmtId="164" fontId="0" fillId="0" borderId="0" xfId="2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1" xfId="0" applyFill="1" applyBorder="1"/>
    <xf numFmtId="0" fontId="1" fillId="0" borderId="8" xfId="1" applyBorder="1" applyAlignment="1">
      <alignment horizontal="center"/>
    </xf>
    <xf numFmtId="0" fontId="1" fillId="0" borderId="2" xfId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0" fontId="1" fillId="0" borderId="5" xfId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0" fillId="0" borderId="8" xfId="0" applyBorder="1"/>
    <xf numFmtId="0" fontId="1" fillId="0" borderId="2" xfId="1" applyBorder="1"/>
    <xf numFmtId="167" fontId="1" fillId="0" borderId="2" xfId="1" applyNumberFormat="1" applyBorder="1"/>
    <xf numFmtId="167" fontId="1" fillId="0" borderId="9" xfId="1" applyNumberFormat="1" applyBorder="1"/>
    <xf numFmtId="0" fontId="0" fillId="0" borderId="14" xfId="0" applyBorder="1"/>
    <xf numFmtId="0" fontId="1" fillId="0" borderId="0" xfId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10" xfId="0" applyBorder="1"/>
    <xf numFmtId="166" fontId="0" fillId="0" borderId="1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2" borderId="8" xfId="0" applyFill="1" applyBorder="1"/>
    <xf numFmtId="166" fontId="0" fillId="2" borderId="8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0" fontId="1" fillId="0" borderId="8" xfId="1" applyBorder="1"/>
    <xf numFmtId="0" fontId="1" fillId="0" borderId="14" xfId="1" applyBorder="1" applyAlignment="1">
      <alignment horizontal="center"/>
    </xf>
    <xf numFmtId="0" fontId="0" fillId="0" borderId="0" xfId="0" applyBorder="1"/>
    <xf numFmtId="166" fontId="0" fillId="2" borderId="10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6" fontId="1" fillId="2" borderId="12" xfId="1" applyNumberFormat="1" applyFill="1" applyBorder="1" applyAlignment="1">
      <alignment horizontal="center"/>
    </xf>
    <xf numFmtId="166" fontId="1" fillId="2" borderId="1" xfId="1" applyNumberFormat="1" applyFill="1" applyBorder="1" applyAlignment="1">
      <alignment horizontal="center"/>
    </xf>
    <xf numFmtId="166" fontId="1" fillId="2" borderId="4" xfId="1" applyNumberFormat="1" applyFill="1" applyBorder="1" applyAlignment="1">
      <alignment horizontal="center"/>
    </xf>
    <xf numFmtId="166" fontId="1" fillId="2" borderId="13" xfId="1" applyNumberFormat="1" applyFill="1" applyBorder="1" applyAlignment="1">
      <alignment horizontal="center"/>
    </xf>
    <xf numFmtId="166" fontId="1" fillId="2" borderId="10" xfId="1" applyNumberFormat="1" applyFill="1" applyBorder="1" applyAlignment="1">
      <alignment horizontal="center"/>
    </xf>
    <xf numFmtId="166" fontId="1" fillId="2" borderId="7" xfId="1" applyNumberFormat="1" applyFill="1" applyBorder="1" applyAlignment="1">
      <alignment horizontal="center"/>
    </xf>
    <xf numFmtId="166" fontId="1" fillId="2" borderId="3" xfId="1" applyNumberFormat="1" applyFill="1" applyBorder="1" applyAlignment="1">
      <alignment horizontal="center"/>
    </xf>
    <xf numFmtId="166" fontId="1" fillId="2" borderId="11" xfId="1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0" fillId="2" borderId="5" xfId="0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6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3">
    <cellStyle name="Comma 2" xfId="2" xr:uid="{A7056C68-9373-4C01-9897-1504C12B3128}"/>
    <cellStyle name="Normal" xfId="0" builtinId="0"/>
    <cellStyle name="Normal 2" xfId="1" xr:uid="{A74F5390-7176-40A8-8E28-1026D1449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.brodziak/Desktop/2024%20WCNPO%20MLS%20Rebuilding/2025%20MLS%20projections/WCPFC%20Yearbook%20Catch/NorthWCP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MLS Yearbook 2020-2024"/>
      <sheetName val="MLS"/>
      <sheetName val="XLS_NorthWCPFC"/>
    </sheetNames>
    <sheetDataSet>
      <sheetData sheetId="0"/>
      <sheetData sheetId="1">
        <row r="62">
          <cell r="I62">
            <v>47</v>
          </cell>
        </row>
        <row r="63">
          <cell r="I63">
            <v>30</v>
          </cell>
        </row>
        <row r="64">
          <cell r="I64">
            <v>25</v>
          </cell>
        </row>
        <row r="65">
          <cell r="I65">
            <v>13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932-2198-43AE-B9F3-6922A95BD202}">
  <dimension ref="A1:O18"/>
  <sheetViews>
    <sheetView tabSelected="1" workbookViewId="0">
      <selection activeCell="J8" sqref="J8"/>
    </sheetView>
  </sheetViews>
  <sheetFormatPr defaultRowHeight="14.6" x14ac:dyDescent="0.4"/>
  <cols>
    <col min="1" max="1" width="21.69140625" customWidth="1"/>
    <col min="13" max="13" width="10.921875" customWidth="1"/>
    <col min="14" max="14" width="14.69140625" customWidth="1"/>
  </cols>
  <sheetData>
    <row r="1" spans="1:15" ht="20.6" x14ac:dyDescent="0.55000000000000004">
      <c r="A1" s="8" t="s">
        <v>135</v>
      </c>
    </row>
    <row r="2" spans="1:15" ht="15" thickBot="1" x14ac:dyDescent="0.45">
      <c r="B2" s="99" t="s">
        <v>58</v>
      </c>
      <c r="C2" s="99"/>
      <c r="D2" s="99"/>
      <c r="E2" s="99"/>
      <c r="F2" s="99"/>
      <c r="M2" t="s">
        <v>149</v>
      </c>
      <c r="N2" t="s">
        <v>150</v>
      </c>
      <c r="O2" t="s">
        <v>151</v>
      </c>
    </row>
    <row r="3" spans="1:15" ht="15" thickBot="1" x14ac:dyDescent="0.45">
      <c r="A3" s="32" t="s">
        <v>115</v>
      </c>
      <c r="B3" s="98">
        <v>2021</v>
      </c>
      <c r="C3" s="24">
        <v>2022</v>
      </c>
      <c r="D3" s="98">
        <v>2023</v>
      </c>
      <c r="E3" s="24">
        <v>2024</v>
      </c>
      <c r="F3" s="32" t="s">
        <v>134</v>
      </c>
      <c r="K3">
        <v>2021</v>
      </c>
      <c r="L3">
        <f t="array" ref="L3:N6">TRANSPOSE(B4:E6)</f>
        <v>256.49358231668299</v>
      </c>
      <c r="M3">
        <v>8.82</v>
      </c>
      <c r="N3">
        <v>265.31358231668298</v>
      </c>
    </row>
    <row r="4" spans="1:15" ht="29.6" thickBot="1" x14ac:dyDescent="0.45">
      <c r="A4" s="96" t="s">
        <v>152</v>
      </c>
      <c r="B4" s="33">
        <v>256.49358231668299</v>
      </c>
      <c r="C4" s="97">
        <v>288.540794295973</v>
      </c>
      <c r="D4" s="33">
        <v>207.28263460981</v>
      </c>
      <c r="E4" s="97">
        <v>565.12376371508105</v>
      </c>
      <c r="F4" s="33">
        <f>AVERAGE(B4:E4)</f>
        <v>329.36019373438671</v>
      </c>
      <c r="K4">
        <v>2022</v>
      </c>
      <c r="L4">
        <v>288.540794295973</v>
      </c>
      <c r="M4">
        <v>9.5850000000000009</v>
      </c>
      <c r="N4">
        <v>298.12579429597298</v>
      </c>
    </row>
    <row r="5" spans="1:15" ht="29.6" thickBot="1" x14ac:dyDescent="0.45">
      <c r="A5" s="94" t="s">
        <v>153</v>
      </c>
      <c r="B5" s="30">
        <v>8.82</v>
      </c>
      <c r="C5" s="21">
        <v>9.5850000000000009</v>
      </c>
      <c r="D5" s="30">
        <v>6.7430000000000003</v>
      </c>
      <c r="E5" s="21">
        <v>18.591000000000001</v>
      </c>
      <c r="F5" s="30">
        <f>AVERAGE(B5:E5)</f>
        <v>10.934750000000001</v>
      </c>
      <c r="K5">
        <v>2023</v>
      </c>
      <c r="L5">
        <v>207.28263460981</v>
      </c>
      <c r="M5">
        <v>6.7430000000000003</v>
      </c>
      <c r="N5">
        <v>214.02563460981</v>
      </c>
    </row>
    <row r="6" spans="1:15" ht="32.15" customHeight="1" thickBot="1" x14ac:dyDescent="0.45">
      <c r="A6" s="95" t="s">
        <v>154</v>
      </c>
      <c r="B6" s="90">
        <f>B4+B5</f>
        <v>265.31358231668298</v>
      </c>
      <c r="C6" s="89">
        <f>C4+C5</f>
        <v>298.12579429597298</v>
      </c>
      <c r="D6" s="90">
        <f>D4+D5</f>
        <v>214.02563460981</v>
      </c>
      <c r="E6" s="89">
        <f>E4+E5</f>
        <v>583.71476371508106</v>
      </c>
      <c r="F6" s="90">
        <f>AVERAGE(B6:E6)</f>
        <v>340.29494373438672</v>
      </c>
      <c r="K6">
        <v>2024</v>
      </c>
      <c r="L6">
        <v>565.12376371508105</v>
      </c>
      <c r="M6">
        <v>18.591000000000001</v>
      </c>
      <c r="N6">
        <v>583.71476371508106</v>
      </c>
    </row>
    <row r="7" spans="1:15" ht="15" thickBot="1" x14ac:dyDescent="0.45">
      <c r="A7" s="5"/>
      <c r="B7" s="6"/>
      <c r="C7" s="10"/>
      <c r="D7" s="10"/>
      <c r="E7" s="10"/>
      <c r="F7" s="10"/>
    </row>
    <row r="8" spans="1:15" ht="58.3" x14ac:dyDescent="0.4">
      <c r="A8" s="91" t="s">
        <v>129</v>
      </c>
      <c r="B8" s="85">
        <v>250</v>
      </c>
      <c r="C8" s="85">
        <v>207</v>
      </c>
      <c r="D8" s="85">
        <v>239</v>
      </c>
      <c r="E8" s="85">
        <v>175</v>
      </c>
      <c r="F8" s="85">
        <v>175</v>
      </c>
      <c r="G8" s="86">
        <f t="shared" ref="G8:G10" si="0">AVERAGE(B8:F8)</f>
        <v>209.2</v>
      </c>
    </row>
    <row r="9" spans="1:15" ht="58.75" thickBot="1" x14ac:dyDescent="0.45">
      <c r="A9" s="92" t="s">
        <v>128</v>
      </c>
      <c r="B9" s="87">
        <v>47</v>
      </c>
      <c r="C9" s="87">
        <v>30</v>
      </c>
      <c r="D9" s="87">
        <v>25</v>
      </c>
      <c r="E9" s="87">
        <v>13</v>
      </c>
      <c r="F9" s="87">
        <v>13</v>
      </c>
      <c r="G9" s="88">
        <f t="shared" si="0"/>
        <v>25.6</v>
      </c>
      <c r="H9" t="s">
        <v>148</v>
      </c>
    </row>
    <row r="10" spans="1:15" ht="44.15" thickBot="1" x14ac:dyDescent="0.45">
      <c r="A10" s="93" t="s">
        <v>136</v>
      </c>
      <c r="B10" s="23">
        <f>SUM(B8:B9)</f>
        <v>297</v>
      </c>
      <c r="C10" s="23">
        <f>SUM(C8:C9)</f>
        <v>237</v>
      </c>
      <c r="D10" s="23">
        <f t="shared" ref="D10:F10" si="1">SUM(D8:D9)</f>
        <v>264</v>
      </c>
      <c r="E10" s="23">
        <f t="shared" si="1"/>
        <v>188</v>
      </c>
      <c r="F10" s="23">
        <f t="shared" si="1"/>
        <v>188</v>
      </c>
      <c r="G10" s="33">
        <f t="shared" si="0"/>
        <v>234.8</v>
      </c>
    </row>
    <row r="14" spans="1:15" ht="20.6" x14ac:dyDescent="0.55000000000000004">
      <c r="A14" s="8" t="s">
        <v>121</v>
      </c>
    </row>
    <row r="15" spans="1:15" ht="15" thickBot="1" x14ac:dyDescent="0.45">
      <c r="C15" s="9" t="s">
        <v>58</v>
      </c>
      <c r="D15" s="9"/>
      <c r="E15" s="9"/>
      <c r="F15" s="9"/>
    </row>
    <row r="16" spans="1:15" ht="15" thickBot="1" x14ac:dyDescent="0.45">
      <c r="A16" s="26" t="s">
        <v>115</v>
      </c>
      <c r="B16" s="23">
        <v>2020</v>
      </c>
      <c r="C16" s="24">
        <v>2021</v>
      </c>
      <c r="D16" s="24">
        <v>2022</v>
      </c>
      <c r="E16" s="24">
        <v>2023</v>
      </c>
      <c r="F16" s="24">
        <v>2024</v>
      </c>
      <c r="G16" s="32" t="s">
        <v>134</v>
      </c>
    </row>
    <row r="17" spans="1:7" x14ac:dyDescent="0.4">
      <c r="A17" s="27" t="s">
        <v>116</v>
      </c>
      <c r="B17" s="20">
        <v>29.863879490976426</v>
      </c>
      <c r="C17" s="20">
        <v>28.703399990676253</v>
      </c>
      <c r="D17" s="20">
        <v>27.90260074421942</v>
      </c>
      <c r="E17" s="20">
        <v>31.473221167599451</v>
      </c>
      <c r="F17" s="20">
        <v>24.196085105115646</v>
      </c>
      <c r="G17" s="29">
        <f t="shared" ref="G17:G18" si="2">AVERAGE(B17:F17)</f>
        <v>28.427837299717435</v>
      </c>
    </row>
    <row r="18" spans="1:7" ht="15" thickBot="1" x14ac:dyDescent="0.45">
      <c r="A18" s="28" t="s">
        <v>117</v>
      </c>
      <c r="B18" s="22">
        <v>33.374581939799334</v>
      </c>
      <c r="C18" s="22">
        <v>36.75</v>
      </c>
      <c r="D18" s="22">
        <v>31.120129870129869</v>
      </c>
      <c r="E18" s="22">
        <v>32.109523809523807</v>
      </c>
      <c r="F18" s="22">
        <v>25.965083798882681</v>
      </c>
      <c r="G18" s="31">
        <f t="shared" si="2"/>
        <v>31.863863883667136</v>
      </c>
    </row>
  </sheetData>
  <mergeCells count="1">
    <mergeCell ref="B2:F2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545D-5FD6-476F-AA31-3EC8815FAC30}">
  <dimension ref="A1:I18"/>
  <sheetViews>
    <sheetView workbookViewId="0">
      <selection activeCell="B9" sqref="B9"/>
    </sheetView>
  </sheetViews>
  <sheetFormatPr defaultRowHeight="14.6" x14ac:dyDescent="0.4"/>
  <cols>
    <col min="1" max="1" width="15" style="2" bestFit="1" customWidth="1"/>
    <col min="2" max="2" width="22.3046875" style="2" bestFit="1" customWidth="1"/>
    <col min="3" max="3" width="7.84375" style="2" bestFit="1" customWidth="1"/>
    <col min="4" max="4" width="15.69140625" style="2" bestFit="1" customWidth="1"/>
    <col min="5" max="5" width="19" style="2" bestFit="1" customWidth="1"/>
    <col min="6" max="6" width="13.84375" style="15" bestFit="1" customWidth="1"/>
    <col min="7" max="7" width="13.3828125" style="15" bestFit="1" customWidth="1"/>
    <col min="8" max="8" width="16.765625" style="15" customWidth="1"/>
    <col min="9" max="9" width="28" style="2" bestFit="1" customWidth="1"/>
    <col min="10" max="16384" width="9.23046875" style="2"/>
  </cols>
  <sheetData>
    <row r="1" spans="1: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122</v>
      </c>
      <c r="F1" s="11" t="s">
        <v>9</v>
      </c>
      <c r="G1" s="11" t="s">
        <v>10</v>
      </c>
      <c r="H1" s="11" t="s">
        <v>123</v>
      </c>
      <c r="I1" s="1" t="s">
        <v>11</v>
      </c>
    </row>
    <row r="2" spans="1:9" x14ac:dyDescent="0.4">
      <c r="A2" s="3" t="s">
        <v>12</v>
      </c>
      <c r="B2" s="3" t="s">
        <v>13</v>
      </c>
      <c r="C2" s="3" t="s">
        <v>14</v>
      </c>
      <c r="D2" s="3" t="s">
        <v>15</v>
      </c>
      <c r="E2" s="12">
        <v>10817</v>
      </c>
      <c r="F2" s="13">
        <v>712176.07629999996</v>
      </c>
      <c r="G2" s="13">
        <v>323037.58445389202</v>
      </c>
      <c r="H2" s="14">
        <f>G2/E2</f>
        <v>29.863879490976426</v>
      </c>
      <c r="I2" s="3" t="s">
        <v>16</v>
      </c>
    </row>
    <row r="3" spans="1:9" x14ac:dyDescent="0.4">
      <c r="A3" s="3" t="s">
        <v>17</v>
      </c>
      <c r="B3" s="3" t="s">
        <v>13</v>
      </c>
      <c r="C3" s="3" t="s">
        <v>14</v>
      </c>
      <c r="D3" s="3" t="s">
        <v>15</v>
      </c>
      <c r="E3" s="12">
        <v>8936</v>
      </c>
      <c r="F3" s="13">
        <v>565471.64119999995</v>
      </c>
      <c r="G3" s="13">
        <v>256493.58231668299</v>
      </c>
      <c r="H3" s="14">
        <f t="shared" ref="H3:H6" si="0">G3/E3</f>
        <v>28.703399990676253</v>
      </c>
      <c r="I3" s="3" t="s">
        <v>16</v>
      </c>
    </row>
    <row r="4" spans="1:9" x14ac:dyDescent="0.4">
      <c r="A4" s="3" t="s">
        <v>18</v>
      </c>
      <c r="B4" s="3" t="s">
        <v>13</v>
      </c>
      <c r="C4" s="3" t="s">
        <v>14</v>
      </c>
      <c r="D4" s="3" t="s">
        <v>15</v>
      </c>
      <c r="E4" s="12">
        <v>10341</v>
      </c>
      <c r="F4" s="13">
        <v>636123.66059999994</v>
      </c>
      <c r="G4" s="13">
        <v>288540.79429597303</v>
      </c>
      <c r="H4" s="14">
        <f t="shared" si="0"/>
        <v>27.90260074421942</v>
      </c>
      <c r="I4" s="3" t="s">
        <v>16</v>
      </c>
    </row>
    <row r="5" spans="1:9" x14ac:dyDescent="0.4">
      <c r="A5" s="3" t="s">
        <v>19</v>
      </c>
      <c r="B5" s="3" t="s">
        <v>13</v>
      </c>
      <c r="C5" s="3" t="s">
        <v>14</v>
      </c>
      <c r="D5" s="3" t="s">
        <v>15</v>
      </c>
      <c r="E5" s="12">
        <v>6586</v>
      </c>
      <c r="F5" s="13">
        <v>456980.05589999998</v>
      </c>
      <c r="G5" s="13">
        <v>207282.63460980999</v>
      </c>
      <c r="H5" s="14">
        <f t="shared" si="0"/>
        <v>31.473221167599451</v>
      </c>
      <c r="I5" s="3" t="s">
        <v>16</v>
      </c>
    </row>
    <row r="6" spans="1:9" x14ac:dyDescent="0.4">
      <c r="A6" s="3" t="s">
        <v>20</v>
      </c>
      <c r="B6" s="3" t="s">
        <v>13</v>
      </c>
      <c r="C6" s="3" t="s">
        <v>14</v>
      </c>
      <c r="D6" s="3" t="s">
        <v>15</v>
      </c>
      <c r="E6" s="12">
        <v>23356</v>
      </c>
      <c r="F6" s="13">
        <v>1245884.8259000001</v>
      </c>
      <c r="G6" s="13">
        <v>565123.76371508103</v>
      </c>
      <c r="H6" s="14">
        <f t="shared" si="0"/>
        <v>24.196085105115646</v>
      </c>
      <c r="I6" s="3" t="s">
        <v>16</v>
      </c>
    </row>
    <row r="7" spans="1:9" x14ac:dyDescent="0.4">
      <c r="A7" s="3"/>
      <c r="B7" s="3"/>
      <c r="C7" s="3"/>
      <c r="D7" s="17" cm="1">
        <f t="array" ref="D7:H7">TRANSPOSE(G2:G6)</f>
        <v>323037.58445389202</v>
      </c>
      <c r="E7" s="17">
        <v>256493.58231668299</v>
      </c>
      <c r="F7" s="17">
        <v>288540.79429597303</v>
      </c>
      <c r="G7" s="17">
        <v>207282.63460980999</v>
      </c>
      <c r="H7" s="17">
        <v>565123.76371508103</v>
      </c>
      <c r="I7" s="3"/>
    </row>
    <row r="8" spans="1:9" x14ac:dyDescent="0.4">
      <c r="A8" s="3"/>
      <c r="B8" s="3"/>
      <c r="C8" s="3"/>
      <c r="D8" s="17"/>
      <c r="E8" s="17"/>
      <c r="F8" s="17"/>
      <c r="G8" s="17"/>
      <c r="H8" s="17"/>
      <c r="I8" s="3"/>
    </row>
    <row r="9" spans="1:9" ht="15" thickBot="1" x14ac:dyDescent="0.45">
      <c r="D9" s="103" t="s">
        <v>138</v>
      </c>
      <c r="E9" s="103"/>
      <c r="F9" s="103"/>
      <c r="G9" s="103"/>
      <c r="H9" s="103"/>
    </row>
    <row r="10" spans="1:9" ht="15" thickBot="1" x14ac:dyDescent="0.45">
      <c r="D10" s="100" t="s">
        <v>58</v>
      </c>
      <c r="E10" s="101"/>
      <c r="F10" s="101"/>
      <c r="G10" s="101"/>
      <c r="H10" s="102"/>
    </row>
    <row r="11" spans="1:9" ht="15" thickBot="1" x14ac:dyDescent="0.45">
      <c r="D11" s="35">
        <v>2020</v>
      </c>
      <c r="E11" s="39">
        <v>2021</v>
      </c>
      <c r="F11" s="36">
        <v>2022</v>
      </c>
      <c r="G11" s="40">
        <v>2023</v>
      </c>
      <c r="H11" s="38">
        <v>2024</v>
      </c>
    </row>
    <row r="12" spans="1:9" ht="15" thickBot="1" x14ac:dyDescent="0.45">
      <c r="D12" s="69">
        <f>D7/1000</f>
        <v>323.03758445389201</v>
      </c>
      <c r="E12" s="70">
        <f>E7/1000</f>
        <v>256.49358231668299</v>
      </c>
      <c r="F12" s="71">
        <f>F7/1000</f>
        <v>288.540794295973</v>
      </c>
      <c r="G12" s="70">
        <f>G7/1000</f>
        <v>207.28263460981</v>
      </c>
      <c r="H12" s="72">
        <f>H7/1000</f>
        <v>565.12376371508105</v>
      </c>
    </row>
    <row r="14" spans="1:9" x14ac:dyDescent="0.4">
      <c r="F14" s="2"/>
    </row>
    <row r="15" spans="1:9" ht="15" thickBot="1" x14ac:dyDescent="0.45">
      <c r="D15" s="103" t="s">
        <v>137</v>
      </c>
      <c r="E15" s="103"/>
      <c r="F15" s="103"/>
      <c r="G15" s="103"/>
      <c r="H15" s="103"/>
    </row>
    <row r="16" spans="1:9" ht="15" thickBot="1" x14ac:dyDescent="0.45">
      <c r="D16" s="100" t="s">
        <v>58</v>
      </c>
      <c r="E16" s="101"/>
      <c r="F16" s="101"/>
      <c r="G16" s="101"/>
      <c r="H16" s="102"/>
    </row>
    <row r="17" spans="4:8" ht="15" thickBot="1" x14ac:dyDescent="0.45">
      <c r="D17" s="41">
        <v>2020</v>
      </c>
      <c r="E17" s="42">
        <v>2021</v>
      </c>
      <c r="F17" s="43">
        <v>2022</v>
      </c>
      <c r="G17" s="44">
        <v>2023</v>
      </c>
      <c r="H17" s="45">
        <v>2024</v>
      </c>
    </row>
    <row r="18" spans="4:8" ht="15" thickBot="1" x14ac:dyDescent="0.45">
      <c r="D18" s="73" cm="1">
        <f t="array" ref="D18:H18">TRANSPOSE(H2:H6)</f>
        <v>29.863879490976426</v>
      </c>
      <c r="E18" s="74">
        <v>28.703399990676253</v>
      </c>
      <c r="F18" s="75">
        <v>27.90260074421942</v>
      </c>
      <c r="G18" s="74">
        <v>31.473221167599451</v>
      </c>
      <c r="H18" s="76">
        <v>24.196085105115646</v>
      </c>
    </row>
  </sheetData>
  <mergeCells count="4">
    <mergeCell ref="D10:H10"/>
    <mergeCell ref="D16:H16"/>
    <mergeCell ref="D9:H9"/>
    <mergeCell ref="D15:H15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7D5C-84CC-4206-98E0-10275D4D569C}">
  <sheetPr>
    <pageSetUpPr fitToPage="1"/>
  </sheetPr>
  <dimension ref="A1:K18"/>
  <sheetViews>
    <sheetView workbookViewId="0">
      <selection activeCell="G9" sqref="G9"/>
    </sheetView>
  </sheetViews>
  <sheetFormatPr defaultRowHeight="14.6" x14ac:dyDescent="0.4"/>
  <cols>
    <col min="1" max="1" width="23.3828125" customWidth="1"/>
    <col min="3" max="3" width="14.53515625" customWidth="1"/>
    <col min="7" max="7" width="12.84375" customWidth="1"/>
    <col min="8" max="8" width="12" customWidth="1"/>
    <col min="9" max="9" width="13.53515625" customWidth="1"/>
    <col min="10" max="10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127</v>
      </c>
      <c r="F1" t="s">
        <v>119</v>
      </c>
      <c r="G1" t="s">
        <v>132</v>
      </c>
      <c r="H1" t="s">
        <v>124</v>
      </c>
      <c r="I1" t="s">
        <v>133</v>
      </c>
      <c r="J1" t="s">
        <v>125</v>
      </c>
      <c r="K1" t="s">
        <v>126</v>
      </c>
    </row>
    <row r="2" spans="1:11" x14ac:dyDescent="0.4">
      <c r="A2">
        <v>2020</v>
      </c>
      <c r="B2">
        <v>9</v>
      </c>
      <c r="C2" t="s">
        <v>4</v>
      </c>
      <c r="D2">
        <v>9979</v>
      </c>
      <c r="E2">
        <f>D2/1000</f>
        <v>9.9789999999999992</v>
      </c>
      <c r="F2">
        <v>6351</v>
      </c>
      <c r="G2">
        <f>F2/1000</f>
        <v>6.351</v>
      </c>
      <c r="H2">
        <v>7831</v>
      </c>
      <c r="I2">
        <f>H2/1000</f>
        <v>7.8310000000000004</v>
      </c>
      <c r="J2">
        <v>299</v>
      </c>
      <c r="K2" s="18">
        <f>D2/J2</f>
        <v>33.374581939799334</v>
      </c>
    </row>
    <row r="3" spans="1:11" x14ac:dyDescent="0.4">
      <c r="A3">
        <v>2021</v>
      </c>
      <c r="B3">
        <v>9</v>
      </c>
      <c r="C3" t="s">
        <v>4</v>
      </c>
      <c r="D3">
        <v>8820</v>
      </c>
      <c r="E3">
        <f t="shared" ref="E3:E6" si="0">D3/1000</f>
        <v>8.82</v>
      </c>
      <c r="F3">
        <v>5127</v>
      </c>
      <c r="G3">
        <f t="shared" ref="G3:I6" si="1">F3/1000</f>
        <v>5.1269999999999998</v>
      </c>
      <c r="H3">
        <v>6352</v>
      </c>
      <c r="I3">
        <f t="shared" si="1"/>
        <v>6.3520000000000003</v>
      </c>
      <c r="J3">
        <v>240</v>
      </c>
      <c r="K3" s="18">
        <f t="shared" ref="K3:K6" si="2">D3/J3</f>
        <v>36.75</v>
      </c>
    </row>
    <row r="4" spans="1:11" x14ac:dyDescent="0.4">
      <c r="A4">
        <v>2022</v>
      </c>
      <c r="B4">
        <v>9</v>
      </c>
      <c r="C4" t="s">
        <v>4</v>
      </c>
      <c r="D4">
        <v>9585</v>
      </c>
      <c r="E4">
        <f t="shared" si="0"/>
        <v>9.5850000000000009</v>
      </c>
      <c r="F4">
        <v>7184</v>
      </c>
      <c r="G4">
        <f t="shared" si="1"/>
        <v>7.1840000000000002</v>
      </c>
      <c r="H4">
        <v>8791</v>
      </c>
      <c r="I4">
        <f t="shared" si="1"/>
        <v>8.7910000000000004</v>
      </c>
      <c r="J4">
        <v>308</v>
      </c>
      <c r="K4" s="18">
        <f t="shared" si="2"/>
        <v>31.120129870129869</v>
      </c>
    </row>
    <row r="5" spans="1:11" x14ac:dyDescent="0.4">
      <c r="A5">
        <v>2023</v>
      </c>
      <c r="B5">
        <v>9</v>
      </c>
      <c r="C5" t="s">
        <v>4</v>
      </c>
      <c r="D5">
        <v>6743</v>
      </c>
      <c r="E5">
        <f t="shared" si="0"/>
        <v>6.7430000000000003</v>
      </c>
      <c r="F5">
        <v>5577</v>
      </c>
      <c r="G5">
        <f t="shared" si="1"/>
        <v>5.577</v>
      </c>
      <c r="H5">
        <v>6808</v>
      </c>
      <c r="I5">
        <f t="shared" si="1"/>
        <v>6.8079999999999998</v>
      </c>
      <c r="J5">
        <v>210</v>
      </c>
      <c r="K5" s="18">
        <f t="shared" si="2"/>
        <v>32.109523809523807</v>
      </c>
    </row>
    <row r="6" spans="1:11" x14ac:dyDescent="0.4">
      <c r="A6">
        <v>2024</v>
      </c>
      <c r="B6">
        <v>9</v>
      </c>
      <c r="C6" t="s">
        <v>4</v>
      </c>
      <c r="D6">
        <v>18591</v>
      </c>
      <c r="E6">
        <f t="shared" si="0"/>
        <v>18.591000000000001</v>
      </c>
      <c r="F6">
        <v>7341</v>
      </c>
      <c r="G6">
        <f t="shared" si="1"/>
        <v>7.3410000000000002</v>
      </c>
      <c r="H6">
        <v>8834</v>
      </c>
      <c r="I6">
        <f t="shared" si="1"/>
        <v>8.8339999999999996</v>
      </c>
      <c r="J6">
        <v>716</v>
      </c>
      <c r="K6" s="18">
        <f t="shared" si="2"/>
        <v>25.965083798882681</v>
      </c>
    </row>
    <row r="7" spans="1:11" ht="15" thickBot="1" x14ac:dyDescent="0.45"/>
    <row r="8" spans="1:11" ht="15" thickBot="1" x14ac:dyDescent="0.45">
      <c r="A8" s="65"/>
      <c r="B8" s="63"/>
      <c r="C8" s="47" t="s">
        <v>140</v>
      </c>
      <c r="D8" s="47"/>
      <c r="E8" s="48"/>
      <c r="F8" s="49"/>
      <c r="G8" s="15"/>
    </row>
    <row r="9" spans="1:11" ht="15" thickBot="1" x14ac:dyDescent="0.45">
      <c r="A9" s="65"/>
      <c r="B9" s="100" t="s">
        <v>58</v>
      </c>
      <c r="C9" s="101"/>
      <c r="D9" s="101"/>
      <c r="E9" s="101"/>
      <c r="F9" s="102"/>
      <c r="G9" s="15"/>
    </row>
    <row r="10" spans="1:11" ht="15" thickBot="1" x14ac:dyDescent="0.45">
      <c r="A10" s="26" t="s">
        <v>142</v>
      </c>
      <c r="B10" s="36">
        <v>2020</v>
      </c>
      <c r="C10" s="36">
        <v>2021</v>
      </c>
      <c r="D10" s="36">
        <v>2022</v>
      </c>
      <c r="E10" s="37">
        <v>2023</v>
      </c>
      <c r="F10" s="38">
        <v>2024</v>
      </c>
      <c r="G10" s="16"/>
    </row>
    <row r="11" spans="1:11" x14ac:dyDescent="0.4">
      <c r="A11" s="59" t="s">
        <v>139</v>
      </c>
      <c r="B11" s="60">
        <f t="array" ref="B11:F11">TRANSPOSE(E2:E6)</f>
        <v>9.9789999999999992</v>
      </c>
      <c r="C11" s="61">
        <v>8.82</v>
      </c>
      <c r="D11" s="61">
        <v>9.5850000000000009</v>
      </c>
      <c r="E11" s="61">
        <v>6.7430000000000003</v>
      </c>
      <c r="F11" s="62">
        <v>18.591000000000001</v>
      </c>
      <c r="G11" s="6"/>
    </row>
    <row r="12" spans="1:11" x14ac:dyDescent="0.4">
      <c r="A12" s="50" t="s">
        <v>130</v>
      </c>
      <c r="B12" s="57">
        <f t="array" ref="B12:F12">TRANSPOSE(G2:G6)</f>
        <v>6.351</v>
      </c>
      <c r="C12" s="21">
        <v>5.1269999999999998</v>
      </c>
      <c r="D12" s="21">
        <v>7.1840000000000002</v>
      </c>
      <c r="E12" s="21">
        <v>5.577</v>
      </c>
      <c r="F12" s="54">
        <v>7.3410000000000002</v>
      </c>
    </row>
    <row r="13" spans="1:11" ht="15" thickBot="1" x14ac:dyDescent="0.45">
      <c r="A13" s="55" t="s">
        <v>131</v>
      </c>
      <c r="B13" s="58">
        <f t="array" ref="B13:F13">TRANSPOSE(I2:I6)</f>
        <v>7.8310000000000004</v>
      </c>
      <c r="C13" s="22">
        <v>6.3520000000000003</v>
      </c>
      <c r="D13" s="22">
        <v>8.7910000000000004</v>
      </c>
      <c r="E13" s="22">
        <v>6.8079999999999998</v>
      </c>
      <c r="F13" s="56">
        <v>8.8339999999999996</v>
      </c>
    </row>
    <row r="14" spans="1:11" ht="15" thickBot="1" x14ac:dyDescent="0.45"/>
    <row r="15" spans="1:11" ht="15" thickBot="1" x14ac:dyDescent="0.45">
      <c r="A15" s="65"/>
      <c r="B15" s="63"/>
      <c r="C15" s="47" t="s">
        <v>141</v>
      </c>
      <c r="D15" s="47"/>
      <c r="E15" s="48"/>
      <c r="F15" s="49"/>
      <c r="G15" s="15"/>
    </row>
    <row r="16" spans="1:11" ht="15" thickBot="1" x14ac:dyDescent="0.45">
      <c r="A16" s="65"/>
      <c r="B16" s="100" t="s">
        <v>58</v>
      </c>
      <c r="C16" s="101"/>
      <c r="D16" s="101"/>
      <c r="E16" s="101"/>
      <c r="F16" s="102"/>
      <c r="G16" s="15"/>
    </row>
    <row r="17" spans="1:7" ht="15" thickBot="1" x14ac:dyDescent="0.45">
      <c r="A17" s="46" t="s">
        <v>142</v>
      </c>
      <c r="B17" s="64">
        <v>2020</v>
      </c>
      <c r="C17" s="51">
        <v>2021</v>
      </c>
      <c r="D17" s="51">
        <v>2022</v>
      </c>
      <c r="E17" s="52">
        <v>2023</v>
      </c>
      <c r="F17" s="53">
        <v>2024</v>
      </c>
      <c r="G17" s="16"/>
    </row>
    <row r="18" spans="1:7" ht="15" thickBot="1" x14ac:dyDescent="0.45">
      <c r="A18" s="34" t="s">
        <v>139</v>
      </c>
      <c r="B18" s="66">
        <f t="array" ref="B18:F18">TRANSPOSE(K2:K6)</f>
        <v>33.374581939799334</v>
      </c>
      <c r="C18" s="67">
        <v>36.75</v>
      </c>
      <c r="D18" s="67">
        <v>31.120129870129869</v>
      </c>
      <c r="E18" s="67">
        <v>32.109523809523807</v>
      </c>
      <c r="F18" s="68">
        <v>25.965083798882681</v>
      </c>
      <c r="G18" s="19"/>
    </row>
  </sheetData>
  <mergeCells count="2">
    <mergeCell ref="B9:F9"/>
    <mergeCell ref="B16:F16"/>
  </mergeCells>
  <pageMargins left="0.7" right="0.7" top="0.75" bottom="0.75" header="0.3" footer="0.3"/>
  <pageSetup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2452-B24B-4CE1-9BFD-E03807491D72}">
  <dimension ref="A1:AD67"/>
  <sheetViews>
    <sheetView workbookViewId="0">
      <selection activeCell="A13" sqref="A13"/>
    </sheetView>
  </sheetViews>
  <sheetFormatPr defaultRowHeight="14.6" x14ac:dyDescent="0.4"/>
  <cols>
    <col min="1" max="1" width="17.15234375" customWidth="1"/>
    <col min="2" max="2" width="10.84375" customWidth="1"/>
    <col min="4" max="4" width="10.69140625" customWidth="1"/>
    <col min="7" max="7" width="21.3046875" customWidth="1"/>
    <col min="8" max="8" width="7" customWidth="1"/>
    <col min="9" max="9" width="9.53515625" customWidth="1"/>
    <col min="10" max="10" width="4.84375" bestFit="1" customWidth="1"/>
    <col min="11" max="11" width="10.61328125" bestFit="1" customWidth="1"/>
    <col min="12" max="12" width="6.84375" bestFit="1" customWidth="1"/>
    <col min="13" max="13" width="2.69140625" customWidth="1"/>
    <col min="14" max="14" width="6.84375" customWidth="1"/>
    <col min="16" max="16" width="6.07421875" customWidth="1"/>
    <col min="17" max="17" width="10.4609375" customWidth="1"/>
    <col min="19" max="19" width="3.3828125" customWidth="1"/>
    <col min="20" max="20" width="7.61328125" customWidth="1"/>
    <col min="25" max="25" width="4.3828125" customWidth="1"/>
    <col min="26" max="26" width="7.53515625" customWidth="1"/>
  </cols>
  <sheetData>
    <row r="1" spans="1:30" ht="21" thickBot="1" x14ac:dyDescent="0.6">
      <c r="A1" s="8" t="s">
        <v>143</v>
      </c>
    </row>
    <row r="2" spans="1:30" ht="15" thickBot="1" x14ac:dyDescent="0.45">
      <c r="B2" s="104" t="s">
        <v>58</v>
      </c>
      <c r="C2" s="105"/>
      <c r="D2" s="105"/>
      <c r="E2" s="106"/>
      <c r="F2" s="78"/>
    </row>
    <row r="3" spans="1:30" ht="29.6" thickBot="1" x14ac:dyDescent="0.45">
      <c r="A3" s="84" t="s">
        <v>144</v>
      </c>
      <c r="B3" s="25">
        <v>2021</v>
      </c>
      <c r="C3" s="25">
        <v>2022</v>
      </c>
      <c r="D3" s="25">
        <v>2023</v>
      </c>
      <c r="E3" s="77">
        <v>2024</v>
      </c>
      <c r="F3" s="84" t="s">
        <v>134</v>
      </c>
      <c r="H3" s="5" t="s">
        <v>84</v>
      </c>
      <c r="I3" t="s">
        <v>85</v>
      </c>
      <c r="J3" t="s">
        <v>86</v>
      </c>
      <c r="K3" t="s">
        <v>87</v>
      </c>
      <c r="L3" t="s">
        <v>88</v>
      </c>
      <c r="N3" s="5" t="s">
        <v>84</v>
      </c>
      <c r="O3" t="s">
        <v>85</v>
      </c>
      <c r="P3" t="s">
        <v>86</v>
      </c>
      <c r="Q3" t="s">
        <v>87</v>
      </c>
      <c r="R3" t="s">
        <v>88</v>
      </c>
      <c r="T3" s="5" t="s">
        <v>84</v>
      </c>
      <c r="U3" t="s">
        <v>85</v>
      </c>
      <c r="V3" t="s">
        <v>86</v>
      </c>
      <c r="W3" t="s">
        <v>87</v>
      </c>
      <c r="X3" t="s">
        <v>88</v>
      </c>
      <c r="Z3" s="5" t="s">
        <v>84</v>
      </c>
      <c r="AA3" t="s">
        <v>85</v>
      </c>
      <c r="AB3" t="s">
        <v>86</v>
      </c>
      <c r="AC3" t="s">
        <v>87</v>
      </c>
      <c r="AD3" t="s">
        <v>88</v>
      </c>
    </row>
    <row r="4" spans="1:30" x14ac:dyDescent="0.4">
      <c r="A4" s="84" t="s">
        <v>89</v>
      </c>
      <c r="B4" s="25">
        <v>139</v>
      </c>
      <c r="C4" s="25">
        <v>100</v>
      </c>
      <c r="D4" s="25">
        <v>89</v>
      </c>
      <c r="E4" s="77">
        <v>89</v>
      </c>
      <c r="F4" s="29">
        <f>AVERAGE(B4:E4)</f>
        <v>104.25</v>
      </c>
      <c r="H4" t="s">
        <v>89</v>
      </c>
      <c r="I4" t="s">
        <v>90</v>
      </c>
      <c r="J4">
        <v>2020</v>
      </c>
      <c r="K4" t="s">
        <v>91</v>
      </c>
      <c r="L4">
        <v>50</v>
      </c>
      <c r="N4" t="s">
        <v>89</v>
      </c>
      <c r="O4" t="s">
        <v>90</v>
      </c>
      <c r="P4">
        <v>2021</v>
      </c>
      <c r="Q4" t="s">
        <v>91</v>
      </c>
      <c r="R4">
        <v>15</v>
      </c>
      <c r="T4" t="s">
        <v>89</v>
      </c>
      <c r="U4" t="s">
        <v>90</v>
      </c>
      <c r="V4">
        <v>2022</v>
      </c>
      <c r="W4" t="s">
        <v>91</v>
      </c>
      <c r="X4">
        <v>11</v>
      </c>
      <c r="Z4" t="s">
        <v>89</v>
      </c>
      <c r="AA4" t="s">
        <v>90</v>
      </c>
      <c r="AB4">
        <v>2023</v>
      </c>
      <c r="AC4" t="s">
        <v>91</v>
      </c>
      <c r="AD4">
        <v>6</v>
      </c>
    </row>
    <row r="5" spans="1:30" x14ac:dyDescent="0.4">
      <c r="A5" s="82" t="s">
        <v>92</v>
      </c>
      <c r="B5" s="78">
        <v>207</v>
      </c>
      <c r="C5" s="78">
        <v>239</v>
      </c>
      <c r="D5" s="78">
        <v>175</v>
      </c>
      <c r="E5" s="79">
        <v>175</v>
      </c>
      <c r="F5" s="30">
        <f t="shared" ref="F5:F8" si="0">AVERAGE(B5:E5)</f>
        <v>199</v>
      </c>
      <c r="H5" t="s">
        <v>89</v>
      </c>
      <c r="I5" t="s">
        <v>90</v>
      </c>
      <c r="J5">
        <v>2020</v>
      </c>
      <c r="K5" t="s">
        <v>93</v>
      </c>
      <c r="L5">
        <v>1</v>
      </c>
      <c r="N5" t="s">
        <v>89</v>
      </c>
      <c r="O5" t="s">
        <v>90</v>
      </c>
      <c r="P5">
        <v>2021</v>
      </c>
      <c r="Q5" t="s">
        <v>94</v>
      </c>
      <c r="R5">
        <v>1</v>
      </c>
      <c r="T5" t="s">
        <v>89</v>
      </c>
      <c r="U5" t="s">
        <v>90</v>
      </c>
      <c r="V5">
        <v>2022</v>
      </c>
      <c r="W5" t="s">
        <v>94</v>
      </c>
      <c r="X5">
        <v>9</v>
      </c>
      <c r="Z5" t="s">
        <v>89</v>
      </c>
      <c r="AA5" t="s">
        <v>90</v>
      </c>
      <c r="AB5">
        <v>2023</v>
      </c>
      <c r="AC5" t="s">
        <v>94</v>
      </c>
      <c r="AD5">
        <v>5</v>
      </c>
    </row>
    <row r="6" spans="1:30" x14ac:dyDescent="0.4">
      <c r="A6" s="82" t="s">
        <v>95</v>
      </c>
      <c r="B6" s="78">
        <v>249</v>
      </c>
      <c r="C6" s="78">
        <v>284</v>
      </c>
      <c r="D6" s="78">
        <v>461</v>
      </c>
      <c r="E6" s="79">
        <v>461</v>
      </c>
      <c r="F6" s="30">
        <f t="shared" si="0"/>
        <v>363.75</v>
      </c>
      <c r="H6" t="s">
        <v>89</v>
      </c>
      <c r="I6" t="s">
        <v>90</v>
      </c>
      <c r="J6">
        <v>2020</v>
      </c>
      <c r="K6" t="s">
        <v>94</v>
      </c>
      <c r="L6">
        <v>1</v>
      </c>
      <c r="N6" t="s">
        <v>89</v>
      </c>
      <c r="O6" t="s">
        <v>90</v>
      </c>
      <c r="P6">
        <v>2021</v>
      </c>
      <c r="Q6" t="s">
        <v>96</v>
      </c>
      <c r="R6">
        <v>60</v>
      </c>
      <c r="T6" t="s">
        <v>89</v>
      </c>
      <c r="U6" t="s">
        <v>90</v>
      </c>
      <c r="V6">
        <v>2022</v>
      </c>
      <c r="W6" t="s">
        <v>96</v>
      </c>
      <c r="X6">
        <v>39</v>
      </c>
      <c r="Z6" t="s">
        <v>89</v>
      </c>
      <c r="AA6" t="s">
        <v>90</v>
      </c>
      <c r="AB6">
        <v>2023</v>
      </c>
      <c r="AC6" t="s">
        <v>94</v>
      </c>
      <c r="AD6">
        <v>5</v>
      </c>
    </row>
    <row r="7" spans="1:30" ht="15" thickBot="1" x14ac:dyDescent="0.45">
      <c r="A7" s="83" t="s">
        <v>97</v>
      </c>
      <c r="B7" s="80">
        <v>1091</v>
      </c>
      <c r="C7" s="80">
        <v>804</v>
      </c>
      <c r="D7" s="80">
        <v>836</v>
      </c>
      <c r="E7" s="81">
        <v>836</v>
      </c>
      <c r="F7" s="31">
        <f t="shared" si="0"/>
        <v>891.75</v>
      </c>
      <c r="H7" t="s">
        <v>89</v>
      </c>
      <c r="I7" t="s">
        <v>90</v>
      </c>
      <c r="J7">
        <v>2020</v>
      </c>
      <c r="K7" t="s">
        <v>96</v>
      </c>
      <c r="L7">
        <v>27</v>
      </c>
      <c r="N7" t="s">
        <v>89</v>
      </c>
      <c r="O7" t="s">
        <v>90</v>
      </c>
      <c r="P7">
        <v>2021</v>
      </c>
      <c r="Q7" t="s">
        <v>98</v>
      </c>
      <c r="R7">
        <v>5</v>
      </c>
      <c r="T7" t="s">
        <v>89</v>
      </c>
      <c r="U7" t="s">
        <v>90</v>
      </c>
      <c r="V7">
        <v>2022</v>
      </c>
      <c r="W7" t="s">
        <v>98</v>
      </c>
      <c r="X7">
        <v>12</v>
      </c>
      <c r="Z7" t="s">
        <v>89</v>
      </c>
      <c r="AA7" t="s">
        <v>90</v>
      </c>
      <c r="AB7">
        <v>2023</v>
      </c>
      <c r="AC7" t="s">
        <v>96</v>
      </c>
      <c r="AD7">
        <v>44</v>
      </c>
    </row>
    <row r="8" spans="1:30" ht="15" thickBot="1" x14ac:dyDescent="0.45">
      <c r="A8" s="83" t="s">
        <v>145</v>
      </c>
      <c r="B8" s="80">
        <v>1686</v>
      </c>
      <c r="C8" s="80">
        <v>1427</v>
      </c>
      <c r="D8" s="80">
        <v>1561</v>
      </c>
      <c r="E8" s="81">
        <v>1561</v>
      </c>
      <c r="F8" s="31">
        <f t="shared" si="0"/>
        <v>1558.75</v>
      </c>
      <c r="H8" t="s">
        <v>89</v>
      </c>
      <c r="I8" t="s">
        <v>90</v>
      </c>
      <c r="J8">
        <v>2020</v>
      </c>
      <c r="K8" t="s">
        <v>98</v>
      </c>
      <c r="L8">
        <v>1</v>
      </c>
      <c r="N8" t="s">
        <v>89</v>
      </c>
      <c r="O8" t="s">
        <v>90</v>
      </c>
      <c r="P8">
        <v>2021</v>
      </c>
      <c r="Q8" t="s">
        <v>100</v>
      </c>
      <c r="R8">
        <v>6</v>
      </c>
      <c r="T8" t="s">
        <v>89</v>
      </c>
      <c r="U8" t="s">
        <v>90</v>
      </c>
      <c r="V8">
        <v>2022</v>
      </c>
      <c r="W8" t="s">
        <v>100</v>
      </c>
      <c r="X8">
        <v>2</v>
      </c>
      <c r="Z8" t="s">
        <v>89</v>
      </c>
      <c r="AA8" t="s">
        <v>90</v>
      </c>
      <c r="AB8">
        <v>2023</v>
      </c>
      <c r="AC8" t="s">
        <v>98</v>
      </c>
      <c r="AD8">
        <v>1</v>
      </c>
    </row>
    <row r="9" spans="1:30" x14ac:dyDescent="0.4">
      <c r="A9" s="78"/>
      <c r="B9" s="78"/>
      <c r="C9" s="78"/>
      <c r="D9" s="78"/>
      <c r="E9" s="78"/>
      <c r="F9" s="78"/>
      <c r="H9" t="s">
        <v>89</v>
      </c>
      <c r="I9" t="s">
        <v>90</v>
      </c>
      <c r="J9">
        <v>2020</v>
      </c>
      <c r="K9" t="s">
        <v>98</v>
      </c>
      <c r="L9">
        <v>6</v>
      </c>
      <c r="N9" t="s">
        <v>89</v>
      </c>
      <c r="O9" t="s">
        <v>90</v>
      </c>
      <c r="P9">
        <v>2021</v>
      </c>
      <c r="Q9" t="s">
        <v>101</v>
      </c>
      <c r="R9">
        <v>52</v>
      </c>
      <c r="T9" t="s">
        <v>89</v>
      </c>
      <c r="U9" t="s">
        <v>90</v>
      </c>
      <c r="V9">
        <v>2022</v>
      </c>
      <c r="W9" t="s">
        <v>101</v>
      </c>
      <c r="X9">
        <v>27</v>
      </c>
      <c r="Z9" t="s">
        <v>89</v>
      </c>
      <c r="AA9" t="s">
        <v>90</v>
      </c>
      <c r="AB9">
        <v>2023</v>
      </c>
      <c r="AC9" t="s">
        <v>100</v>
      </c>
      <c r="AD9">
        <v>1</v>
      </c>
    </row>
    <row r="10" spans="1:30" x14ac:dyDescent="0.4">
      <c r="A10" s="78" t="s">
        <v>146</v>
      </c>
      <c r="B10" s="78" cm="1">
        <f t="array" ref="B10:E10">TRANSPOSE('[1]MLS Yearbook 2020-2024'!I62:I65)</f>
        <v>47</v>
      </c>
      <c r="C10" s="78">
        <v>30</v>
      </c>
      <c r="D10" s="78">
        <v>25</v>
      </c>
      <c r="E10" s="78">
        <v>13</v>
      </c>
      <c r="F10" s="78"/>
      <c r="H10" t="s">
        <v>89</v>
      </c>
      <c r="I10" t="s">
        <v>90</v>
      </c>
      <c r="J10">
        <v>2020</v>
      </c>
      <c r="K10" t="s">
        <v>100</v>
      </c>
      <c r="L10">
        <v>2</v>
      </c>
      <c r="N10" t="s">
        <v>92</v>
      </c>
      <c r="O10" t="s">
        <v>102</v>
      </c>
      <c r="P10">
        <v>2021</v>
      </c>
      <c r="Q10" t="s">
        <v>103</v>
      </c>
      <c r="R10">
        <v>199</v>
      </c>
      <c r="T10" t="s">
        <v>92</v>
      </c>
      <c r="U10" t="s">
        <v>102</v>
      </c>
      <c r="V10">
        <v>2022</v>
      </c>
      <c r="W10" t="s">
        <v>103</v>
      </c>
      <c r="X10">
        <v>230</v>
      </c>
      <c r="Z10" t="s">
        <v>89</v>
      </c>
      <c r="AA10" t="s">
        <v>90</v>
      </c>
      <c r="AB10">
        <v>2023</v>
      </c>
      <c r="AC10" t="s">
        <v>101</v>
      </c>
      <c r="AD10">
        <v>27</v>
      </c>
    </row>
    <row r="11" spans="1:30" x14ac:dyDescent="0.4">
      <c r="A11" s="78" t="s">
        <v>147</v>
      </c>
      <c r="B11" s="78">
        <f>B5+B10</f>
        <v>254</v>
      </c>
      <c r="C11" s="78">
        <f t="shared" ref="C11:E11" si="1">C5+C10</f>
        <v>269</v>
      </c>
      <c r="D11" s="78">
        <f t="shared" si="1"/>
        <v>200</v>
      </c>
      <c r="E11" s="78">
        <f t="shared" si="1"/>
        <v>188</v>
      </c>
      <c r="F11" s="78"/>
      <c r="H11" t="s">
        <v>89</v>
      </c>
      <c r="I11" t="s">
        <v>90</v>
      </c>
      <c r="J11">
        <v>2020</v>
      </c>
      <c r="K11" t="s">
        <v>101</v>
      </c>
      <c r="L11">
        <v>32</v>
      </c>
      <c r="N11" t="s">
        <v>92</v>
      </c>
      <c r="O11" t="s">
        <v>104</v>
      </c>
      <c r="P11">
        <v>2021</v>
      </c>
      <c r="Q11" t="s">
        <v>103</v>
      </c>
      <c r="R11">
        <v>8</v>
      </c>
      <c r="T11" t="s">
        <v>92</v>
      </c>
      <c r="U11" t="s">
        <v>104</v>
      </c>
      <c r="V11">
        <v>2022</v>
      </c>
      <c r="W11" t="s">
        <v>103</v>
      </c>
      <c r="X11">
        <v>9</v>
      </c>
      <c r="Z11" t="s">
        <v>92</v>
      </c>
      <c r="AA11" t="s">
        <v>102</v>
      </c>
      <c r="AB11">
        <v>2023</v>
      </c>
      <c r="AC11" t="s">
        <v>103</v>
      </c>
      <c r="AD11">
        <v>169</v>
      </c>
    </row>
    <row r="12" spans="1:30" x14ac:dyDescent="0.4">
      <c r="H12" t="s">
        <v>92</v>
      </c>
      <c r="I12" t="s">
        <v>102</v>
      </c>
      <c r="J12">
        <v>2020</v>
      </c>
      <c r="K12" t="s">
        <v>103</v>
      </c>
      <c r="L12">
        <v>240</v>
      </c>
      <c r="N12" t="s">
        <v>95</v>
      </c>
      <c r="O12" t="s">
        <v>105</v>
      </c>
      <c r="P12">
        <v>2021</v>
      </c>
      <c r="Q12" t="s">
        <v>106</v>
      </c>
      <c r="R12">
        <v>38</v>
      </c>
      <c r="T12" t="s">
        <v>95</v>
      </c>
      <c r="U12" t="s">
        <v>105</v>
      </c>
      <c r="V12">
        <v>2022</v>
      </c>
      <c r="W12" t="s">
        <v>106</v>
      </c>
      <c r="X12">
        <v>45</v>
      </c>
      <c r="Z12" t="s">
        <v>92</v>
      </c>
      <c r="AA12" t="s">
        <v>104</v>
      </c>
      <c r="AB12">
        <v>2023</v>
      </c>
      <c r="AC12" t="s">
        <v>103</v>
      </c>
      <c r="AD12">
        <v>6</v>
      </c>
    </row>
    <row r="13" spans="1:30" x14ac:dyDescent="0.4">
      <c r="H13" t="s">
        <v>92</v>
      </c>
      <c r="I13" t="s">
        <v>104</v>
      </c>
      <c r="J13">
        <v>2020</v>
      </c>
      <c r="K13" t="s">
        <v>103</v>
      </c>
      <c r="L13">
        <v>10</v>
      </c>
      <c r="N13" t="s">
        <v>95</v>
      </c>
      <c r="O13" t="s">
        <v>107</v>
      </c>
      <c r="P13">
        <v>2021</v>
      </c>
      <c r="Q13" t="s">
        <v>106</v>
      </c>
      <c r="R13">
        <v>211</v>
      </c>
      <c r="T13" t="s">
        <v>95</v>
      </c>
      <c r="U13" t="s">
        <v>107</v>
      </c>
      <c r="V13">
        <v>2022</v>
      </c>
      <c r="W13" t="s">
        <v>106</v>
      </c>
      <c r="X13">
        <v>239</v>
      </c>
      <c r="Z13" t="s">
        <v>95</v>
      </c>
      <c r="AA13" t="s">
        <v>105</v>
      </c>
      <c r="AB13">
        <v>2023</v>
      </c>
      <c r="AC13" t="s">
        <v>106</v>
      </c>
      <c r="AD13">
        <v>72</v>
      </c>
    </row>
    <row r="14" spans="1:30" x14ac:dyDescent="0.4">
      <c r="A14" t="s">
        <v>108</v>
      </c>
      <c r="H14" t="s">
        <v>95</v>
      </c>
      <c r="I14" t="s">
        <v>105</v>
      </c>
      <c r="J14">
        <v>2020</v>
      </c>
      <c r="K14" t="s">
        <v>106</v>
      </c>
      <c r="L14">
        <v>32</v>
      </c>
      <c r="N14" t="s">
        <v>97</v>
      </c>
      <c r="O14" t="s">
        <v>109</v>
      </c>
      <c r="P14">
        <v>2021</v>
      </c>
      <c r="Q14" t="s">
        <v>110</v>
      </c>
      <c r="R14">
        <v>95</v>
      </c>
      <c r="T14" t="s">
        <v>97</v>
      </c>
      <c r="U14" t="s">
        <v>109</v>
      </c>
      <c r="V14">
        <v>2022</v>
      </c>
      <c r="W14" t="s">
        <v>110</v>
      </c>
      <c r="X14">
        <v>95</v>
      </c>
      <c r="Z14" t="s">
        <v>95</v>
      </c>
      <c r="AA14" t="s">
        <v>107</v>
      </c>
      <c r="AB14">
        <v>2023</v>
      </c>
      <c r="AC14" t="s">
        <v>106</v>
      </c>
      <c r="AD14">
        <v>389</v>
      </c>
    </row>
    <row r="15" spans="1:30" x14ac:dyDescent="0.4">
      <c r="B15" t="s">
        <v>83</v>
      </c>
      <c r="H15" t="s">
        <v>95</v>
      </c>
      <c r="I15" t="s">
        <v>107</v>
      </c>
      <c r="J15">
        <v>2020</v>
      </c>
      <c r="K15" t="s">
        <v>106</v>
      </c>
      <c r="L15">
        <v>302</v>
      </c>
      <c r="N15" t="s">
        <v>97</v>
      </c>
      <c r="O15" t="s">
        <v>111</v>
      </c>
      <c r="P15">
        <v>2021</v>
      </c>
      <c r="Q15" t="s">
        <v>110</v>
      </c>
      <c r="R15">
        <v>180</v>
      </c>
      <c r="T15" t="s">
        <v>97</v>
      </c>
      <c r="U15" t="s">
        <v>111</v>
      </c>
      <c r="V15">
        <v>2022</v>
      </c>
      <c r="W15" t="s">
        <v>110</v>
      </c>
      <c r="X15">
        <v>140</v>
      </c>
      <c r="Z15" t="s">
        <v>97</v>
      </c>
      <c r="AA15" t="s">
        <v>109</v>
      </c>
      <c r="AB15">
        <v>2023</v>
      </c>
      <c r="AC15" t="s">
        <v>110</v>
      </c>
      <c r="AD15">
        <v>138</v>
      </c>
    </row>
    <row r="16" spans="1:30" x14ac:dyDescent="0.4">
      <c r="A16" t="s">
        <v>84</v>
      </c>
      <c r="B16">
        <v>2020</v>
      </c>
      <c r="C16">
        <v>2021</v>
      </c>
      <c r="D16">
        <v>2022</v>
      </c>
      <c r="E16">
        <v>2023</v>
      </c>
      <c r="H16" t="s">
        <v>97</v>
      </c>
      <c r="I16" t="s">
        <v>109</v>
      </c>
      <c r="J16">
        <v>2020</v>
      </c>
      <c r="K16" t="s">
        <v>110</v>
      </c>
      <c r="L16">
        <v>155</v>
      </c>
      <c r="N16" t="s">
        <v>97</v>
      </c>
      <c r="O16" t="s">
        <v>112</v>
      </c>
      <c r="P16">
        <v>2021</v>
      </c>
      <c r="Q16" t="s">
        <v>110</v>
      </c>
      <c r="R16">
        <v>708</v>
      </c>
      <c r="T16" t="s">
        <v>97</v>
      </c>
      <c r="U16" t="s">
        <v>112</v>
      </c>
      <c r="V16">
        <v>2022</v>
      </c>
      <c r="W16" t="s">
        <v>110</v>
      </c>
      <c r="X16">
        <v>461</v>
      </c>
      <c r="Z16" t="s">
        <v>97</v>
      </c>
      <c r="AA16" t="s">
        <v>111</v>
      </c>
      <c r="AB16">
        <v>2023</v>
      </c>
      <c r="AC16" t="s">
        <v>110</v>
      </c>
      <c r="AD16">
        <v>87</v>
      </c>
    </row>
    <row r="17" spans="1:30" x14ac:dyDescent="0.4">
      <c r="A17" t="s">
        <v>89</v>
      </c>
      <c r="B17">
        <f>SUM(L4:L11)</f>
        <v>120</v>
      </c>
      <c r="C17">
        <f>SUM(R4:R9)</f>
        <v>139</v>
      </c>
      <c r="D17">
        <f>SUM(X4:X9)</f>
        <v>100</v>
      </c>
      <c r="E17">
        <f>SUM(AD4:AD10)</f>
        <v>89</v>
      </c>
      <c r="H17" t="s">
        <v>97</v>
      </c>
      <c r="I17" t="s">
        <v>111</v>
      </c>
      <c r="J17">
        <v>2020</v>
      </c>
      <c r="K17" t="s">
        <v>110</v>
      </c>
      <c r="L17">
        <v>181</v>
      </c>
      <c r="N17" t="s">
        <v>97</v>
      </c>
      <c r="O17" t="s">
        <v>113</v>
      </c>
      <c r="P17">
        <v>2021</v>
      </c>
      <c r="Q17" t="s">
        <v>110</v>
      </c>
      <c r="R17">
        <v>108</v>
      </c>
      <c r="T17" t="s">
        <v>97</v>
      </c>
      <c r="U17" t="s">
        <v>113</v>
      </c>
      <c r="V17">
        <v>2022</v>
      </c>
      <c r="W17" t="s">
        <v>110</v>
      </c>
      <c r="X17">
        <v>108</v>
      </c>
      <c r="Z17" t="s">
        <v>97</v>
      </c>
      <c r="AA17" t="s">
        <v>112</v>
      </c>
      <c r="AB17">
        <v>2023</v>
      </c>
      <c r="AC17" t="s">
        <v>110</v>
      </c>
      <c r="AD17">
        <v>503</v>
      </c>
    </row>
    <row r="18" spans="1:30" x14ac:dyDescent="0.4">
      <c r="A18" t="s">
        <v>92</v>
      </c>
      <c r="B18">
        <f>SUM(L12:L13)</f>
        <v>250</v>
      </c>
      <c r="C18">
        <f>SUM(R10:R11)</f>
        <v>207</v>
      </c>
      <c r="D18">
        <f>SUM(X10:X11)</f>
        <v>239</v>
      </c>
      <c r="E18">
        <f>SUM(AD11:AD12)</f>
        <v>175</v>
      </c>
      <c r="H18" t="s">
        <v>97</v>
      </c>
      <c r="I18" t="s">
        <v>112</v>
      </c>
      <c r="J18">
        <v>2020</v>
      </c>
      <c r="K18" t="s">
        <v>110</v>
      </c>
      <c r="L18">
        <v>896</v>
      </c>
      <c r="Z18" t="s">
        <v>97</v>
      </c>
      <c r="AA18" t="s">
        <v>113</v>
      </c>
      <c r="AB18">
        <v>2023</v>
      </c>
      <c r="AC18" t="s">
        <v>110</v>
      </c>
      <c r="AD18">
        <v>108</v>
      </c>
    </row>
    <row r="19" spans="1:30" x14ac:dyDescent="0.4">
      <c r="A19" t="s">
        <v>95</v>
      </c>
      <c r="B19">
        <f>SUM(L14:L15)</f>
        <v>334</v>
      </c>
      <c r="C19">
        <f>SUM(R12:R13)</f>
        <v>249</v>
      </c>
      <c r="D19">
        <f>SUM(X12:X13)</f>
        <v>284</v>
      </c>
      <c r="E19">
        <f>SUM(AD13:AD14)</f>
        <v>461</v>
      </c>
      <c r="H19" t="s">
        <v>97</v>
      </c>
      <c r="I19" t="s">
        <v>113</v>
      </c>
      <c r="J19">
        <v>2020</v>
      </c>
      <c r="K19" t="s">
        <v>110</v>
      </c>
      <c r="L19">
        <v>94</v>
      </c>
    </row>
    <row r="20" spans="1:30" x14ac:dyDescent="0.4">
      <c r="A20" t="s">
        <v>97</v>
      </c>
      <c r="B20">
        <f>SUM(L16:L19)</f>
        <v>1326</v>
      </c>
      <c r="C20">
        <f>SUM(R14:R17)</f>
        <v>1091</v>
      </c>
      <c r="D20">
        <f>SUM(X14:X17)</f>
        <v>804</v>
      </c>
      <c r="E20">
        <f>SUM(AD15:AD18)</f>
        <v>836</v>
      </c>
    </row>
    <row r="21" spans="1:30" x14ac:dyDescent="0.4">
      <c r="A21" t="s">
        <v>99</v>
      </c>
      <c r="B21">
        <f>SUM(B17:B20)</f>
        <v>2030</v>
      </c>
      <c r="C21">
        <f t="shared" ref="C21:E21" si="2">SUM(C17:C20)</f>
        <v>1686</v>
      </c>
      <c r="D21">
        <f t="shared" si="2"/>
        <v>1427</v>
      </c>
      <c r="E21">
        <f t="shared" si="2"/>
        <v>1561</v>
      </c>
    </row>
    <row r="23" spans="1:30" x14ac:dyDescent="0.4">
      <c r="B23" t="s">
        <v>114</v>
      </c>
    </row>
    <row r="24" spans="1:30" x14ac:dyDescent="0.4">
      <c r="B24">
        <f>SUM(L4:L19)</f>
        <v>2030</v>
      </c>
      <c r="C24">
        <f>SUM(R4:R17)</f>
        <v>1686</v>
      </c>
      <c r="D24">
        <f>SUM(X4:X17)</f>
        <v>1427</v>
      </c>
      <c r="E24">
        <f>SUM(AD4:AD18)</f>
        <v>1561</v>
      </c>
    </row>
    <row r="64" spans="10:12" x14ac:dyDescent="0.4">
      <c r="J64">
        <v>2020</v>
      </c>
      <c r="K64" t="s">
        <v>103</v>
      </c>
      <c r="L64">
        <v>47</v>
      </c>
    </row>
    <row r="65" spans="10:12" x14ac:dyDescent="0.4">
      <c r="J65">
        <v>2021</v>
      </c>
      <c r="K65" t="s">
        <v>103</v>
      </c>
      <c r="L65">
        <v>30</v>
      </c>
    </row>
    <row r="66" spans="10:12" x14ac:dyDescent="0.4">
      <c r="J66">
        <v>2022</v>
      </c>
      <c r="K66" t="s">
        <v>103</v>
      </c>
      <c r="L66">
        <v>25</v>
      </c>
    </row>
    <row r="67" spans="10:12" x14ac:dyDescent="0.4">
      <c r="J67">
        <v>2023</v>
      </c>
      <c r="K67" t="s">
        <v>103</v>
      </c>
      <c r="L67">
        <v>13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8737-7B7A-4C8B-AE14-2EDBC012603C}">
  <dimension ref="A1:K6"/>
  <sheetViews>
    <sheetView workbookViewId="0">
      <selection activeCell="H2" sqref="H2:K2"/>
    </sheetView>
  </sheetViews>
  <sheetFormatPr defaultRowHeight="14.6" x14ac:dyDescent="0.4"/>
  <cols>
    <col min="7" max="7" width="3" customWidth="1"/>
  </cols>
  <sheetData>
    <row r="1" spans="1:11" x14ac:dyDescent="0.4">
      <c r="A1" t="s">
        <v>0</v>
      </c>
      <c r="B1" t="s">
        <v>1</v>
      </c>
      <c r="C1" t="s">
        <v>118</v>
      </c>
      <c r="D1" t="s">
        <v>119</v>
      </c>
      <c r="E1" t="s">
        <v>120</v>
      </c>
    </row>
    <row r="2" spans="1:11" x14ac:dyDescent="0.4">
      <c r="A2">
        <v>2020</v>
      </c>
      <c r="B2">
        <v>9</v>
      </c>
      <c r="C2" t="s">
        <v>4</v>
      </c>
      <c r="D2">
        <v>6330</v>
      </c>
      <c r="E2">
        <v>6967</v>
      </c>
      <c r="F2">
        <f>E2/1000</f>
        <v>6.9669999999999996</v>
      </c>
      <c r="H2">
        <f t="array" ref="H2:K2">TRANSPOSE(F3:F6)</f>
        <v>5.4909999999999997</v>
      </c>
      <c r="I2">
        <v>6.5179999999999998</v>
      </c>
      <c r="J2">
        <v>5.3719999999999999</v>
      </c>
      <c r="K2">
        <v>1.845</v>
      </c>
    </row>
    <row r="3" spans="1:11" x14ac:dyDescent="0.4">
      <c r="A3">
        <v>2021</v>
      </c>
      <c r="B3">
        <v>9</v>
      </c>
      <c r="C3" t="s">
        <v>4</v>
      </c>
      <c r="D3">
        <v>5083</v>
      </c>
      <c r="E3">
        <v>5491</v>
      </c>
      <c r="F3">
        <f t="shared" ref="F3:F6" si="0">E3/1000</f>
        <v>5.4909999999999997</v>
      </c>
    </row>
    <row r="4" spans="1:11" x14ac:dyDescent="0.4">
      <c r="A4">
        <v>2022</v>
      </c>
      <c r="B4">
        <v>9</v>
      </c>
      <c r="C4" t="s">
        <v>4</v>
      </c>
      <c r="D4">
        <v>5896</v>
      </c>
      <c r="E4">
        <v>6518</v>
      </c>
      <c r="F4">
        <f t="shared" si="0"/>
        <v>6.5179999999999998</v>
      </c>
    </row>
    <row r="5" spans="1:11" x14ac:dyDescent="0.4">
      <c r="A5">
        <v>2023</v>
      </c>
      <c r="B5">
        <v>9</v>
      </c>
      <c r="C5" t="s">
        <v>4</v>
      </c>
      <c r="D5">
        <v>4879</v>
      </c>
      <c r="E5">
        <v>5372</v>
      </c>
      <c r="F5">
        <f t="shared" si="0"/>
        <v>5.3719999999999999</v>
      </c>
    </row>
    <row r="6" spans="1:11" x14ac:dyDescent="0.4">
      <c r="A6">
        <v>2024</v>
      </c>
      <c r="B6">
        <v>9</v>
      </c>
      <c r="C6" t="s">
        <v>4</v>
      </c>
      <c r="D6">
        <v>1684</v>
      </c>
      <c r="E6">
        <v>1845</v>
      </c>
      <c r="F6">
        <f t="shared" si="0"/>
        <v>1.845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6E3-766B-492F-9B2B-798E78184681}">
  <sheetPr>
    <pageSetUpPr fitToPage="1"/>
  </sheetPr>
  <dimension ref="A1:S71"/>
  <sheetViews>
    <sheetView workbookViewId="0">
      <selection activeCell="A49" sqref="A49:N71"/>
    </sheetView>
  </sheetViews>
  <sheetFormatPr defaultRowHeight="14.6" x14ac:dyDescent="0.4"/>
  <cols>
    <col min="1" max="1" width="11.69140625" customWidth="1"/>
    <col min="3" max="3" width="16.53515625" customWidth="1"/>
    <col min="4" max="4" width="10.53515625" customWidth="1"/>
    <col min="7" max="7" width="11.07421875" customWidth="1"/>
    <col min="9" max="9" width="10.69140625" customWidth="1"/>
    <col min="10" max="10" width="10.15234375" customWidth="1"/>
    <col min="13" max="13" width="10.921875" customWidth="1"/>
    <col min="15" max="15" width="11.53515625" customWidth="1"/>
    <col min="16" max="16" width="10.921875" customWidth="1"/>
    <col min="17" max="17" width="11.69140625" customWidth="1"/>
    <col min="18" max="18" width="12.3046875" customWidth="1"/>
    <col min="19" max="19" width="11.4609375" customWidth="1"/>
  </cols>
  <sheetData>
    <row r="1" spans="1:1" x14ac:dyDescent="0.4">
      <c r="A1" t="s">
        <v>21</v>
      </c>
    </row>
    <row r="3" spans="1:1" x14ac:dyDescent="0.4">
      <c r="A3" t="s">
        <v>22</v>
      </c>
    </row>
    <row r="5" spans="1:1" x14ac:dyDescent="0.4">
      <c r="A5" t="s">
        <v>23</v>
      </c>
    </row>
    <row r="7" spans="1:1" x14ac:dyDescent="0.4">
      <c r="A7" t="s">
        <v>24</v>
      </c>
    </row>
    <row r="9" spans="1:1" x14ac:dyDescent="0.4">
      <c r="A9" t="s">
        <v>25</v>
      </c>
    </row>
    <row r="11" spans="1:1" x14ac:dyDescent="0.4">
      <c r="A11" t="s">
        <v>26</v>
      </c>
    </row>
    <row r="13" spans="1:1" x14ac:dyDescent="0.4">
      <c r="A13" t="s">
        <v>27</v>
      </c>
    </row>
    <row r="15" spans="1:1" x14ac:dyDescent="0.4">
      <c r="A15" t="s">
        <v>28</v>
      </c>
    </row>
    <row r="17" spans="1:4" x14ac:dyDescent="0.4">
      <c r="A17" t="s">
        <v>29</v>
      </c>
    </row>
    <row r="19" spans="1:4" x14ac:dyDescent="0.4">
      <c r="A19" t="s">
        <v>30</v>
      </c>
    </row>
    <row r="21" spans="1:4" x14ac:dyDescent="0.4">
      <c r="A21" t="s">
        <v>31</v>
      </c>
    </row>
    <row r="23" spans="1:4" x14ac:dyDescent="0.4">
      <c r="A23" t="s">
        <v>32</v>
      </c>
    </row>
    <row r="25" spans="1:4" x14ac:dyDescent="0.4">
      <c r="A25" t="s">
        <v>33</v>
      </c>
    </row>
    <row r="27" spans="1:4" x14ac:dyDescent="0.4">
      <c r="A27" t="s">
        <v>34</v>
      </c>
    </row>
    <row r="29" spans="1:4" x14ac:dyDescent="0.4">
      <c r="A29" t="s">
        <v>35</v>
      </c>
      <c r="B29" t="s">
        <v>36</v>
      </c>
      <c r="C29" t="s">
        <v>37</v>
      </c>
      <c r="D29" t="s">
        <v>38</v>
      </c>
    </row>
    <row r="31" spans="1:4" x14ac:dyDescent="0.4">
      <c r="A31" t="s">
        <v>39</v>
      </c>
    </row>
    <row r="33" spans="1:5" x14ac:dyDescent="0.4">
      <c r="A33" t="s">
        <v>40</v>
      </c>
      <c r="B33" t="s">
        <v>41</v>
      </c>
    </row>
    <row r="35" spans="1:5" x14ac:dyDescent="0.4">
      <c r="A35" t="s">
        <v>42</v>
      </c>
      <c r="B35" t="s">
        <v>43</v>
      </c>
    </row>
    <row r="37" spans="1:5" x14ac:dyDescent="0.4">
      <c r="A37" t="s">
        <v>44</v>
      </c>
    </row>
    <row r="39" spans="1:5" x14ac:dyDescent="0.4">
      <c r="A39" t="s">
        <v>45</v>
      </c>
      <c r="B39" t="s">
        <v>46</v>
      </c>
    </row>
    <row r="41" spans="1:5" x14ac:dyDescent="0.4">
      <c r="A41" t="s">
        <v>47</v>
      </c>
      <c r="B41" t="s">
        <v>48</v>
      </c>
    </row>
    <row r="43" spans="1:5" x14ac:dyDescent="0.4">
      <c r="A43" t="s">
        <v>49</v>
      </c>
    </row>
    <row r="45" spans="1:5" x14ac:dyDescent="0.4">
      <c r="A45" t="s">
        <v>50</v>
      </c>
      <c r="B45" t="s">
        <v>51</v>
      </c>
      <c r="C45" t="s">
        <v>52</v>
      </c>
      <c r="D45" t="s">
        <v>53</v>
      </c>
      <c r="E45" t="s">
        <v>54</v>
      </c>
    </row>
    <row r="47" spans="1:5" x14ac:dyDescent="0.4">
      <c r="A47" t="s">
        <v>55</v>
      </c>
      <c r="B47" t="s">
        <v>56</v>
      </c>
    </row>
    <row r="49" spans="1:19" s="5" customFormat="1" ht="116.6" x14ac:dyDescent="0.4">
      <c r="A49" s="4" t="s">
        <v>57</v>
      </c>
      <c r="B49" s="4" t="s">
        <v>58</v>
      </c>
      <c r="C49" s="4" t="s">
        <v>59</v>
      </c>
      <c r="D49" s="4" t="s">
        <v>60</v>
      </c>
      <c r="E49" s="4" t="s">
        <v>61</v>
      </c>
      <c r="F49" s="4" t="s">
        <v>62</v>
      </c>
      <c r="G49" s="4" t="s">
        <v>63</v>
      </c>
      <c r="H49" s="4" t="s">
        <v>64</v>
      </c>
      <c r="I49" s="4" t="s">
        <v>65</v>
      </c>
      <c r="J49" s="4" t="s">
        <v>66</v>
      </c>
      <c r="K49" s="4" t="s">
        <v>67</v>
      </c>
      <c r="L49" s="4" t="s">
        <v>68</v>
      </c>
      <c r="M49" s="4" t="s">
        <v>69</v>
      </c>
      <c r="N49" s="4" t="s">
        <v>70</v>
      </c>
      <c r="O49" s="4" t="s">
        <v>71</v>
      </c>
      <c r="P49" s="4" t="s">
        <v>72</v>
      </c>
      <c r="Q49" s="4" t="s">
        <v>73</v>
      </c>
      <c r="R49" s="4" t="s">
        <v>74</v>
      </c>
      <c r="S49" s="4" t="s">
        <v>75</v>
      </c>
    </row>
    <row r="50" spans="1:19" x14ac:dyDescent="0.4">
      <c r="A50" s="6" t="s">
        <v>76</v>
      </c>
      <c r="B50" s="6">
        <v>2003</v>
      </c>
      <c r="C50" s="6" t="s">
        <v>15</v>
      </c>
      <c r="D50" s="6" t="s">
        <v>77</v>
      </c>
      <c r="E50" s="6">
        <v>47.9</v>
      </c>
      <c r="F50" s="6" t="s">
        <v>78</v>
      </c>
      <c r="G50" s="6" t="s">
        <v>79</v>
      </c>
      <c r="H50" s="6">
        <v>3437</v>
      </c>
      <c r="I50" s="6">
        <v>210</v>
      </c>
      <c r="J50" s="6">
        <v>6665</v>
      </c>
      <c r="K50" s="6">
        <v>74</v>
      </c>
      <c r="L50" s="6" t="s">
        <v>80</v>
      </c>
      <c r="M50" s="6" t="s">
        <v>80</v>
      </c>
      <c r="N50" s="6">
        <v>22841</v>
      </c>
      <c r="O50" s="6">
        <v>0</v>
      </c>
      <c r="P50" s="6">
        <v>55969</v>
      </c>
      <c r="Q50" s="6">
        <v>2632</v>
      </c>
      <c r="R50" s="7">
        <v>0</v>
      </c>
      <c r="S50" s="7">
        <v>0</v>
      </c>
    </row>
    <row r="51" spans="1:19" x14ac:dyDescent="0.4">
      <c r="A51" s="6" t="s">
        <v>76</v>
      </c>
      <c r="B51" s="6">
        <v>2004</v>
      </c>
      <c r="C51" s="6" t="s">
        <v>15</v>
      </c>
      <c r="D51" s="6" t="s">
        <v>77</v>
      </c>
      <c r="E51" s="6">
        <v>51.5</v>
      </c>
      <c r="F51" s="6" t="s">
        <v>80</v>
      </c>
      <c r="G51" s="6" t="s">
        <v>80</v>
      </c>
      <c r="H51" s="6">
        <v>1555</v>
      </c>
      <c r="I51" s="6">
        <v>0</v>
      </c>
      <c r="J51" s="6">
        <v>3124</v>
      </c>
      <c r="K51" s="6" t="s">
        <v>81</v>
      </c>
      <c r="L51" s="6" t="s">
        <v>80</v>
      </c>
      <c r="M51" s="6"/>
      <c r="N51" s="6">
        <v>10549</v>
      </c>
      <c r="O51" s="6" t="s">
        <v>81</v>
      </c>
      <c r="P51" s="6" t="s">
        <v>81</v>
      </c>
      <c r="Q51" s="6">
        <v>1027</v>
      </c>
      <c r="R51" s="7">
        <v>0</v>
      </c>
      <c r="S51" s="7">
        <v>0</v>
      </c>
    </row>
    <row r="52" spans="1:19" x14ac:dyDescent="0.4">
      <c r="A52" s="6" t="s">
        <v>76</v>
      </c>
      <c r="B52" s="6">
        <v>2005</v>
      </c>
      <c r="C52" s="6" t="s">
        <v>15</v>
      </c>
      <c r="D52" s="6" t="s">
        <v>77</v>
      </c>
      <c r="E52" s="6">
        <v>45.9</v>
      </c>
      <c r="F52" s="6" t="s">
        <v>78</v>
      </c>
      <c r="G52" s="6" t="s">
        <v>79</v>
      </c>
      <c r="H52" s="6">
        <v>1809</v>
      </c>
      <c r="I52" s="6">
        <v>182</v>
      </c>
      <c r="J52" s="6">
        <v>3437</v>
      </c>
      <c r="K52" s="6">
        <v>46.8</v>
      </c>
      <c r="L52" s="6" t="s">
        <v>78</v>
      </c>
      <c r="M52" s="6" t="s">
        <v>79</v>
      </c>
      <c r="N52" s="6">
        <v>70988</v>
      </c>
      <c r="O52" s="6">
        <v>5872</v>
      </c>
      <c r="P52" s="6">
        <v>136103</v>
      </c>
      <c r="Q52" s="6">
        <v>0</v>
      </c>
      <c r="R52" s="7">
        <v>0</v>
      </c>
      <c r="S52" s="7">
        <v>0</v>
      </c>
    </row>
    <row r="53" spans="1:19" x14ac:dyDescent="0.4">
      <c r="A53" s="6" t="s">
        <v>76</v>
      </c>
      <c r="B53" s="6">
        <v>2006</v>
      </c>
      <c r="C53" s="6" t="s">
        <v>15</v>
      </c>
      <c r="D53" s="6" t="s">
        <v>77</v>
      </c>
      <c r="E53" s="6">
        <v>52.4</v>
      </c>
      <c r="F53" s="6" t="s">
        <v>80</v>
      </c>
      <c r="G53" s="6" t="s">
        <v>80</v>
      </c>
      <c r="H53" s="6">
        <v>1595</v>
      </c>
      <c r="I53" s="6">
        <v>0</v>
      </c>
      <c r="J53" s="6">
        <v>3234</v>
      </c>
      <c r="K53" s="6" t="s">
        <v>81</v>
      </c>
      <c r="L53" s="6" t="s">
        <v>80</v>
      </c>
      <c r="M53" s="6"/>
      <c r="N53" s="6">
        <v>11708</v>
      </c>
      <c r="O53" s="6" t="s">
        <v>81</v>
      </c>
      <c r="P53" s="6" t="s">
        <v>81</v>
      </c>
      <c r="Q53" s="6">
        <v>1164</v>
      </c>
      <c r="R53" s="7">
        <v>0</v>
      </c>
      <c r="S53" s="7">
        <v>0</v>
      </c>
    </row>
    <row r="54" spans="1:19" x14ac:dyDescent="0.4">
      <c r="A54" s="6" t="s">
        <v>76</v>
      </c>
      <c r="B54" s="6">
        <v>2007</v>
      </c>
      <c r="C54" s="6" t="s">
        <v>15</v>
      </c>
      <c r="D54" s="6" t="s">
        <v>77</v>
      </c>
      <c r="E54" s="6">
        <v>45.4</v>
      </c>
      <c r="F54" s="6" t="s">
        <v>78</v>
      </c>
      <c r="G54" s="6" t="s">
        <v>79</v>
      </c>
      <c r="H54" s="6">
        <v>1405</v>
      </c>
      <c r="I54" s="6">
        <v>155</v>
      </c>
      <c r="J54" s="6">
        <v>2655</v>
      </c>
      <c r="K54" s="6" t="s">
        <v>81</v>
      </c>
      <c r="L54" s="6"/>
      <c r="M54" s="6"/>
      <c r="N54" s="6" t="s">
        <v>81</v>
      </c>
      <c r="O54" s="6" t="s">
        <v>81</v>
      </c>
      <c r="P54" s="6" t="s">
        <v>81</v>
      </c>
      <c r="Q54" s="6">
        <v>1405</v>
      </c>
      <c r="R54" s="7">
        <v>0</v>
      </c>
      <c r="S54" s="7">
        <v>0</v>
      </c>
    </row>
    <row r="55" spans="1:19" x14ac:dyDescent="0.4">
      <c r="A55" s="6" t="s">
        <v>76</v>
      </c>
      <c r="B55" s="6">
        <v>2008</v>
      </c>
      <c r="C55" s="6" t="s">
        <v>15</v>
      </c>
      <c r="D55" s="6" t="s">
        <v>77</v>
      </c>
      <c r="E55" s="6">
        <v>100</v>
      </c>
      <c r="F55" s="6" t="s">
        <v>80</v>
      </c>
      <c r="G55" s="6" t="s">
        <v>80</v>
      </c>
      <c r="H55" s="6">
        <v>164</v>
      </c>
      <c r="I55" s="6">
        <v>0</v>
      </c>
      <c r="J55" s="6">
        <v>486</v>
      </c>
      <c r="K55" s="6" t="s">
        <v>81</v>
      </c>
      <c r="L55" s="6" t="s">
        <v>80</v>
      </c>
      <c r="M55" s="6"/>
      <c r="N55" s="6">
        <v>3282</v>
      </c>
      <c r="O55" s="6" t="s">
        <v>81</v>
      </c>
      <c r="P55" s="6" t="s">
        <v>81</v>
      </c>
      <c r="Q55" s="6">
        <v>0</v>
      </c>
      <c r="R55" s="7">
        <v>0</v>
      </c>
      <c r="S55" s="7">
        <v>0</v>
      </c>
    </row>
    <row r="56" spans="1:19" x14ac:dyDescent="0.4">
      <c r="A56" s="6" t="s">
        <v>76</v>
      </c>
      <c r="B56" s="6">
        <v>2009</v>
      </c>
      <c r="C56" s="6" t="s">
        <v>15</v>
      </c>
      <c r="D56" s="6" t="s">
        <v>77</v>
      </c>
      <c r="E56" s="6">
        <v>61.3</v>
      </c>
      <c r="F56" s="6" t="s">
        <v>80</v>
      </c>
      <c r="G56" s="6" t="s">
        <v>80</v>
      </c>
      <c r="H56" s="6">
        <v>699</v>
      </c>
      <c r="I56" s="6">
        <v>0</v>
      </c>
      <c r="J56" s="6">
        <v>1538</v>
      </c>
      <c r="K56" s="6" t="s">
        <v>81</v>
      </c>
      <c r="L56" s="6"/>
      <c r="M56" s="6"/>
      <c r="N56" s="6" t="s">
        <v>81</v>
      </c>
      <c r="O56" s="6" t="s">
        <v>81</v>
      </c>
      <c r="P56" s="6" t="s">
        <v>81</v>
      </c>
      <c r="Q56" s="6">
        <v>699</v>
      </c>
      <c r="R56" s="7">
        <v>0</v>
      </c>
      <c r="S56" s="7">
        <v>0</v>
      </c>
    </row>
    <row r="57" spans="1:19" x14ac:dyDescent="0.4">
      <c r="A57" s="6" t="s">
        <v>76</v>
      </c>
      <c r="B57" s="6">
        <v>2010</v>
      </c>
      <c r="C57" s="6" t="s">
        <v>15</v>
      </c>
      <c r="D57" s="6" t="s">
        <v>77</v>
      </c>
      <c r="E57" s="6" t="s">
        <v>81</v>
      </c>
      <c r="F57" s="6"/>
      <c r="G57" s="6"/>
      <c r="H57" s="6" t="s">
        <v>81</v>
      </c>
      <c r="I57" s="6" t="s">
        <v>81</v>
      </c>
      <c r="J57" s="6" t="s">
        <v>81</v>
      </c>
      <c r="K57" s="6" t="s">
        <v>81</v>
      </c>
      <c r="L57" s="6"/>
      <c r="M57" s="6"/>
      <c r="N57" s="6" t="s">
        <v>81</v>
      </c>
      <c r="O57" s="6" t="s">
        <v>81</v>
      </c>
      <c r="P57" s="6" t="s">
        <v>81</v>
      </c>
      <c r="Q57" s="6" t="s">
        <v>81</v>
      </c>
      <c r="R57" s="7">
        <v>0</v>
      </c>
      <c r="S57" s="7">
        <v>0</v>
      </c>
    </row>
    <row r="58" spans="1:19" x14ac:dyDescent="0.4">
      <c r="A58" s="6" t="s">
        <v>76</v>
      </c>
      <c r="B58" s="6">
        <v>2011</v>
      </c>
      <c r="C58" s="6" t="s">
        <v>15</v>
      </c>
      <c r="D58" s="6" t="s">
        <v>77</v>
      </c>
      <c r="E58" s="6">
        <v>99.3</v>
      </c>
      <c r="F58" s="6" t="s">
        <v>80</v>
      </c>
      <c r="G58" s="6" t="s">
        <v>80</v>
      </c>
      <c r="H58" s="6">
        <v>177</v>
      </c>
      <c r="I58" s="6">
        <v>0</v>
      </c>
      <c r="J58" s="6">
        <v>520</v>
      </c>
      <c r="K58" s="6" t="s">
        <v>81</v>
      </c>
      <c r="L58" s="6"/>
      <c r="M58" s="6"/>
      <c r="N58" s="6" t="s">
        <v>81</v>
      </c>
      <c r="O58" s="6" t="s">
        <v>81</v>
      </c>
      <c r="P58" s="6" t="s">
        <v>81</v>
      </c>
      <c r="Q58" s="6">
        <v>177</v>
      </c>
      <c r="R58" s="7">
        <v>0</v>
      </c>
      <c r="S58" s="7">
        <v>0</v>
      </c>
    </row>
    <row r="59" spans="1:19" x14ac:dyDescent="0.4">
      <c r="A59" s="6" t="s">
        <v>76</v>
      </c>
      <c r="B59" s="6">
        <v>2012</v>
      </c>
      <c r="C59" s="6" t="s">
        <v>15</v>
      </c>
      <c r="D59" s="6" t="s">
        <v>77</v>
      </c>
      <c r="E59" s="6">
        <v>61.4</v>
      </c>
      <c r="F59" s="6" t="s">
        <v>80</v>
      </c>
      <c r="G59" s="6" t="s">
        <v>80</v>
      </c>
      <c r="H59" s="6">
        <v>2024</v>
      </c>
      <c r="I59" s="6">
        <v>0</v>
      </c>
      <c r="J59" s="6">
        <v>4460</v>
      </c>
      <c r="K59" s="6" t="s">
        <v>81</v>
      </c>
      <c r="L59" s="6" t="s">
        <v>80</v>
      </c>
      <c r="M59" s="6"/>
      <c r="N59" s="6">
        <v>7193</v>
      </c>
      <c r="O59" s="6" t="s">
        <v>81</v>
      </c>
      <c r="P59" s="6" t="s">
        <v>81</v>
      </c>
      <c r="Q59" s="6">
        <v>1584</v>
      </c>
      <c r="R59" s="7">
        <v>0</v>
      </c>
      <c r="S59" s="7">
        <v>0</v>
      </c>
    </row>
    <row r="60" spans="1:19" x14ac:dyDescent="0.4">
      <c r="A60" s="6" t="s">
        <v>76</v>
      </c>
      <c r="B60" s="6">
        <v>2013</v>
      </c>
      <c r="C60" s="6" t="s">
        <v>15</v>
      </c>
      <c r="D60" s="6" t="s">
        <v>77</v>
      </c>
      <c r="E60" s="6">
        <v>54.5</v>
      </c>
      <c r="F60" s="6" t="s">
        <v>80</v>
      </c>
      <c r="G60" s="6" t="s">
        <v>80</v>
      </c>
      <c r="H60" s="6">
        <v>383</v>
      </c>
      <c r="I60" s="6">
        <v>0</v>
      </c>
      <c r="J60" s="6">
        <v>792</v>
      </c>
      <c r="K60" s="6" t="s">
        <v>81</v>
      </c>
      <c r="L60" s="6" t="s">
        <v>80</v>
      </c>
      <c r="M60" s="6"/>
      <c r="N60" s="6">
        <v>15044</v>
      </c>
      <c r="O60" s="6" t="s">
        <v>81</v>
      </c>
      <c r="P60" s="6" t="s">
        <v>81</v>
      </c>
      <c r="Q60" s="6">
        <v>0</v>
      </c>
      <c r="R60" s="7">
        <v>0</v>
      </c>
      <c r="S60" s="7">
        <v>0</v>
      </c>
    </row>
    <row r="61" spans="1:19" x14ac:dyDescent="0.4">
      <c r="A61" s="6" t="s">
        <v>76</v>
      </c>
      <c r="B61" s="6">
        <v>2014</v>
      </c>
      <c r="C61" s="6" t="s">
        <v>15</v>
      </c>
      <c r="D61" s="6" t="s">
        <v>77</v>
      </c>
      <c r="E61" s="6">
        <v>42.4</v>
      </c>
      <c r="F61" s="6" t="s">
        <v>78</v>
      </c>
      <c r="G61" s="6" t="s">
        <v>79</v>
      </c>
      <c r="H61" s="6">
        <v>2228</v>
      </c>
      <c r="I61" s="6">
        <v>376</v>
      </c>
      <c r="J61" s="6">
        <v>4079</v>
      </c>
      <c r="K61" s="6" t="s">
        <v>81</v>
      </c>
      <c r="L61" s="6" t="s">
        <v>80</v>
      </c>
      <c r="M61" s="6"/>
      <c r="N61" s="6">
        <v>3273</v>
      </c>
      <c r="O61" s="6" t="s">
        <v>81</v>
      </c>
      <c r="P61" s="6" t="s">
        <v>81</v>
      </c>
      <c r="Q61" s="6">
        <v>2080</v>
      </c>
      <c r="R61" s="7">
        <v>0</v>
      </c>
      <c r="S61" s="7">
        <v>0</v>
      </c>
    </row>
    <row r="62" spans="1:19" x14ac:dyDescent="0.4">
      <c r="A62" s="6" t="s">
        <v>76</v>
      </c>
      <c r="B62" s="6">
        <v>2015</v>
      </c>
      <c r="C62" s="6" t="s">
        <v>15</v>
      </c>
      <c r="D62" s="6" t="s">
        <v>77</v>
      </c>
      <c r="E62" s="6">
        <v>40.4</v>
      </c>
      <c r="F62" s="6" t="s">
        <v>78</v>
      </c>
      <c r="G62" s="6" t="s">
        <v>79</v>
      </c>
      <c r="H62" s="6">
        <v>1073</v>
      </c>
      <c r="I62" s="6">
        <v>223</v>
      </c>
      <c r="J62" s="6">
        <v>1923</v>
      </c>
      <c r="K62" s="6" t="s">
        <v>81</v>
      </c>
      <c r="L62" s="6"/>
      <c r="M62" s="6"/>
      <c r="N62" s="6" t="s">
        <v>81</v>
      </c>
      <c r="O62" s="6" t="s">
        <v>81</v>
      </c>
      <c r="P62" s="6" t="s">
        <v>81</v>
      </c>
      <c r="Q62" s="6">
        <v>1073</v>
      </c>
      <c r="R62" s="7">
        <v>0</v>
      </c>
      <c r="S62" s="7">
        <v>0</v>
      </c>
    </row>
    <row r="63" spans="1:19" x14ac:dyDescent="0.4">
      <c r="A63" s="6" t="s">
        <v>76</v>
      </c>
      <c r="B63" s="6">
        <v>2016</v>
      </c>
      <c r="C63" s="6" t="s">
        <v>15</v>
      </c>
      <c r="D63" s="6" t="s">
        <v>77</v>
      </c>
      <c r="E63" s="6">
        <v>59.2</v>
      </c>
      <c r="F63" s="6" t="s">
        <v>80</v>
      </c>
      <c r="G63" s="6" t="s">
        <v>80</v>
      </c>
      <c r="H63" s="6">
        <v>326</v>
      </c>
      <c r="I63" s="6">
        <v>0</v>
      </c>
      <c r="J63" s="6">
        <v>704</v>
      </c>
      <c r="K63" s="6" t="s">
        <v>81</v>
      </c>
      <c r="L63" s="6"/>
      <c r="M63" s="6"/>
      <c r="N63" s="6" t="s">
        <v>81</v>
      </c>
      <c r="O63" s="6" t="s">
        <v>81</v>
      </c>
      <c r="P63" s="6" t="s">
        <v>81</v>
      </c>
      <c r="Q63" s="6">
        <v>326</v>
      </c>
      <c r="R63" s="7">
        <v>0</v>
      </c>
      <c r="S63" s="7">
        <v>0</v>
      </c>
    </row>
    <row r="64" spans="1:19" x14ac:dyDescent="0.4">
      <c r="A64" s="6" t="s">
        <v>76</v>
      </c>
      <c r="B64" s="6">
        <v>2017</v>
      </c>
      <c r="C64" s="6" t="s">
        <v>15</v>
      </c>
      <c r="D64" s="6" t="s">
        <v>77</v>
      </c>
      <c r="E64" s="6">
        <v>59.1</v>
      </c>
      <c r="F64" s="6" t="s">
        <v>80</v>
      </c>
      <c r="G64" s="6" t="s">
        <v>80</v>
      </c>
      <c r="H64" s="6">
        <v>582</v>
      </c>
      <c r="I64" s="6">
        <v>0</v>
      </c>
      <c r="J64" s="6">
        <v>1256</v>
      </c>
      <c r="K64" s="6" t="s">
        <v>81</v>
      </c>
      <c r="L64" s="6"/>
      <c r="M64" s="6"/>
      <c r="N64" s="6" t="s">
        <v>81</v>
      </c>
      <c r="O64" s="6" t="s">
        <v>81</v>
      </c>
      <c r="P64" s="6" t="s">
        <v>81</v>
      </c>
      <c r="Q64" s="6">
        <v>582</v>
      </c>
      <c r="R64" s="7">
        <v>0</v>
      </c>
      <c r="S64" s="7">
        <v>0</v>
      </c>
    </row>
    <row r="65" spans="1:19" x14ac:dyDescent="0.4">
      <c r="A65" s="6" t="s">
        <v>76</v>
      </c>
      <c r="B65" s="6">
        <v>2018</v>
      </c>
      <c r="C65" s="6" t="s">
        <v>15</v>
      </c>
      <c r="D65" s="6" t="s">
        <v>77</v>
      </c>
      <c r="E65" s="6">
        <v>100.4</v>
      </c>
      <c r="F65" s="6" t="s">
        <v>80</v>
      </c>
      <c r="G65" s="6" t="s">
        <v>80</v>
      </c>
      <c r="H65" s="6">
        <v>767</v>
      </c>
      <c r="I65" s="6">
        <v>0</v>
      </c>
      <c r="J65" s="6">
        <v>2276</v>
      </c>
      <c r="K65" s="6" t="s">
        <v>81</v>
      </c>
      <c r="L65" s="6" t="s">
        <v>80</v>
      </c>
      <c r="M65" s="6"/>
      <c r="N65" s="6">
        <v>29045</v>
      </c>
      <c r="O65" s="6" t="s">
        <v>81</v>
      </c>
      <c r="P65" s="6" t="s">
        <v>81</v>
      </c>
      <c r="Q65" s="6">
        <v>0</v>
      </c>
      <c r="R65" s="7">
        <v>0</v>
      </c>
      <c r="S65" s="7">
        <v>0</v>
      </c>
    </row>
    <row r="66" spans="1:19" x14ac:dyDescent="0.4">
      <c r="A66" s="6" t="s">
        <v>76</v>
      </c>
      <c r="B66" s="6">
        <v>2019</v>
      </c>
      <c r="C66" s="6" t="s">
        <v>15</v>
      </c>
      <c r="D66" s="6" t="s">
        <v>77</v>
      </c>
      <c r="E66" s="6">
        <v>45.8</v>
      </c>
      <c r="F66" s="6" t="s">
        <v>78</v>
      </c>
      <c r="G66" s="6" t="s">
        <v>79</v>
      </c>
      <c r="H66" s="6">
        <v>1643</v>
      </c>
      <c r="I66" s="6">
        <v>168</v>
      </c>
      <c r="J66" s="6">
        <v>3118</v>
      </c>
      <c r="K66" s="6" t="s">
        <v>81</v>
      </c>
      <c r="L66" s="6"/>
      <c r="M66" s="6"/>
      <c r="N66" s="6" t="s">
        <v>81</v>
      </c>
      <c r="O66" s="6" t="s">
        <v>81</v>
      </c>
      <c r="P66" s="6" t="s">
        <v>81</v>
      </c>
      <c r="Q66" s="6">
        <v>1643</v>
      </c>
      <c r="R66" s="7">
        <v>0</v>
      </c>
      <c r="S66" s="7">
        <v>0</v>
      </c>
    </row>
    <row r="67" spans="1:19" x14ac:dyDescent="0.4">
      <c r="A67" s="6" t="s">
        <v>76</v>
      </c>
      <c r="B67" s="6">
        <v>2020</v>
      </c>
      <c r="C67" s="6" t="s">
        <v>15</v>
      </c>
      <c r="D67" s="6" t="s">
        <v>77</v>
      </c>
      <c r="E67" s="6">
        <v>57.3</v>
      </c>
      <c r="F67" s="6" t="s">
        <v>80</v>
      </c>
      <c r="G67" s="6" t="s">
        <v>80</v>
      </c>
      <c r="H67" s="6">
        <v>1607</v>
      </c>
      <c r="I67" s="6">
        <v>0</v>
      </c>
      <c r="J67" s="6">
        <v>3411</v>
      </c>
      <c r="K67" s="6" t="s">
        <v>81</v>
      </c>
      <c r="L67" s="6" t="s">
        <v>80</v>
      </c>
      <c r="M67" s="6"/>
      <c r="N67" s="6">
        <v>14214</v>
      </c>
      <c r="O67" s="6" t="s">
        <v>81</v>
      </c>
      <c r="P67" s="6" t="s">
        <v>81</v>
      </c>
      <c r="Q67" s="6">
        <v>1231</v>
      </c>
      <c r="R67" s="7">
        <v>0.23</v>
      </c>
      <c r="S67" s="7">
        <v>1</v>
      </c>
    </row>
    <row r="68" spans="1:19" x14ac:dyDescent="0.4">
      <c r="A68" s="6" t="s">
        <v>76</v>
      </c>
      <c r="B68" s="6">
        <v>2021</v>
      </c>
      <c r="C68" s="6" t="s">
        <v>15</v>
      </c>
      <c r="D68" s="6" t="s">
        <v>77</v>
      </c>
      <c r="E68" s="6">
        <v>60.3</v>
      </c>
      <c r="F68" s="6" t="s">
        <v>80</v>
      </c>
      <c r="G68" s="6" t="s">
        <v>80</v>
      </c>
      <c r="H68" s="6">
        <v>1281</v>
      </c>
      <c r="I68" s="6">
        <v>0</v>
      </c>
      <c r="J68" s="6">
        <v>2795</v>
      </c>
      <c r="K68" s="6" t="s">
        <v>81</v>
      </c>
      <c r="L68" s="6"/>
      <c r="M68" s="6"/>
      <c r="N68" s="6" t="s">
        <v>81</v>
      </c>
      <c r="O68" s="6" t="s">
        <v>81</v>
      </c>
      <c r="P68" s="6" t="s">
        <v>81</v>
      </c>
      <c r="Q68" s="6">
        <v>1281</v>
      </c>
      <c r="R68" s="7">
        <v>0</v>
      </c>
      <c r="S68" s="7">
        <v>0</v>
      </c>
    </row>
    <row r="69" spans="1:19" x14ac:dyDescent="0.4">
      <c r="A69" s="6" t="s">
        <v>76</v>
      </c>
      <c r="B69" s="6">
        <v>2022</v>
      </c>
      <c r="C69" s="6" t="s">
        <v>15</v>
      </c>
      <c r="D69" s="6" t="s">
        <v>77</v>
      </c>
      <c r="E69" s="6">
        <v>51.4</v>
      </c>
      <c r="F69" s="6" t="s">
        <v>80</v>
      </c>
      <c r="G69" s="6" t="s">
        <v>80</v>
      </c>
      <c r="H69" s="6">
        <v>2333</v>
      </c>
      <c r="I69" s="6">
        <v>0</v>
      </c>
      <c r="J69" s="6">
        <v>4684</v>
      </c>
      <c r="K69" s="6" t="s">
        <v>81</v>
      </c>
      <c r="L69" s="6"/>
      <c r="M69" s="6"/>
      <c r="N69" s="6" t="s">
        <v>81</v>
      </c>
      <c r="O69" s="6" t="s">
        <v>81</v>
      </c>
      <c r="P69" s="6" t="s">
        <v>81</v>
      </c>
      <c r="Q69" s="6">
        <v>2333</v>
      </c>
      <c r="R69" s="7">
        <v>0</v>
      </c>
      <c r="S69" s="7">
        <v>0</v>
      </c>
    </row>
    <row r="70" spans="1:19" x14ac:dyDescent="0.4">
      <c r="A70" s="6" t="s">
        <v>76</v>
      </c>
      <c r="B70" s="6">
        <v>2023</v>
      </c>
      <c r="C70" s="6" t="s">
        <v>15</v>
      </c>
      <c r="D70" s="6" t="s">
        <v>77</v>
      </c>
      <c r="E70" s="6">
        <v>104.4</v>
      </c>
      <c r="F70" s="6" t="s">
        <v>80</v>
      </c>
      <c r="G70" s="6" t="s">
        <v>80</v>
      </c>
      <c r="H70" s="6">
        <v>768</v>
      </c>
      <c r="I70" s="6">
        <v>0</v>
      </c>
      <c r="J70" s="6">
        <v>2341</v>
      </c>
      <c r="K70" s="6" t="s">
        <v>81</v>
      </c>
      <c r="L70" s="6"/>
      <c r="M70" s="6"/>
      <c r="N70" s="6" t="s">
        <v>81</v>
      </c>
      <c r="O70" s="6" t="s">
        <v>81</v>
      </c>
      <c r="P70" s="6" t="s">
        <v>81</v>
      </c>
      <c r="Q70" s="6">
        <v>768</v>
      </c>
      <c r="R70" s="7">
        <v>0</v>
      </c>
      <c r="S70" s="7">
        <v>0</v>
      </c>
    </row>
    <row r="71" spans="1:19" x14ac:dyDescent="0.4">
      <c r="A71" s="6" t="s">
        <v>82</v>
      </c>
      <c r="B71" s="6">
        <v>2024</v>
      </c>
      <c r="C71" s="6" t="s">
        <v>15</v>
      </c>
      <c r="D71" s="6" t="s">
        <v>77</v>
      </c>
      <c r="E71" s="6">
        <v>43</v>
      </c>
      <c r="F71" s="6" t="s">
        <v>78</v>
      </c>
      <c r="G71" s="6" t="s">
        <v>79</v>
      </c>
      <c r="H71" s="6">
        <v>688</v>
      </c>
      <c r="I71" s="6">
        <v>108</v>
      </c>
      <c r="J71" s="6">
        <v>1268</v>
      </c>
      <c r="K71" s="6" t="s">
        <v>81</v>
      </c>
      <c r="L71" s="6"/>
      <c r="M71" s="6"/>
      <c r="N71" s="6" t="s">
        <v>81</v>
      </c>
      <c r="O71" s="6" t="s">
        <v>81</v>
      </c>
      <c r="P71" s="6" t="s">
        <v>81</v>
      </c>
      <c r="Q71" s="6">
        <v>688</v>
      </c>
      <c r="R71" s="7">
        <v>0</v>
      </c>
      <c r="S71" s="7">
        <v>0</v>
      </c>
    </row>
  </sheetData>
  <pageMargins left="0.25" right="0.25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WCNPO MLS Catch</vt:lpstr>
      <vt:lpstr>HI Longline MLS</vt:lpstr>
      <vt:lpstr>HI HDAR Non-Longline Catch</vt:lpstr>
      <vt:lpstr>US Yearbook Catch</vt:lpstr>
      <vt:lpstr>HI Dealer Non-Longline Catch</vt:lpstr>
      <vt:lpstr>HI MRIP Catch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2025-03-14T00:29:47Z</cp:lastPrinted>
  <dcterms:created xsi:type="dcterms:W3CDTF">2025-03-06T23:44:50Z</dcterms:created>
  <dcterms:modified xsi:type="dcterms:W3CDTF">2025-04-29T01:58:33Z</dcterms:modified>
</cp:coreProperties>
</file>