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n.brodziak\Desktop\2024 WCNPO MLS Rebuilding\2025 MLS projections\2020 Year Class\"/>
    </mc:Choice>
  </mc:AlternateContent>
  <xr:revisionPtr revIDLastSave="0" documentId="13_ncr:1_{F4B1AB07-8EFF-4497-A7BA-DB5C4AF9F0E3}" xr6:coauthVersionLast="47" xr6:coauthVersionMax="47" xr10:uidLastSave="{00000000-0000-0000-0000-000000000000}"/>
  <bookViews>
    <workbookView xWindow="1131" yWindow="1131" windowWidth="12952" windowHeight="7423" xr2:uid="{00000000-000D-0000-FFFF-FFFF00000000}"/>
  </bookViews>
  <sheets>
    <sheet name="2020 YC" sheetId="2" r:id="rId1"/>
    <sheet name="2023 bootstrap with MLE" sheetId="9" r:id="rId2"/>
    <sheet name="2023 SRR" sheetId="10" r:id="rId3"/>
    <sheet name="MLS time series" sheetId="11" r:id="rId4"/>
  </sheets>
  <definedNames>
    <definedName name="smoother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" i="2" l="1"/>
  <c r="F3" i="2"/>
  <c r="AC14" i="11"/>
  <c r="H49" i="2"/>
  <c r="H48" i="2"/>
  <c r="H47" i="2"/>
  <c r="H46" i="2"/>
  <c r="H45" i="2"/>
  <c r="H44" i="2"/>
  <c r="H43" i="2"/>
  <c r="H42" i="2"/>
  <c r="H41" i="2"/>
  <c r="H40" i="2"/>
  <c r="H39" i="2"/>
  <c r="H38" i="2"/>
  <c r="H37" i="2"/>
  <c r="H36" i="2"/>
  <c r="H35" i="2"/>
  <c r="H34" i="2"/>
  <c r="H33" i="2"/>
  <c r="H32" i="2"/>
  <c r="H31" i="2"/>
  <c r="H30" i="2"/>
  <c r="H29" i="2"/>
  <c r="H28" i="2"/>
  <c r="H27" i="2"/>
  <c r="H26" i="2"/>
  <c r="H25" i="2"/>
  <c r="H24" i="2"/>
  <c r="H23" i="2"/>
  <c r="H22" i="2"/>
  <c r="H21" i="2"/>
  <c r="H20" i="2"/>
  <c r="H19" i="2"/>
  <c r="H18" i="2"/>
  <c r="H17" i="2"/>
  <c r="H16" i="2"/>
  <c r="H15" i="2"/>
  <c r="H14" i="2"/>
  <c r="H13" i="2"/>
  <c r="H12" i="2"/>
  <c r="H11" i="2"/>
  <c r="H10" i="2"/>
  <c r="H9" i="2"/>
  <c r="H8" i="2"/>
  <c r="H7" i="2"/>
  <c r="H6" i="2"/>
  <c r="E7" i="2"/>
  <c r="E8" i="2" s="1"/>
  <c r="E9" i="2" s="1"/>
  <c r="E10" i="2" s="1"/>
  <c r="E11" i="2" s="1"/>
  <c r="E12" i="2" s="1"/>
  <c r="E13" i="2" s="1"/>
  <c r="E14" i="2" s="1"/>
  <c r="E15" i="2" s="1"/>
  <c r="E16" i="2" s="1"/>
  <c r="E17" i="2" s="1"/>
  <c r="E18" i="2" s="1"/>
  <c r="E19" i="2" s="1"/>
  <c r="E20" i="2" s="1"/>
  <c r="E21" i="2" s="1"/>
  <c r="E22" i="2" s="1"/>
  <c r="E23" i="2" s="1"/>
  <c r="E24" i="2" s="1"/>
  <c r="E25" i="2" s="1"/>
  <c r="E26" i="2" s="1"/>
  <c r="E27" i="2" s="1"/>
  <c r="E28" i="2" s="1"/>
  <c r="E29" i="2" s="1"/>
  <c r="E30" i="2" s="1"/>
  <c r="E31" i="2" s="1"/>
  <c r="E32" i="2" s="1"/>
  <c r="E33" i="2" s="1"/>
  <c r="E34" i="2" s="1"/>
  <c r="E35" i="2" s="1"/>
  <c r="E36" i="2" s="1"/>
  <c r="E37" i="2" s="1"/>
  <c r="E38" i="2" s="1"/>
  <c r="E39" i="2" s="1"/>
  <c r="E40" i="2" s="1"/>
  <c r="E41" i="2" s="1"/>
  <c r="E42" i="2" s="1"/>
  <c r="E43" i="2" s="1"/>
  <c r="E44" i="2" s="1"/>
  <c r="E45" i="2" s="1"/>
  <c r="E46" i="2" s="1"/>
  <c r="E47" i="2" s="1"/>
  <c r="E48" i="2" s="1"/>
  <c r="E49" i="2" s="1"/>
  <c r="AT59" i="11"/>
  <c r="AS59" i="11"/>
  <c r="AR59" i="11"/>
  <c r="AQ59" i="11"/>
  <c r="AO59" i="11"/>
  <c r="AN59" i="11"/>
  <c r="AM59" i="11"/>
  <c r="AL59" i="11"/>
  <c r="AG59" i="11"/>
  <c r="AE59" i="11"/>
  <c r="Y59" i="11"/>
  <c r="V59" i="11" s="1"/>
  <c r="R59" i="11" s="1"/>
  <c r="J59" i="11"/>
  <c r="I59" i="11"/>
  <c r="H59" i="11"/>
  <c r="G59" i="11"/>
  <c r="E59" i="11"/>
  <c r="F59" i="11" s="1"/>
  <c r="D59" i="11"/>
  <c r="C59" i="11"/>
  <c r="AT58" i="11"/>
  <c r="AS58" i="11"/>
  <c r="AR58" i="11"/>
  <c r="AQ58" i="11"/>
  <c r="AO58" i="11"/>
  <c r="AN58" i="11"/>
  <c r="AM58" i="11"/>
  <c r="AL58" i="11"/>
  <c r="AG58" i="11"/>
  <c r="AE58" i="11"/>
  <c r="Y58" i="11"/>
  <c r="W58" i="11"/>
  <c r="T58" i="11" s="1"/>
  <c r="P58" i="11" s="1"/>
  <c r="V58" i="11"/>
  <c r="R58" i="11" s="1"/>
  <c r="I58" i="11"/>
  <c r="J58" i="11" s="1"/>
  <c r="H58" i="11"/>
  <c r="G58" i="11"/>
  <c r="E58" i="11"/>
  <c r="F58" i="11" s="1"/>
  <c r="D58" i="11"/>
  <c r="C58" i="11"/>
  <c r="AT57" i="11"/>
  <c r="AS57" i="11"/>
  <c r="AR57" i="11"/>
  <c r="AQ57" i="11"/>
  <c r="AO57" i="11"/>
  <c r="AN57" i="11"/>
  <c r="AM57" i="11"/>
  <c r="AL57" i="11"/>
  <c r="AG57" i="11"/>
  <c r="AE57" i="11"/>
  <c r="Y57" i="11"/>
  <c r="V57" i="11"/>
  <c r="R57" i="11"/>
  <c r="I57" i="11"/>
  <c r="J57" i="11" s="1"/>
  <c r="H57" i="11"/>
  <c r="G57" i="11"/>
  <c r="E57" i="11"/>
  <c r="F57" i="11" s="1"/>
  <c r="D57" i="11"/>
  <c r="C57" i="11"/>
  <c r="AT56" i="11"/>
  <c r="AS56" i="11"/>
  <c r="AR56" i="11"/>
  <c r="AQ56" i="11"/>
  <c r="AO56" i="11"/>
  <c r="AN56" i="11"/>
  <c r="AM56" i="11"/>
  <c r="AL56" i="11"/>
  <c r="AG56" i="11"/>
  <c r="AE56" i="11"/>
  <c r="Y56" i="11"/>
  <c r="W56" i="11"/>
  <c r="V56" i="11"/>
  <c r="T56" i="11"/>
  <c r="P56" i="11" s="1"/>
  <c r="R56" i="11"/>
  <c r="I56" i="11"/>
  <c r="J56" i="11" s="1"/>
  <c r="H56" i="11"/>
  <c r="G56" i="11"/>
  <c r="E56" i="11"/>
  <c r="F56" i="11" s="1"/>
  <c r="D56" i="11"/>
  <c r="C56" i="11"/>
  <c r="AT55" i="11"/>
  <c r="AS55" i="11"/>
  <c r="AR55" i="11"/>
  <c r="AQ55" i="11"/>
  <c r="AO55" i="11"/>
  <c r="AN55" i="11"/>
  <c r="AM55" i="11"/>
  <c r="AL55" i="11"/>
  <c r="AI55" i="11"/>
  <c r="AG55" i="11"/>
  <c r="AE55" i="11"/>
  <c r="Y55" i="11"/>
  <c r="W55" i="11"/>
  <c r="T55" i="11" s="1"/>
  <c r="P55" i="11" s="1"/>
  <c r="V55" i="11"/>
  <c r="R55" i="11" s="1"/>
  <c r="I55" i="11"/>
  <c r="J55" i="11" s="1"/>
  <c r="H55" i="11"/>
  <c r="G55" i="11"/>
  <c r="E55" i="11"/>
  <c r="F55" i="11" s="1"/>
  <c r="D55" i="11"/>
  <c r="C55" i="11"/>
  <c r="AT54" i="11"/>
  <c r="AS54" i="11"/>
  <c r="AR54" i="11"/>
  <c r="AQ54" i="11"/>
  <c r="AO54" i="11"/>
  <c r="AN54" i="11"/>
  <c r="AM54" i="11"/>
  <c r="AL54" i="11"/>
  <c r="AI54" i="11"/>
  <c r="AG54" i="11"/>
  <c r="AE54" i="11"/>
  <c r="Y54" i="11"/>
  <c r="W54" i="11"/>
  <c r="T54" i="11" s="1"/>
  <c r="P54" i="11" s="1"/>
  <c r="V54" i="11"/>
  <c r="R54" i="11" s="1"/>
  <c r="I54" i="11"/>
  <c r="J54" i="11" s="1"/>
  <c r="H54" i="11"/>
  <c r="G54" i="11"/>
  <c r="E54" i="11"/>
  <c r="F54" i="11" s="1"/>
  <c r="D54" i="11"/>
  <c r="C54" i="11"/>
  <c r="AT53" i="11"/>
  <c r="AS53" i="11"/>
  <c r="AR53" i="11"/>
  <c r="AQ53" i="11"/>
  <c r="AO53" i="11"/>
  <c r="AN53" i="11"/>
  <c r="AM53" i="11"/>
  <c r="AL53" i="11"/>
  <c r="AI53" i="11"/>
  <c r="AG53" i="11"/>
  <c r="AE53" i="11"/>
  <c r="Y53" i="11"/>
  <c r="W53" i="11"/>
  <c r="T53" i="11" s="1"/>
  <c r="P53" i="11" s="1"/>
  <c r="V53" i="11"/>
  <c r="R53" i="11"/>
  <c r="I53" i="11"/>
  <c r="J53" i="11" s="1"/>
  <c r="H53" i="11"/>
  <c r="G53" i="11"/>
  <c r="E53" i="11"/>
  <c r="F53" i="11" s="1"/>
  <c r="D53" i="11"/>
  <c r="C53" i="11"/>
  <c r="AT52" i="11"/>
  <c r="AS52" i="11"/>
  <c r="AR52" i="11"/>
  <c r="AQ52" i="11"/>
  <c r="AO52" i="11"/>
  <c r="AN52" i="11"/>
  <c r="AM52" i="11"/>
  <c r="AL52" i="11"/>
  <c r="AG52" i="11"/>
  <c r="AE52" i="11"/>
  <c r="Y52" i="11"/>
  <c r="W52" i="11"/>
  <c r="T52" i="11" s="1"/>
  <c r="P52" i="11" s="1"/>
  <c r="V52" i="11"/>
  <c r="R52" i="11" s="1"/>
  <c r="I52" i="11"/>
  <c r="J52" i="11" s="1"/>
  <c r="H52" i="11"/>
  <c r="G52" i="11"/>
  <c r="E52" i="11"/>
  <c r="F52" i="11" s="1"/>
  <c r="D52" i="11"/>
  <c r="C52" i="11"/>
  <c r="AT51" i="11"/>
  <c r="AS51" i="11"/>
  <c r="AR51" i="11"/>
  <c r="AQ51" i="11"/>
  <c r="AO51" i="11"/>
  <c r="AN51" i="11"/>
  <c r="AM51" i="11"/>
  <c r="AL51" i="11"/>
  <c r="AG51" i="11"/>
  <c r="AE51" i="11"/>
  <c r="Y51" i="11"/>
  <c r="W51" i="11"/>
  <c r="T51" i="11" s="1"/>
  <c r="P51" i="11" s="1"/>
  <c r="V51" i="11"/>
  <c r="R51" i="11"/>
  <c r="I51" i="11"/>
  <c r="J51" i="11" s="1"/>
  <c r="H51" i="11"/>
  <c r="G51" i="11"/>
  <c r="E51" i="11"/>
  <c r="F51" i="11" s="1"/>
  <c r="D51" i="11"/>
  <c r="C51" i="11"/>
  <c r="AT50" i="11"/>
  <c r="AS50" i="11"/>
  <c r="AR50" i="11"/>
  <c r="AQ50" i="11"/>
  <c r="AO50" i="11"/>
  <c r="AN50" i="11"/>
  <c r="AM50" i="11"/>
  <c r="AL50" i="11"/>
  <c r="AG50" i="11"/>
  <c r="AE50" i="11"/>
  <c r="Y50" i="11"/>
  <c r="W50" i="11"/>
  <c r="T50" i="11" s="1"/>
  <c r="P50" i="11" s="1"/>
  <c r="V50" i="11"/>
  <c r="R50" i="11" s="1"/>
  <c r="I50" i="11"/>
  <c r="J50" i="11" s="1"/>
  <c r="H50" i="11"/>
  <c r="G50" i="11"/>
  <c r="E50" i="11"/>
  <c r="F50" i="11" s="1"/>
  <c r="D50" i="11"/>
  <c r="C50" i="11"/>
  <c r="AT49" i="11"/>
  <c r="AS49" i="11"/>
  <c r="AR49" i="11"/>
  <c r="AQ49" i="11"/>
  <c r="AO49" i="11"/>
  <c r="AN49" i="11"/>
  <c r="AM49" i="11"/>
  <c r="AL49" i="11"/>
  <c r="AG49" i="11"/>
  <c r="AE49" i="11"/>
  <c r="Y49" i="11"/>
  <c r="W49" i="11"/>
  <c r="V49" i="11"/>
  <c r="T49" i="11"/>
  <c r="P49" i="11" s="1"/>
  <c r="R49" i="11"/>
  <c r="I49" i="11"/>
  <c r="J49" i="11" s="1"/>
  <c r="H49" i="11"/>
  <c r="G49" i="11"/>
  <c r="E49" i="11"/>
  <c r="F49" i="11" s="1"/>
  <c r="D49" i="11"/>
  <c r="C49" i="11"/>
  <c r="AT48" i="11"/>
  <c r="AS48" i="11"/>
  <c r="AR48" i="11"/>
  <c r="AQ48" i="11"/>
  <c r="AO48" i="11"/>
  <c r="AN48" i="11"/>
  <c r="AM48" i="11"/>
  <c r="AL48" i="11"/>
  <c r="AI48" i="11"/>
  <c r="AG48" i="11"/>
  <c r="AE48" i="11"/>
  <c r="Y48" i="11"/>
  <c r="W48" i="11"/>
  <c r="T48" i="11" s="1"/>
  <c r="P48" i="11" s="1"/>
  <c r="V48" i="11"/>
  <c r="R48" i="11" s="1"/>
  <c r="I48" i="11"/>
  <c r="J48" i="11" s="1"/>
  <c r="H48" i="11"/>
  <c r="G48" i="11"/>
  <c r="E48" i="11"/>
  <c r="F48" i="11" s="1"/>
  <c r="D48" i="11"/>
  <c r="C48" i="11"/>
  <c r="AT47" i="11"/>
  <c r="AS47" i="11"/>
  <c r="AR47" i="11"/>
  <c r="AQ47" i="11"/>
  <c r="AO47" i="11"/>
  <c r="AN47" i="11"/>
  <c r="AM47" i="11"/>
  <c r="AL47" i="11"/>
  <c r="AI47" i="11"/>
  <c r="AG47" i="11"/>
  <c r="AE47" i="11"/>
  <c r="Y47" i="11"/>
  <c r="W47" i="11"/>
  <c r="T47" i="11" s="1"/>
  <c r="P47" i="11" s="1"/>
  <c r="V47" i="11"/>
  <c r="R47" i="11" s="1"/>
  <c r="I47" i="11"/>
  <c r="J47" i="11" s="1"/>
  <c r="H47" i="11"/>
  <c r="G47" i="11"/>
  <c r="E47" i="11"/>
  <c r="F47" i="11" s="1"/>
  <c r="D47" i="11"/>
  <c r="C47" i="11"/>
  <c r="AT46" i="11"/>
  <c r="AS46" i="11"/>
  <c r="AR46" i="11"/>
  <c r="AQ46" i="11"/>
  <c r="AO46" i="11"/>
  <c r="AN46" i="11"/>
  <c r="AM46" i="11"/>
  <c r="AL46" i="11"/>
  <c r="AI46" i="11"/>
  <c r="AG46" i="11"/>
  <c r="AE46" i="11"/>
  <c r="Y46" i="11"/>
  <c r="W46" i="11"/>
  <c r="T46" i="11" s="1"/>
  <c r="P46" i="11" s="1"/>
  <c r="V46" i="11"/>
  <c r="R46" i="11"/>
  <c r="I46" i="11"/>
  <c r="J46" i="11" s="1"/>
  <c r="H46" i="11"/>
  <c r="G46" i="11"/>
  <c r="E46" i="11"/>
  <c r="F46" i="11" s="1"/>
  <c r="D46" i="11"/>
  <c r="C46" i="11"/>
  <c r="AT45" i="11"/>
  <c r="AS45" i="11"/>
  <c r="AR45" i="11"/>
  <c r="AQ45" i="11"/>
  <c r="AO45" i="11"/>
  <c r="AN45" i="11"/>
  <c r="AM45" i="11"/>
  <c r="AL45" i="11"/>
  <c r="AG45" i="11"/>
  <c r="AE45" i="11"/>
  <c r="Y45" i="11"/>
  <c r="W45" i="11"/>
  <c r="T45" i="11" s="1"/>
  <c r="P45" i="11" s="1"/>
  <c r="V45" i="11"/>
  <c r="R45" i="11" s="1"/>
  <c r="I45" i="11"/>
  <c r="J45" i="11" s="1"/>
  <c r="H45" i="11"/>
  <c r="G45" i="11"/>
  <c r="E45" i="11"/>
  <c r="F45" i="11" s="1"/>
  <c r="D45" i="11"/>
  <c r="C45" i="11"/>
  <c r="AT44" i="11"/>
  <c r="AS44" i="11"/>
  <c r="AR44" i="11"/>
  <c r="AQ44" i="11"/>
  <c r="AO44" i="11"/>
  <c r="AN44" i="11"/>
  <c r="AM44" i="11"/>
  <c r="AL44" i="11"/>
  <c r="AG44" i="11"/>
  <c r="AE44" i="11"/>
  <c r="Y44" i="11"/>
  <c r="W44" i="11"/>
  <c r="T44" i="11" s="1"/>
  <c r="P44" i="11" s="1"/>
  <c r="V44" i="11"/>
  <c r="R44" i="11"/>
  <c r="I44" i="11"/>
  <c r="J44" i="11" s="1"/>
  <c r="H44" i="11"/>
  <c r="G44" i="11"/>
  <c r="E44" i="11"/>
  <c r="F44" i="11" s="1"/>
  <c r="D44" i="11"/>
  <c r="C44" i="11"/>
  <c r="AT43" i="11"/>
  <c r="AS43" i="11"/>
  <c r="AR43" i="11"/>
  <c r="AQ43" i="11"/>
  <c r="AO43" i="11"/>
  <c r="AN43" i="11"/>
  <c r="AM43" i="11"/>
  <c r="AL43" i="11"/>
  <c r="AG43" i="11"/>
  <c r="AE43" i="11"/>
  <c r="Y43" i="11"/>
  <c r="W43" i="11"/>
  <c r="T43" i="11" s="1"/>
  <c r="P43" i="11" s="1"/>
  <c r="V43" i="11"/>
  <c r="R43" i="11" s="1"/>
  <c r="I43" i="11"/>
  <c r="J43" i="11" s="1"/>
  <c r="H43" i="11"/>
  <c r="G43" i="11"/>
  <c r="E43" i="11"/>
  <c r="F43" i="11" s="1"/>
  <c r="D43" i="11"/>
  <c r="C43" i="11"/>
  <c r="AT42" i="11"/>
  <c r="AS42" i="11"/>
  <c r="AR42" i="11"/>
  <c r="AQ42" i="11"/>
  <c r="AO42" i="11"/>
  <c r="AN42" i="11"/>
  <c r="AM42" i="11"/>
  <c r="AL42" i="11"/>
  <c r="AG42" i="11"/>
  <c r="AE42" i="11"/>
  <c r="Y42" i="11"/>
  <c r="W42" i="11"/>
  <c r="T42" i="11" s="1"/>
  <c r="P42" i="11" s="1"/>
  <c r="V42" i="11"/>
  <c r="R42" i="11"/>
  <c r="I42" i="11"/>
  <c r="J42" i="11" s="1"/>
  <c r="H42" i="11"/>
  <c r="G42" i="11"/>
  <c r="E42" i="11"/>
  <c r="F42" i="11" s="1"/>
  <c r="D42" i="11"/>
  <c r="C42" i="11"/>
  <c r="AT41" i="11"/>
  <c r="AS41" i="11"/>
  <c r="AR41" i="11"/>
  <c r="AQ41" i="11"/>
  <c r="AO41" i="11"/>
  <c r="AN41" i="11"/>
  <c r="AM41" i="11"/>
  <c r="AL41" i="11"/>
  <c r="AI41" i="11"/>
  <c r="AG41" i="11"/>
  <c r="AE41" i="11"/>
  <c r="Y41" i="11"/>
  <c r="W41" i="11"/>
  <c r="T41" i="11" s="1"/>
  <c r="P41" i="11" s="1"/>
  <c r="V41" i="11"/>
  <c r="I41" i="11"/>
  <c r="J41" i="11" s="1"/>
  <c r="H41" i="11"/>
  <c r="G41" i="11"/>
  <c r="E41" i="11"/>
  <c r="F41" i="11" s="1"/>
  <c r="D41" i="11"/>
  <c r="C41" i="11"/>
  <c r="AT40" i="11"/>
  <c r="AS40" i="11"/>
  <c r="AR40" i="11"/>
  <c r="AQ40" i="11"/>
  <c r="AO40" i="11"/>
  <c r="AN40" i="11"/>
  <c r="AM40" i="11"/>
  <c r="AL40" i="11"/>
  <c r="AI40" i="11"/>
  <c r="AG40" i="11"/>
  <c r="AE40" i="11"/>
  <c r="Y40" i="11"/>
  <c r="W40" i="11"/>
  <c r="T40" i="11" s="1"/>
  <c r="V40" i="11"/>
  <c r="R40" i="11"/>
  <c r="I40" i="11"/>
  <c r="J40" i="11" s="1"/>
  <c r="H40" i="11"/>
  <c r="G40" i="11"/>
  <c r="E40" i="11"/>
  <c r="F40" i="11" s="1"/>
  <c r="D40" i="11"/>
  <c r="C40" i="11"/>
  <c r="AT39" i="11"/>
  <c r="AS39" i="11"/>
  <c r="AR39" i="11"/>
  <c r="AQ39" i="11"/>
  <c r="AO39" i="11"/>
  <c r="AN39" i="11"/>
  <c r="AM39" i="11"/>
  <c r="AL39" i="11"/>
  <c r="AI39" i="11"/>
  <c r="AG39" i="11"/>
  <c r="AE39" i="11"/>
  <c r="Y39" i="11"/>
  <c r="W39" i="11"/>
  <c r="T39" i="11" s="1"/>
  <c r="P39" i="11" s="1"/>
  <c r="V39" i="11"/>
  <c r="R39" i="11"/>
  <c r="I39" i="11"/>
  <c r="J39" i="11" s="1"/>
  <c r="H39" i="11"/>
  <c r="G39" i="11"/>
  <c r="E39" i="11"/>
  <c r="F39" i="11" s="1"/>
  <c r="D39" i="11"/>
  <c r="C39" i="11"/>
  <c r="AT38" i="11"/>
  <c r="AS38" i="11"/>
  <c r="AR38" i="11"/>
  <c r="AQ38" i="11"/>
  <c r="AO38" i="11"/>
  <c r="AN38" i="11"/>
  <c r="AM38" i="11"/>
  <c r="AL38" i="11"/>
  <c r="AG38" i="11"/>
  <c r="AE38" i="11"/>
  <c r="Y38" i="11"/>
  <c r="W38" i="11"/>
  <c r="T38" i="11" s="1"/>
  <c r="P38" i="11" s="1"/>
  <c r="V38" i="11"/>
  <c r="R38" i="11" s="1"/>
  <c r="I38" i="11"/>
  <c r="J38" i="11" s="1"/>
  <c r="H38" i="11"/>
  <c r="G38" i="11"/>
  <c r="E38" i="11"/>
  <c r="F38" i="11" s="1"/>
  <c r="D38" i="11"/>
  <c r="C38" i="11"/>
  <c r="C61" i="11" s="1"/>
  <c r="AT37" i="11"/>
  <c r="AS37" i="11"/>
  <c r="AR37" i="11"/>
  <c r="AQ37" i="11"/>
  <c r="AO37" i="11"/>
  <c r="AN37" i="11"/>
  <c r="AM37" i="11"/>
  <c r="AL37" i="11"/>
  <c r="AG37" i="11"/>
  <c r="AE37" i="11"/>
  <c r="Y37" i="11"/>
  <c r="W37" i="11"/>
  <c r="T37" i="11" s="1"/>
  <c r="P37" i="11" s="1"/>
  <c r="V37" i="11"/>
  <c r="R37" i="11"/>
  <c r="I37" i="11"/>
  <c r="J37" i="11" s="1"/>
  <c r="H37" i="11"/>
  <c r="G37" i="11"/>
  <c r="G61" i="11" s="1"/>
  <c r="E37" i="11"/>
  <c r="F37" i="11" s="1"/>
  <c r="D37" i="11"/>
  <c r="C37" i="11"/>
  <c r="AT36" i="11"/>
  <c r="AS36" i="11"/>
  <c r="AR36" i="11"/>
  <c r="AQ36" i="11"/>
  <c r="AO36" i="11"/>
  <c r="AN36" i="11"/>
  <c r="AM36" i="11"/>
  <c r="AL36" i="11"/>
  <c r="AG36" i="11"/>
  <c r="AE36" i="11"/>
  <c r="Y36" i="11"/>
  <c r="W36" i="11"/>
  <c r="T36" i="11" s="1"/>
  <c r="P36" i="11" s="1"/>
  <c r="V36" i="11"/>
  <c r="R36" i="11" s="1"/>
  <c r="I36" i="11"/>
  <c r="J36" i="11" s="1"/>
  <c r="H36" i="11"/>
  <c r="G36" i="11"/>
  <c r="E36" i="11"/>
  <c r="F36" i="11" s="1"/>
  <c r="D36" i="11"/>
  <c r="C36" i="11"/>
  <c r="AT35" i="11"/>
  <c r="AS35" i="11"/>
  <c r="AR35" i="11"/>
  <c r="AQ35" i="11"/>
  <c r="AO35" i="11"/>
  <c r="AN35" i="11"/>
  <c r="AM35" i="11"/>
  <c r="AL35" i="11"/>
  <c r="AI35" i="11"/>
  <c r="AG35" i="11"/>
  <c r="AE35" i="11"/>
  <c r="Y35" i="11"/>
  <c r="W35" i="11"/>
  <c r="T35" i="11" s="1"/>
  <c r="P35" i="11" s="1"/>
  <c r="V35" i="11"/>
  <c r="R35" i="11"/>
  <c r="I35" i="11"/>
  <c r="J35" i="11" s="1"/>
  <c r="H35" i="11"/>
  <c r="G35" i="11"/>
  <c r="E35" i="11"/>
  <c r="E61" i="11" s="1"/>
  <c r="D35" i="11"/>
  <c r="C35" i="11"/>
  <c r="AT34" i="11"/>
  <c r="AS34" i="11"/>
  <c r="AR34" i="11"/>
  <c r="AQ34" i="11"/>
  <c r="AO34" i="11"/>
  <c r="AN34" i="11"/>
  <c r="AM34" i="11"/>
  <c r="AL34" i="11"/>
  <c r="AI34" i="11"/>
  <c r="AG34" i="11"/>
  <c r="AE34" i="11"/>
  <c r="Y34" i="11"/>
  <c r="W34" i="11"/>
  <c r="T34" i="11" s="1"/>
  <c r="P34" i="11" s="1"/>
  <c r="V34" i="11"/>
  <c r="R34" i="11"/>
  <c r="I34" i="11"/>
  <c r="J34" i="11" s="1"/>
  <c r="H34" i="11"/>
  <c r="G34" i="11"/>
  <c r="AT33" i="11"/>
  <c r="AS33" i="11"/>
  <c r="AR33" i="11"/>
  <c r="AQ33" i="11"/>
  <c r="AO33" i="11"/>
  <c r="AN33" i="11"/>
  <c r="AM33" i="11"/>
  <c r="AL33" i="11"/>
  <c r="AI33" i="11"/>
  <c r="AG33" i="11"/>
  <c r="AE33" i="11"/>
  <c r="Y33" i="11"/>
  <c r="W33" i="11"/>
  <c r="T33" i="11" s="1"/>
  <c r="P33" i="11" s="1"/>
  <c r="V33" i="11"/>
  <c r="R33" i="11"/>
  <c r="I33" i="11"/>
  <c r="J33" i="11" s="1"/>
  <c r="H33" i="11"/>
  <c r="G33" i="11"/>
  <c r="AT32" i="11"/>
  <c r="AS32" i="11"/>
  <c r="AR32" i="11"/>
  <c r="AQ32" i="11"/>
  <c r="AO32" i="11"/>
  <c r="AN32" i="11"/>
  <c r="AM32" i="11"/>
  <c r="AL32" i="11"/>
  <c r="AI32" i="11"/>
  <c r="AG32" i="11"/>
  <c r="AE32" i="11"/>
  <c r="Y32" i="11"/>
  <c r="W32" i="11"/>
  <c r="T32" i="11" s="1"/>
  <c r="P32" i="11" s="1"/>
  <c r="V32" i="11"/>
  <c r="R32" i="11"/>
  <c r="I32" i="11"/>
  <c r="J32" i="11" s="1"/>
  <c r="H32" i="11"/>
  <c r="G32" i="11"/>
  <c r="AT31" i="11"/>
  <c r="AS31" i="11"/>
  <c r="AR31" i="11"/>
  <c r="AQ31" i="11"/>
  <c r="AO31" i="11"/>
  <c r="AN31" i="11"/>
  <c r="AM31" i="11"/>
  <c r="AL31" i="11"/>
  <c r="AI31" i="11"/>
  <c r="AG31" i="11"/>
  <c r="AE31" i="11"/>
  <c r="Y31" i="11"/>
  <c r="W31" i="11"/>
  <c r="T31" i="11" s="1"/>
  <c r="P31" i="11" s="1"/>
  <c r="V31" i="11"/>
  <c r="R31" i="11"/>
  <c r="I31" i="11"/>
  <c r="J31" i="11" s="1"/>
  <c r="H31" i="11"/>
  <c r="G31" i="11"/>
  <c r="AT30" i="11"/>
  <c r="AS30" i="11"/>
  <c r="AR30" i="11"/>
  <c r="AQ30" i="11"/>
  <c r="AO30" i="11"/>
  <c r="AN30" i="11"/>
  <c r="AM30" i="11"/>
  <c r="AL30" i="11"/>
  <c r="AI30" i="11"/>
  <c r="AG30" i="11"/>
  <c r="AE30" i="11"/>
  <c r="Y30" i="11"/>
  <c r="W30" i="11"/>
  <c r="T30" i="11" s="1"/>
  <c r="P30" i="11" s="1"/>
  <c r="V30" i="11"/>
  <c r="R30" i="11"/>
  <c r="I30" i="11"/>
  <c r="J30" i="11" s="1"/>
  <c r="H30" i="11"/>
  <c r="G30" i="11"/>
  <c r="AT29" i="11"/>
  <c r="AS29" i="11"/>
  <c r="AR29" i="11"/>
  <c r="AQ29" i="11"/>
  <c r="AO29" i="11"/>
  <c r="AN29" i="11"/>
  <c r="AM29" i="11"/>
  <c r="AL29" i="11"/>
  <c r="AI29" i="11"/>
  <c r="AG29" i="11"/>
  <c r="AE29" i="11"/>
  <c r="Y29" i="11"/>
  <c r="W29" i="11"/>
  <c r="T29" i="11" s="1"/>
  <c r="P29" i="11" s="1"/>
  <c r="V29" i="11"/>
  <c r="R29" i="11"/>
  <c r="I29" i="11"/>
  <c r="J29" i="11" s="1"/>
  <c r="H29" i="11"/>
  <c r="G29" i="11"/>
  <c r="AT28" i="11"/>
  <c r="AS28" i="11"/>
  <c r="AR28" i="11"/>
  <c r="AQ28" i="11"/>
  <c r="AO28" i="11"/>
  <c r="AN28" i="11"/>
  <c r="AM28" i="11"/>
  <c r="AL28" i="11"/>
  <c r="AI28" i="11"/>
  <c r="AG28" i="11"/>
  <c r="AE28" i="11"/>
  <c r="Y28" i="11"/>
  <c r="W28" i="11"/>
  <c r="T28" i="11" s="1"/>
  <c r="P28" i="11" s="1"/>
  <c r="V28" i="11"/>
  <c r="R28" i="11"/>
  <c r="I28" i="11"/>
  <c r="J28" i="11" s="1"/>
  <c r="H28" i="11"/>
  <c r="G28" i="11"/>
  <c r="AT27" i="11"/>
  <c r="AS27" i="11"/>
  <c r="AR27" i="11"/>
  <c r="AQ27" i="11"/>
  <c r="AO27" i="11"/>
  <c r="AN27" i="11"/>
  <c r="AM27" i="11"/>
  <c r="AL27" i="11"/>
  <c r="AI27" i="11"/>
  <c r="AG27" i="11"/>
  <c r="AE27" i="11"/>
  <c r="Y27" i="11"/>
  <c r="W27" i="11"/>
  <c r="T27" i="11" s="1"/>
  <c r="P27" i="11" s="1"/>
  <c r="V27" i="11"/>
  <c r="R27" i="11"/>
  <c r="I27" i="11"/>
  <c r="J27" i="11" s="1"/>
  <c r="H27" i="11"/>
  <c r="G27" i="11"/>
  <c r="AT26" i="11"/>
  <c r="AS26" i="11"/>
  <c r="AR26" i="11"/>
  <c r="AQ26" i="11"/>
  <c r="AO26" i="11"/>
  <c r="AN26" i="11"/>
  <c r="AM26" i="11"/>
  <c r="AL26" i="11"/>
  <c r="AI26" i="11"/>
  <c r="AG26" i="11"/>
  <c r="AE26" i="11"/>
  <c r="Y26" i="11"/>
  <c r="W26" i="11"/>
  <c r="T26" i="11" s="1"/>
  <c r="P26" i="11" s="1"/>
  <c r="V26" i="11"/>
  <c r="R26" i="11"/>
  <c r="I26" i="11"/>
  <c r="J26" i="11" s="1"/>
  <c r="H26" i="11"/>
  <c r="G26" i="11"/>
  <c r="AT25" i="11"/>
  <c r="AS25" i="11"/>
  <c r="AR25" i="11"/>
  <c r="AQ25" i="11"/>
  <c r="AO25" i="11"/>
  <c r="AN25" i="11"/>
  <c r="AM25" i="11"/>
  <c r="AL25" i="11"/>
  <c r="AI25" i="11"/>
  <c r="AG25" i="11"/>
  <c r="AE25" i="11"/>
  <c r="Y25" i="11"/>
  <c r="W25" i="11"/>
  <c r="T25" i="11" s="1"/>
  <c r="P25" i="11" s="1"/>
  <c r="V25" i="11"/>
  <c r="R25" i="11"/>
  <c r="I25" i="11"/>
  <c r="J25" i="11" s="1"/>
  <c r="H25" i="11"/>
  <c r="G25" i="11"/>
  <c r="AT24" i="11"/>
  <c r="AS24" i="11"/>
  <c r="AR24" i="11"/>
  <c r="AQ24" i="11"/>
  <c r="AO24" i="11"/>
  <c r="AN24" i="11"/>
  <c r="AM24" i="11"/>
  <c r="AL24" i="11"/>
  <c r="AI24" i="11"/>
  <c r="AG24" i="11"/>
  <c r="AE24" i="11"/>
  <c r="Y24" i="11"/>
  <c r="W24" i="11"/>
  <c r="T24" i="11" s="1"/>
  <c r="P24" i="11" s="1"/>
  <c r="V24" i="11"/>
  <c r="R24" i="11"/>
  <c r="I24" i="11"/>
  <c r="J24" i="11" s="1"/>
  <c r="H24" i="11"/>
  <c r="G24" i="11"/>
  <c r="AT23" i="11"/>
  <c r="AS23" i="11"/>
  <c r="AR23" i="11"/>
  <c r="AQ23" i="11"/>
  <c r="AO23" i="11"/>
  <c r="AN23" i="11"/>
  <c r="AM23" i="11"/>
  <c r="AL23" i="11"/>
  <c r="AI23" i="11"/>
  <c r="AG23" i="11"/>
  <c r="AE23" i="11"/>
  <c r="Y23" i="11"/>
  <c r="W23" i="11"/>
  <c r="T23" i="11" s="1"/>
  <c r="P23" i="11" s="1"/>
  <c r="V23" i="11"/>
  <c r="R23" i="11"/>
  <c r="I23" i="11"/>
  <c r="J23" i="11" s="1"/>
  <c r="H23" i="11"/>
  <c r="G23" i="11"/>
  <c r="AT22" i="11"/>
  <c r="AS22" i="11"/>
  <c r="AR22" i="11"/>
  <c r="AQ22" i="11"/>
  <c r="AO22" i="11"/>
  <c r="AN22" i="11"/>
  <c r="AM22" i="11"/>
  <c r="AL22" i="11"/>
  <c r="AI22" i="11"/>
  <c r="AG22" i="11"/>
  <c r="AE22" i="11"/>
  <c r="Y22" i="11"/>
  <c r="W22" i="11"/>
  <c r="T22" i="11" s="1"/>
  <c r="P22" i="11" s="1"/>
  <c r="V22" i="11"/>
  <c r="R22" i="11" s="1"/>
  <c r="I22" i="11"/>
  <c r="J22" i="11" s="1"/>
  <c r="H22" i="11"/>
  <c r="G22" i="11"/>
  <c r="AT21" i="11"/>
  <c r="AS21" i="11"/>
  <c r="AR21" i="11"/>
  <c r="AQ21" i="11"/>
  <c r="AO21" i="11"/>
  <c r="AN21" i="11"/>
  <c r="AM21" i="11"/>
  <c r="AL21" i="11"/>
  <c r="AI21" i="11"/>
  <c r="AG21" i="11"/>
  <c r="AE21" i="11"/>
  <c r="Y21" i="11"/>
  <c r="W21" i="11"/>
  <c r="T21" i="11" s="1"/>
  <c r="P21" i="11" s="1"/>
  <c r="V21" i="11"/>
  <c r="R21" i="11" s="1"/>
  <c r="I21" i="11"/>
  <c r="J21" i="11" s="1"/>
  <c r="H21" i="11"/>
  <c r="G21" i="11"/>
  <c r="AT20" i="11"/>
  <c r="AS20" i="11"/>
  <c r="AR20" i="11"/>
  <c r="AQ20" i="11"/>
  <c r="AO20" i="11"/>
  <c r="AN20" i="11"/>
  <c r="AM20" i="11"/>
  <c r="AL20" i="11"/>
  <c r="AI20" i="11"/>
  <c r="AG20" i="11"/>
  <c r="AE20" i="11"/>
  <c r="Y20" i="11"/>
  <c r="W20" i="11"/>
  <c r="T20" i="11" s="1"/>
  <c r="P20" i="11" s="1"/>
  <c r="V20" i="11"/>
  <c r="R20" i="11" s="1"/>
  <c r="I20" i="11"/>
  <c r="I61" i="11" s="1"/>
  <c r="H20" i="11"/>
  <c r="G20" i="11"/>
  <c r="AT19" i="11"/>
  <c r="AS19" i="11"/>
  <c r="AR19" i="11"/>
  <c r="AQ19" i="11"/>
  <c r="AO19" i="11"/>
  <c r="AN19" i="11"/>
  <c r="AM19" i="11"/>
  <c r="AL19" i="11"/>
  <c r="AI19" i="11"/>
  <c r="AG19" i="11"/>
  <c r="AE19" i="11"/>
  <c r="Y19" i="11"/>
  <c r="W19" i="11"/>
  <c r="T19" i="11" s="1"/>
  <c r="P19" i="11" s="1"/>
  <c r="V19" i="11"/>
  <c r="R19" i="11" s="1"/>
  <c r="AT18" i="11"/>
  <c r="AS18" i="11"/>
  <c r="AR18" i="11"/>
  <c r="AQ18" i="11"/>
  <c r="AO18" i="11"/>
  <c r="AN18" i="11"/>
  <c r="AM18" i="11"/>
  <c r="AL18" i="11"/>
  <c r="AI18" i="11"/>
  <c r="AG18" i="11"/>
  <c r="AE18" i="11"/>
  <c r="Y18" i="11"/>
  <c r="W18" i="11"/>
  <c r="T18" i="11" s="1"/>
  <c r="P18" i="11" s="1"/>
  <c r="V18" i="11"/>
  <c r="R18" i="11"/>
  <c r="AG17" i="11"/>
  <c r="AE17" i="11"/>
  <c r="Y17" i="11"/>
  <c r="W17" i="11"/>
  <c r="T17" i="11" s="1"/>
  <c r="P17" i="11" s="1"/>
  <c r="V17" i="11"/>
  <c r="R17" i="11"/>
  <c r="AI16" i="11"/>
  <c r="AG16" i="11"/>
  <c r="AE16" i="11"/>
  <c r="Y16" i="11"/>
  <c r="W16" i="11"/>
  <c r="T16" i="11" s="1"/>
  <c r="E11" i="11" s="1"/>
  <c r="V16" i="11"/>
  <c r="S3" i="11" s="1"/>
  <c r="V3" i="11" s="1"/>
  <c r="R16" i="11"/>
  <c r="Y10" i="11"/>
  <c r="Y11" i="11" s="1"/>
  <c r="AF9" i="11"/>
  <c r="Y9" i="11"/>
  <c r="X9" i="11"/>
  <c r="W9" i="11"/>
  <c r="W57" i="11" s="1"/>
  <c r="T57" i="11" s="1"/>
  <c r="P57" i="11" s="1"/>
  <c r="AG7" i="11"/>
  <c r="AI56" i="11" s="1"/>
  <c r="D7" i="11"/>
  <c r="M53" i="10"/>
  <c r="H53" i="10"/>
  <c r="N53" i="10" s="1"/>
  <c r="N52" i="10"/>
  <c r="M52" i="10"/>
  <c r="O52" i="10" s="1"/>
  <c r="H52" i="10"/>
  <c r="I52" i="10" s="1"/>
  <c r="M51" i="10"/>
  <c r="H51" i="10"/>
  <c r="I51" i="10" s="1"/>
  <c r="N50" i="10"/>
  <c r="M50" i="10"/>
  <c r="O50" i="10" s="1"/>
  <c r="H50" i="10"/>
  <c r="I50" i="10" s="1"/>
  <c r="M49" i="10"/>
  <c r="H49" i="10"/>
  <c r="I49" i="10" s="1"/>
  <c r="N48" i="10"/>
  <c r="M48" i="10"/>
  <c r="O48" i="10" s="1"/>
  <c r="H48" i="10"/>
  <c r="I48" i="10" s="1"/>
  <c r="M47" i="10"/>
  <c r="O47" i="10" s="1"/>
  <c r="H47" i="10"/>
  <c r="N47" i="10" s="1"/>
  <c r="N46" i="10"/>
  <c r="M46" i="10"/>
  <c r="O46" i="10" s="1"/>
  <c r="H46" i="10"/>
  <c r="I46" i="10" s="1"/>
  <c r="M45" i="10"/>
  <c r="H45" i="10"/>
  <c r="I45" i="10" s="1"/>
  <c r="N44" i="10"/>
  <c r="M44" i="10"/>
  <c r="O44" i="10" s="1"/>
  <c r="H44" i="10"/>
  <c r="I44" i="10" s="1"/>
  <c r="M43" i="10"/>
  <c r="H43" i="10"/>
  <c r="N43" i="10" s="1"/>
  <c r="N42" i="10"/>
  <c r="M42" i="10"/>
  <c r="O42" i="10" s="1"/>
  <c r="H42" i="10"/>
  <c r="I42" i="10" s="1"/>
  <c r="M41" i="10"/>
  <c r="H41" i="10"/>
  <c r="I41" i="10" s="1"/>
  <c r="N40" i="10"/>
  <c r="M40" i="10"/>
  <c r="O40" i="10" s="1"/>
  <c r="H40" i="10"/>
  <c r="I40" i="10" s="1"/>
  <c r="M39" i="10"/>
  <c r="O39" i="10" s="1"/>
  <c r="H39" i="10"/>
  <c r="N39" i="10" s="1"/>
  <c r="N38" i="10"/>
  <c r="M38" i="10"/>
  <c r="O38" i="10" s="1"/>
  <c r="H38" i="10"/>
  <c r="I38" i="10" s="1"/>
  <c r="M37" i="10"/>
  <c r="H37" i="10"/>
  <c r="I37" i="10" s="1"/>
  <c r="N36" i="10"/>
  <c r="M36" i="10"/>
  <c r="O36" i="10" s="1"/>
  <c r="H36" i="10"/>
  <c r="I36" i="10" s="1"/>
  <c r="M35" i="10"/>
  <c r="O35" i="10" s="1"/>
  <c r="H35" i="10"/>
  <c r="N35" i="10" s="1"/>
  <c r="N34" i="10"/>
  <c r="M34" i="10"/>
  <c r="O34" i="10" s="1"/>
  <c r="H34" i="10"/>
  <c r="I34" i="10" s="1"/>
  <c r="M33" i="10"/>
  <c r="H33" i="10"/>
  <c r="I33" i="10" s="1"/>
  <c r="N32" i="10"/>
  <c r="M32" i="10"/>
  <c r="O32" i="10" s="1"/>
  <c r="H32" i="10"/>
  <c r="I32" i="10" s="1"/>
  <c r="M31" i="10"/>
  <c r="H31" i="10"/>
  <c r="N31" i="10" s="1"/>
  <c r="O30" i="10"/>
  <c r="N30" i="10"/>
  <c r="M30" i="10"/>
  <c r="H30" i="10"/>
  <c r="I30" i="10" s="1"/>
  <c r="M29" i="10"/>
  <c r="H29" i="10"/>
  <c r="N28" i="10"/>
  <c r="M28" i="10"/>
  <c r="O28" i="10" s="1"/>
  <c r="H28" i="10"/>
  <c r="I28" i="10" s="1"/>
  <c r="M27" i="10"/>
  <c r="H27" i="10"/>
  <c r="N26" i="10"/>
  <c r="O26" i="10" s="1"/>
  <c r="M26" i="10"/>
  <c r="H26" i="10"/>
  <c r="I26" i="10" s="1"/>
  <c r="M25" i="10"/>
  <c r="H25" i="10"/>
  <c r="N24" i="10"/>
  <c r="O24" i="10" s="1"/>
  <c r="M24" i="10"/>
  <c r="H24" i="10"/>
  <c r="I24" i="10" s="1"/>
  <c r="M23" i="10"/>
  <c r="H23" i="10"/>
  <c r="O22" i="10"/>
  <c r="P22" i="10" s="1"/>
  <c r="N22" i="10"/>
  <c r="M22" i="10"/>
  <c r="H22" i="10"/>
  <c r="I22" i="10" s="1"/>
  <c r="M21" i="10"/>
  <c r="H21" i="10"/>
  <c r="N20" i="10"/>
  <c r="M20" i="10"/>
  <c r="O20" i="10" s="1"/>
  <c r="H20" i="10"/>
  <c r="I20" i="10" s="1"/>
  <c r="M19" i="10"/>
  <c r="H19" i="10"/>
  <c r="N18" i="10"/>
  <c r="M18" i="10"/>
  <c r="O18" i="10" s="1"/>
  <c r="H18" i="10"/>
  <c r="I18" i="10" s="1"/>
  <c r="M17" i="10"/>
  <c r="H17" i="10"/>
  <c r="O16" i="10"/>
  <c r="N16" i="10"/>
  <c r="M16" i="10"/>
  <c r="H16" i="10"/>
  <c r="I16" i="10" s="1"/>
  <c r="M15" i="10"/>
  <c r="H15" i="10"/>
  <c r="N14" i="10"/>
  <c r="M14" i="10"/>
  <c r="O14" i="10" s="1"/>
  <c r="H14" i="10"/>
  <c r="I14" i="10" s="1"/>
  <c r="D14" i="10"/>
  <c r="D15" i="10" s="1"/>
  <c r="D16" i="10" s="1"/>
  <c r="D17" i="10" s="1"/>
  <c r="D18" i="10" s="1"/>
  <c r="D19" i="10" s="1"/>
  <c r="D20" i="10" s="1"/>
  <c r="D21" i="10" s="1"/>
  <c r="D22" i="10" s="1"/>
  <c r="D23" i="10" s="1"/>
  <c r="D24" i="10" s="1"/>
  <c r="D25" i="10" s="1"/>
  <c r="D26" i="10" s="1"/>
  <c r="D27" i="10" s="1"/>
  <c r="D28" i="10" s="1"/>
  <c r="D29" i="10" s="1"/>
  <c r="D30" i="10" s="1"/>
  <c r="D31" i="10" s="1"/>
  <c r="D32" i="10" s="1"/>
  <c r="D33" i="10" s="1"/>
  <c r="D34" i="10" s="1"/>
  <c r="D35" i="10" s="1"/>
  <c r="D36" i="10" s="1"/>
  <c r="D37" i="10" s="1"/>
  <c r="D38" i="10" s="1"/>
  <c r="D39" i="10" s="1"/>
  <c r="D40" i="10" s="1"/>
  <c r="D41" i="10" s="1"/>
  <c r="D42" i="10" s="1"/>
  <c r="D43" i="10" s="1"/>
  <c r="D44" i="10" s="1"/>
  <c r="D45" i="10" s="1"/>
  <c r="D46" i="10" s="1"/>
  <c r="D47" i="10" s="1"/>
  <c r="D48" i="10" s="1"/>
  <c r="D49" i="10" s="1"/>
  <c r="D50" i="10" s="1"/>
  <c r="D51" i="10" s="1"/>
  <c r="D52" i="10" s="1"/>
  <c r="D53" i="10" s="1"/>
  <c r="M13" i="10"/>
  <c r="H13" i="10"/>
  <c r="N12" i="10"/>
  <c r="O12" i="10" s="1"/>
  <c r="M12" i="10"/>
  <c r="H12" i="10"/>
  <c r="I12" i="10" s="1"/>
  <c r="D12" i="10"/>
  <c r="D13" i="10" s="1"/>
  <c r="A12" i="10"/>
  <c r="A13" i="10" s="1"/>
  <c r="M11" i="10"/>
  <c r="H11" i="10"/>
  <c r="D11" i="10"/>
  <c r="B11" i="10"/>
  <c r="A11" i="10"/>
  <c r="N10" i="10"/>
  <c r="M10" i="10"/>
  <c r="O10" i="10" s="1"/>
  <c r="H10" i="10"/>
  <c r="I10" i="10" s="1"/>
  <c r="B10" i="10"/>
  <c r="S22" i="11" l="1"/>
  <c r="O22" i="11" s="1"/>
  <c r="S19" i="11"/>
  <c r="O19" i="11" s="1"/>
  <c r="S21" i="11"/>
  <c r="M21" i="11" s="1"/>
  <c r="S27" i="11"/>
  <c r="O27" i="11" s="1"/>
  <c r="M27" i="11"/>
  <c r="S54" i="11"/>
  <c r="O54" i="11" s="1"/>
  <c r="M54" i="11"/>
  <c r="S39" i="11"/>
  <c r="O39" i="11" s="1"/>
  <c r="M39" i="11"/>
  <c r="D61" i="11"/>
  <c r="S5" i="11"/>
  <c r="V5" i="11" s="1"/>
  <c r="L11" i="11"/>
  <c r="J13" i="11" s="1"/>
  <c r="Q4" i="11"/>
  <c r="T4" i="11" s="1"/>
  <c r="J11" i="11"/>
  <c r="G11" i="11"/>
  <c r="E13" i="11" s="1"/>
  <c r="Q6" i="11"/>
  <c r="T6" i="11" s="1"/>
  <c r="P16" i="11"/>
  <c r="S34" i="11"/>
  <c r="M34" i="11" s="1"/>
  <c r="S17" i="11"/>
  <c r="O17" i="11" s="1"/>
  <c r="S23" i="11"/>
  <c r="O23" i="11" s="1"/>
  <c r="M23" i="11"/>
  <c r="O34" i="11"/>
  <c r="O25" i="11"/>
  <c r="S31" i="11"/>
  <c r="O31" i="11" s="1"/>
  <c r="M31" i="11"/>
  <c r="R41" i="11"/>
  <c r="S7" i="11"/>
  <c r="V7" i="11" s="1"/>
  <c r="X57" i="11"/>
  <c r="U57" i="11" s="1"/>
  <c r="Q57" i="11" s="1"/>
  <c r="X50" i="11"/>
  <c r="U50" i="11" s="1"/>
  <c r="Q50" i="11" s="1"/>
  <c r="X43" i="11"/>
  <c r="U43" i="11" s="1"/>
  <c r="Q43" i="11" s="1"/>
  <c r="X36" i="11"/>
  <c r="U36" i="11" s="1"/>
  <c r="Q36" i="11" s="1"/>
  <c r="X56" i="11"/>
  <c r="U56" i="11" s="1"/>
  <c r="Q56" i="11" s="1"/>
  <c r="X49" i="11"/>
  <c r="U49" i="11" s="1"/>
  <c r="Q49" i="11" s="1"/>
  <c r="X42" i="11"/>
  <c r="U42" i="11" s="1"/>
  <c r="Q42" i="11" s="1"/>
  <c r="S42" i="11" s="1"/>
  <c r="X35" i="11"/>
  <c r="U35" i="11" s="1"/>
  <c r="Q35" i="11" s="1"/>
  <c r="X18" i="11"/>
  <c r="U18" i="11" s="1"/>
  <c r="Q18" i="11" s="1"/>
  <c r="X55" i="11"/>
  <c r="U55" i="11" s="1"/>
  <c r="Q55" i="11" s="1"/>
  <c r="X48" i="11"/>
  <c r="U48" i="11" s="1"/>
  <c r="Q48" i="11" s="1"/>
  <c r="X41" i="11"/>
  <c r="U41" i="11" s="1"/>
  <c r="Q41" i="11" s="1"/>
  <c r="X34" i="11"/>
  <c r="U34" i="11" s="1"/>
  <c r="Q34" i="11" s="1"/>
  <c r="X33" i="11"/>
  <c r="U33" i="11" s="1"/>
  <c r="Q33" i="11" s="1"/>
  <c r="X32" i="11"/>
  <c r="U32" i="11" s="1"/>
  <c r="X31" i="11"/>
  <c r="U31" i="11" s="1"/>
  <c r="Q31" i="11" s="1"/>
  <c r="X30" i="11"/>
  <c r="U30" i="11" s="1"/>
  <c r="Q30" i="11" s="1"/>
  <c r="S30" i="11" s="1"/>
  <c r="X29" i="11"/>
  <c r="U29" i="11" s="1"/>
  <c r="Q29" i="11" s="1"/>
  <c r="X28" i="11"/>
  <c r="U28" i="11" s="1"/>
  <c r="Q28" i="11" s="1"/>
  <c r="S28" i="11" s="1"/>
  <c r="X27" i="11"/>
  <c r="U27" i="11" s="1"/>
  <c r="Q27" i="11" s="1"/>
  <c r="X26" i="11"/>
  <c r="U26" i="11" s="1"/>
  <c r="Q26" i="11" s="1"/>
  <c r="X25" i="11"/>
  <c r="U25" i="11" s="1"/>
  <c r="Q25" i="11" s="1"/>
  <c r="X24" i="11"/>
  <c r="U24" i="11" s="1"/>
  <c r="Q24" i="11" s="1"/>
  <c r="S24" i="11" s="1"/>
  <c r="X23" i="11"/>
  <c r="U23" i="11" s="1"/>
  <c r="Q23" i="11" s="1"/>
  <c r="X22" i="11"/>
  <c r="U22" i="11" s="1"/>
  <c r="Q22" i="11" s="1"/>
  <c r="X21" i="11"/>
  <c r="U21" i="11" s="1"/>
  <c r="Q21" i="11" s="1"/>
  <c r="X20" i="11"/>
  <c r="U20" i="11" s="1"/>
  <c r="Q20" i="11" s="1"/>
  <c r="X19" i="11"/>
  <c r="U19" i="11" s="1"/>
  <c r="Q19" i="11" s="1"/>
  <c r="X16" i="11"/>
  <c r="U16" i="11" s="1"/>
  <c r="X54" i="11"/>
  <c r="U54" i="11" s="1"/>
  <c r="Q54" i="11" s="1"/>
  <c r="X47" i="11"/>
  <c r="U47" i="11" s="1"/>
  <c r="Q47" i="11" s="1"/>
  <c r="X40" i="11"/>
  <c r="U40" i="11" s="1"/>
  <c r="X53" i="11"/>
  <c r="U53" i="11" s="1"/>
  <c r="Q53" i="11" s="1"/>
  <c r="X46" i="11"/>
  <c r="U46" i="11" s="1"/>
  <c r="Q46" i="11" s="1"/>
  <c r="X39" i="11"/>
  <c r="U39" i="11" s="1"/>
  <c r="Q39" i="11" s="1"/>
  <c r="X59" i="11"/>
  <c r="U59" i="11" s="1"/>
  <c r="Q59" i="11" s="1"/>
  <c r="X52" i="11"/>
  <c r="U52" i="11" s="1"/>
  <c r="Q52" i="11" s="1"/>
  <c r="X45" i="11"/>
  <c r="U45" i="11" s="1"/>
  <c r="Q45" i="11" s="1"/>
  <c r="S45" i="11" s="1"/>
  <c r="X38" i="11"/>
  <c r="U38" i="11" s="1"/>
  <c r="Q38" i="11" s="1"/>
  <c r="X17" i="11"/>
  <c r="U17" i="11" s="1"/>
  <c r="Q17" i="11" s="1"/>
  <c r="X58" i="11"/>
  <c r="U58" i="11" s="1"/>
  <c r="Q58" i="11" s="1"/>
  <c r="X51" i="11"/>
  <c r="U51" i="11" s="1"/>
  <c r="Q51" i="11" s="1"/>
  <c r="X44" i="11"/>
  <c r="U44" i="11" s="1"/>
  <c r="Q44" i="11" s="1"/>
  <c r="X37" i="11"/>
  <c r="U37" i="11" s="1"/>
  <c r="Q37" i="11" s="1"/>
  <c r="S37" i="11"/>
  <c r="M37" i="11" s="1"/>
  <c r="S25" i="11"/>
  <c r="M25" i="11"/>
  <c r="S4" i="11"/>
  <c r="V4" i="11" s="1"/>
  <c r="L13" i="11"/>
  <c r="G13" i="11"/>
  <c r="S35" i="11"/>
  <c r="O35" i="11" s="1"/>
  <c r="M35" i="11"/>
  <c r="S6" i="11"/>
  <c r="V6" i="11" s="1"/>
  <c r="M19" i="11"/>
  <c r="S44" i="11"/>
  <c r="O44" i="11" s="1"/>
  <c r="P40" i="11"/>
  <c r="H61" i="11"/>
  <c r="S47" i="11"/>
  <c r="O47" i="11" s="1"/>
  <c r="M47" i="11"/>
  <c r="AI36" i="11"/>
  <c r="AI43" i="11"/>
  <c r="AI50" i="11"/>
  <c r="AI57" i="11"/>
  <c r="W59" i="11"/>
  <c r="T59" i="11" s="1"/>
  <c r="P59" i="11" s="1"/>
  <c r="J20" i="11"/>
  <c r="J61" i="11" s="1"/>
  <c r="F35" i="11"/>
  <c r="F61" i="11" s="1"/>
  <c r="AI37" i="11"/>
  <c r="AI44" i="11"/>
  <c r="AI51" i="11"/>
  <c r="AI58" i="11"/>
  <c r="AI17" i="11"/>
  <c r="AI38" i="11"/>
  <c r="AI45" i="11"/>
  <c r="AI52" i="11"/>
  <c r="AI59" i="11"/>
  <c r="AI42" i="11"/>
  <c r="AI49" i="11"/>
  <c r="P44" i="10"/>
  <c r="P34" i="10"/>
  <c r="P14" i="10"/>
  <c r="P32" i="10"/>
  <c r="P12" i="10"/>
  <c r="P46" i="10"/>
  <c r="P24" i="10"/>
  <c r="P36" i="10"/>
  <c r="P48" i="10"/>
  <c r="P26" i="10"/>
  <c r="P38" i="10"/>
  <c r="P28" i="10"/>
  <c r="P50" i="10"/>
  <c r="P18" i="10"/>
  <c r="P10" i="10"/>
  <c r="P40" i="10"/>
  <c r="P52" i="10"/>
  <c r="P20" i="10"/>
  <c r="P42" i="10"/>
  <c r="J18" i="10"/>
  <c r="O37" i="10"/>
  <c r="J10" i="10"/>
  <c r="O23" i="10"/>
  <c r="J24" i="10"/>
  <c r="O33" i="10"/>
  <c r="J51" i="10"/>
  <c r="J14" i="10"/>
  <c r="J38" i="10"/>
  <c r="J33" i="10"/>
  <c r="N19" i="10"/>
  <c r="I19" i="10"/>
  <c r="O19" i="10"/>
  <c r="J45" i="10"/>
  <c r="O51" i="10"/>
  <c r="N23" i="10"/>
  <c r="I23" i="10"/>
  <c r="J44" i="10"/>
  <c r="J28" i="10"/>
  <c r="J52" i="10"/>
  <c r="J50" i="10"/>
  <c r="J32" i="10"/>
  <c r="J34" i="10"/>
  <c r="J40" i="10"/>
  <c r="N11" i="10"/>
  <c r="I11" i="10"/>
  <c r="I25" i="10"/>
  <c r="N25" i="10"/>
  <c r="O11" i="10"/>
  <c r="J30" i="10"/>
  <c r="O25" i="10"/>
  <c r="O53" i="10"/>
  <c r="B13" i="10"/>
  <c r="A14" i="10"/>
  <c r="O43" i="10"/>
  <c r="I29" i="10"/>
  <c r="N29" i="10"/>
  <c r="J20" i="10"/>
  <c r="P39" i="10"/>
  <c r="O15" i="10"/>
  <c r="J16" i="10"/>
  <c r="I21" i="10"/>
  <c r="N21" i="10"/>
  <c r="O21" i="10" s="1"/>
  <c r="J41" i="10"/>
  <c r="P16" i="10"/>
  <c r="N15" i="10"/>
  <c r="I15" i="10"/>
  <c r="O45" i="10"/>
  <c r="J46" i="10"/>
  <c r="O29" i="10"/>
  <c r="J12" i="10"/>
  <c r="J26" i="10"/>
  <c r="P35" i="10"/>
  <c r="P47" i="10"/>
  <c r="P30" i="10"/>
  <c r="J48" i="10"/>
  <c r="J36" i="10"/>
  <c r="J42" i="10"/>
  <c r="J37" i="10"/>
  <c r="I17" i="10"/>
  <c r="N17" i="10"/>
  <c r="J22" i="10"/>
  <c r="O17" i="10"/>
  <c r="O31" i="10"/>
  <c r="I13" i="10"/>
  <c r="N13" i="10"/>
  <c r="O13" i="10" s="1"/>
  <c r="N27" i="10"/>
  <c r="O27" i="10" s="1"/>
  <c r="I27" i="10"/>
  <c r="J49" i="10"/>
  <c r="I31" i="10"/>
  <c r="I35" i="10"/>
  <c r="I39" i="10"/>
  <c r="I43" i="10"/>
  <c r="I47" i="10"/>
  <c r="I53" i="10"/>
  <c r="N33" i="10"/>
  <c r="N37" i="10"/>
  <c r="N41" i="10"/>
  <c r="O41" i="10" s="1"/>
  <c r="N45" i="10"/>
  <c r="N49" i="10"/>
  <c r="O49" i="10" s="1"/>
  <c r="N51" i="10"/>
  <c r="B12" i="10"/>
  <c r="M24" i="11" l="1"/>
  <c r="O24" i="11"/>
  <c r="O28" i="11"/>
  <c r="M28" i="11"/>
  <c r="M30" i="11"/>
  <c r="O30" i="11"/>
  <c r="O45" i="11"/>
  <c r="M45" i="11"/>
  <c r="O42" i="11"/>
  <c r="M42" i="11"/>
  <c r="N51" i="11"/>
  <c r="N58" i="11"/>
  <c r="N34" i="11"/>
  <c r="M22" i="11"/>
  <c r="Q3" i="11"/>
  <c r="T3" i="11" s="1"/>
  <c r="M44" i="11"/>
  <c r="N17" i="11"/>
  <c r="N41" i="11"/>
  <c r="S16" i="11"/>
  <c r="O16" i="11" s="1"/>
  <c r="N35" i="11"/>
  <c r="AD3" i="11"/>
  <c r="Q40" i="11"/>
  <c r="S40" i="11" s="1"/>
  <c r="R7" i="11"/>
  <c r="U7" i="11" s="1"/>
  <c r="S36" i="11"/>
  <c r="N47" i="11"/>
  <c r="S43" i="11"/>
  <c r="N55" i="11"/>
  <c r="N57" i="11"/>
  <c r="S58" i="11"/>
  <c r="N54" i="11"/>
  <c r="N50" i="11"/>
  <c r="R4" i="11"/>
  <c r="U4" i="11" s="1"/>
  <c r="Q16" i="11"/>
  <c r="R3" i="11"/>
  <c r="U3" i="11" s="1"/>
  <c r="K12" i="11"/>
  <c r="G12" i="11"/>
  <c r="F13" i="11" s="1"/>
  <c r="K11" i="11"/>
  <c r="J12" i="11" s="1"/>
  <c r="F11" i="11"/>
  <c r="E12" i="11" s="1"/>
  <c r="R6" i="11"/>
  <c r="U6" i="11" s="1"/>
  <c r="W6" i="11" s="1"/>
  <c r="L12" i="11"/>
  <c r="K13" i="11" s="1"/>
  <c r="F12" i="11"/>
  <c r="M17" i="11"/>
  <c r="S49" i="11"/>
  <c r="N19" i="11"/>
  <c r="S20" i="11"/>
  <c r="N20" i="11"/>
  <c r="N42" i="11"/>
  <c r="Q7" i="11"/>
  <c r="T7" i="11" s="1"/>
  <c r="N21" i="11"/>
  <c r="S57" i="11"/>
  <c r="S33" i="11"/>
  <c r="N33" i="11" s="1"/>
  <c r="N22" i="11"/>
  <c r="S38" i="11"/>
  <c r="S50" i="11"/>
  <c r="N25" i="11"/>
  <c r="S41" i="11"/>
  <c r="M41" i="11" s="1"/>
  <c r="S18" i="11"/>
  <c r="W4" i="11"/>
  <c r="AB3" i="11"/>
  <c r="N46" i="11"/>
  <c r="N23" i="11"/>
  <c r="S48" i="11"/>
  <c r="S26" i="11"/>
  <c r="O21" i="11"/>
  <c r="N39" i="11"/>
  <c r="O37" i="11"/>
  <c r="S53" i="11"/>
  <c r="N24" i="11"/>
  <c r="S51" i="11"/>
  <c r="S55" i="11"/>
  <c r="N27" i="11"/>
  <c r="S59" i="11"/>
  <c r="O59" i="11" s="1"/>
  <c r="N28" i="11"/>
  <c r="S29" i="11"/>
  <c r="N45" i="11"/>
  <c r="N59" i="11"/>
  <c r="N30" i="11"/>
  <c r="S52" i="11"/>
  <c r="S46" i="11"/>
  <c r="N37" i="11"/>
  <c r="N31" i="11"/>
  <c r="S56" i="11"/>
  <c r="Q5" i="11"/>
  <c r="T5" i="11" s="1"/>
  <c r="N44" i="11"/>
  <c r="Q32" i="11"/>
  <c r="R5" i="11"/>
  <c r="U5" i="11" s="1"/>
  <c r="P49" i="10"/>
  <c r="P41" i="10"/>
  <c r="P21" i="10"/>
  <c r="P27" i="10"/>
  <c r="P13" i="10"/>
  <c r="P51" i="10"/>
  <c r="J35" i="10"/>
  <c r="J31" i="10"/>
  <c r="P19" i="10"/>
  <c r="P31" i="10"/>
  <c r="P17" i="10"/>
  <c r="J15" i="10"/>
  <c r="J19" i="10"/>
  <c r="J27" i="10"/>
  <c r="J6" i="10" s="1"/>
  <c r="J7" i="10" s="1"/>
  <c r="P29" i="10"/>
  <c r="J11" i="10"/>
  <c r="P53" i="10"/>
  <c r="P25" i="10"/>
  <c r="P45" i="10"/>
  <c r="P43" i="10"/>
  <c r="P23" i="10"/>
  <c r="J43" i="10"/>
  <c r="P15" i="10"/>
  <c r="P6" i="10" s="1"/>
  <c r="P7" i="10" s="1"/>
  <c r="J39" i="10"/>
  <c r="J17" i="10"/>
  <c r="J21" i="10"/>
  <c r="P37" i="10"/>
  <c r="J53" i="10"/>
  <c r="J23" i="10"/>
  <c r="P33" i="10"/>
  <c r="J47" i="10"/>
  <c r="J29" i="10"/>
  <c r="A15" i="10"/>
  <c r="B14" i="10"/>
  <c r="P11" i="10"/>
  <c r="J13" i="10"/>
  <c r="J25" i="10"/>
  <c r="O40" i="11" l="1"/>
  <c r="M40" i="11"/>
  <c r="AB4" i="11"/>
  <c r="AE4" i="11" s="1"/>
  <c r="AD4" i="11"/>
  <c r="O49" i="11"/>
  <c r="M49" i="11"/>
  <c r="N49" i="11"/>
  <c r="W3" i="11"/>
  <c r="AD5" i="11" s="1"/>
  <c r="AC3" i="11"/>
  <c r="AC6" i="11"/>
  <c r="M16" i="11"/>
  <c r="M18" i="11"/>
  <c r="O18" i="11"/>
  <c r="M52" i="11"/>
  <c r="O52" i="11"/>
  <c r="O41" i="11"/>
  <c r="M26" i="11"/>
  <c r="O26" i="11"/>
  <c r="N26" i="11"/>
  <c r="M48" i="11"/>
  <c r="O48" i="11"/>
  <c r="S32" i="11"/>
  <c r="AC5" i="11"/>
  <c r="O29" i="11"/>
  <c r="M29" i="11"/>
  <c r="N48" i="11"/>
  <c r="N29" i="11"/>
  <c r="AC4" i="11"/>
  <c r="AB6" i="11"/>
  <c r="W5" i="11"/>
  <c r="AD6" i="11" s="1"/>
  <c r="O46" i="11"/>
  <c r="M46" i="11"/>
  <c r="O38" i="11"/>
  <c r="M38" i="11"/>
  <c r="O58" i="11"/>
  <c r="M58" i="11"/>
  <c r="M43" i="11"/>
  <c r="O43" i="11"/>
  <c r="N43" i="11"/>
  <c r="M59" i="11"/>
  <c r="W7" i="11"/>
  <c r="AD7" i="11" s="1"/>
  <c r="AB7" i="11"/>
  <c r="O36" i="11"/>
  <c r="M36" i="11"/>
  <c r="M56" i="11"/>
  <c r="O56" i="11"/>
  <c r="M33" i="11"/>
  <c r="O33" i="11"/>
  <c r="O57" i="11"/>
  <c r="M57" i="11"/>
  <c r="N36" i="11"/>
  <c r="AE3" i="11"/>
  <c r="N16" i="11"/>
  <c r="N52" i="11"/>
  <c r="M55" i="11"/>
  <c r="O55" i="11"/>
  <c r="N18" i="11"/>
  <c r="M50" i="11"/>
  <c r="O50" i="11"/>
  <c r="M51" i="11"/>
  <c r="O51" i="11"/>
  <c r="N38" i="11"/>
  <c r="N40" i="11"/>
  <c r="M53" i="11"/>
  <c r="O53" i="11"/>
  <c r="M20" i="11"/>
  <c r="O20" i="11"/>
  <c r="N56" i="11"/>
  <c r="N53" i="11"/>
  <c r="K38" i="10"/>
  <c r="L38" i="10" s="1"/>
  <c r="K46" i="10"/>
  <c r="L46" i="10" s="1"/>
  <c r="K26" i="10"/>
  <c r="L26" i="10" s="1"/>
  <c r="K18" i="10"/>
  <c r="L18" i="10" s="1"/>
  <c r="K44" i="10"/>
  <c r="L44" i="10" s="1"/>
  <c r="K20" i="10"/>
  <c r="L20" i="10" s="1"/>
  <c r="K36" i="10"/>
  <c r="L36" i="10" s="1"/>
  <c r="K50" i="10"/>
  <c r="L50" i="10" s="1"/>
  <c r="K24" i="10"/>
  <c r="L24" i="10" s="1"/>
  <c r="K37" i="10"/>
  <c r="L37" i="10" s="1"/>
  <c r="K41" i="10"/>
  <c r="L41" i="10" s="1"/>
  <c r="K28" i="10"/>
  <c r="L28" i="10" s="1"/>
  <c r="K48" i="10"/>
  <c r="L48" i="10" s="1"/>
  <c r="K10" i="10"/>
  <c r="L10" i="10" s="1"/>
  <c r="K16" i="10"/>
  <c r="L16" i="10" s="1"/>
  <c r="K52" i="10"/>
  <c r="L52" i="10" s="1"/>
  <c r="K42" i="10"/>
  <c r="L42" i="10" s="1"/>
  <c r="K32" i="10"/>
  <c r="L32" i="10" s="1"/>
  <c r="K34" i="10"/>
  <c r="L34" i="10" s="1"/>
  <c r="K51" i="10"/>
  <c r="L51" i="10" s="1"/>
  <c r="K33" i="10"/>
  <c r="L33" i="10" s="1"/>
  <c r="K40" i="10"/>
  <c r="L40" i="10" s="1"/>
  <c r="K22" i="10"/>
  <c r="L22" i="10" s="1"/>
  <c r="K30" i="10"/>
  <c r="L30" i="10" s="1"/>
  <c r="K49" i="10"/>
  <c r="L49" i="10" s="1"/>
  <c r="K45" i="10"/>
  <c r="L45" i="10" s="1"/>
  <c r="K14" i="10"/>
  <c r="L14" i="10" s="1"/>
  <c r="K12" i="10"/>
  <c r="L12" i="10" s="1"/>
  <c r="K53" i="10"/>
  <c r="L53" i="10" s="1"/>
  <c r="K23" i="10"/>
  <c r="L23" i="10" s="1"/>
  <c r="K11" i="10"/>
  <c r="L11" i="10" s="1"/>
  <c r="K47" i="10"/>
  <c r="L47" i="10" s="1"/>
  <c r="K29" i="10"/>
  <c r="L29" i="10" s="1"/>
  <c r="K35" i="10"/>
  <c r="L35" i="10" s="1"/>
  <c r="K31" i="10"/>
  <c r="L31" i="10" s="1"/>
  <c r="K25" i="10"/>
  <c r="L25" i="10" s="1"/>
  <c r="K21" i="10"/>
  <c r="L21" i="10" s="1"/>
  <c r="K13" i="10"/>
  <c r="L13" i="10" s="1"/>
  <c r="K43" i="10"/>
  <c r="L43" i="10" s="1"/>
  <c r="K27" i="10"/>
  <c r="L27" i="10" s="1"/>
  <c r="K39" i="10"/>
  <c r="L39" i="10" s="1"/>
  <c r="K17" i="10"/>
  <c r="L17" i="10" s="1"/>
  <c r="K15" i="10"/>
  <c r="L15" i="10" s="1"/>
  <c r="K19" i="10"/>
  <c r="L19" i="10" s="1"/>
  <c r="Q44" i="10"/>
  <c r="R44" i="10" s="1"/>
  <c r="Q10" i="10"/>
  <c r="R10" i="10" s="1"/>
  <c r="Q40" i="10"/>
  <c r="R40" i="10" s="1"/>
  <c r="Q35" i="10"/>
  <c r="R35" i="10" s="1"/>
  <c r="Q46" i="10"/>
  <c r="R46" i="10" s="1"/>
  <c r="Q42" i="10"/>
  <c r="R42" i="10" s="1"/>
  <c r="Q47" i="10"/>
  <c r="R47" i="10" s="1"/>
  <c r="Q24" i="10"/>
  <c r="R24" i="10" s="1"/>
  <c r="Q48" i="10"/>
  <c r="R48" i="10" s="1"/>
  <c r="Q16" i="10"/>
  <c r="R16" i="10" s="1"/>
  <c r="Q38" i="10"/>
  <c r="R38" i="10" s="1"/>
  <c r="Q36" i="10"/>
  <c r="R36" i="10" s="1"/>
  <c r="Q39" i="10"/>
  <c r="R39" i="10" s="1"/>
  <c r="Q26" i="10"/>
  <c r="R26" i="10" s="1"/>
  <c r="Q28" i="10"/>
  <c r="R28" i="10" s="1"/>
  <c r="Q20" i="10"/>
  <c r="R20" i="10" s="1"/>
  <c r="Q52" i="10"/>
  <c r="R52" i="10" s="1"/>
  <c r="Q50" i="10"/>
  <c r="R50" i="10" s="1"/>
  <c r="Q22" i="10"/>
  <c r="R22" i="10" s="1"/>
  <c r="Q18" i="10"/>
  <c r="R18" i="10" s="1"/>
  <c r="Q34" i="10"/>
  <c r="R34" i="10" s="1"/>
  <c r="Q32" i="10"/>
  <c r="R32" i="10" s="1"/>
  <c r="Q30" i="10"/>
  <c r="R30" i="10" s="1"/>
  <c r="Q14" i="10"/>
  <c r="R14" i="10" s="1"/>
  <c r="Q12" i="10"/>
  <c r="R12" i="10" s="1"/>
  <c r="Q49" i="10"/>
  <c r="R49" i="10" s="1"/>
  <c r="Q29" i="10"/>
  <c r="R29" i="10" s="1"/>
  <c r="Q41" i="10"/>
  <c r="R41" i="10" s="1"/>
  <c r="Q33" i="10"/>
  <c r="R33" i="10" s="1"/>
  <c r="Q21" i="10"/>
  <c r="R21" i="10" s="1"/>
  <c r="Q53" i="10"/>
  <c r="R53" i="10" s="1"/>
  <c r="Q27" i="10"/>
  <c r="R27" i="10" s="1"/>
  <c r="Q25" i="10"/>
  <c r="R25" i="10" s="1"/>
  <c r="Q13" i="10"/>
  <c r="R13" i="10" s="1"/>
  <c r="Q45" i="10"/>
  <c r="R45" i="10" s="1"/>
  <c r="Q51" i="10"/>
  <c r="R51" i="10" s="1"/>
  <c r="Q11" i="10"/>
  <c r="R11" i="10" s="1"/>
  <c r="Q19" i="10"/>
  <c r="R19" i="10" s="1"/>
  <c r="Q31" i="10"/>
  <c r="R31" i="10" s="1"/>
  <c r="Q17" i="10"/>
  <c r="R17" i="10" s="1"/>
  <c r="Q37" i="10"/>
  <c r="R37" i="10" s="1"/>
  <c r="Q43" i="10"/>
  <c r="R43" i="10" s="1"/>
  <c r="Q23" i="10"/>
  <c r="R23" i="10" s="1"/>
  <c r="Q15" i="10"/>
  <c r="R15" i="10" s="1"/>
  <c r="B15" i="10"/>
  <c r="A16" i="10"/>
  <c r="M32" i="11" l="1"/>
  <c r="O32" i="11"/>
  <c r="N32" i="11"/>
  <c r="AB5" i="11"/>
  <c r="AE5" i="11" s="1"/>
  <c r="AC7" i="11"/>
  <c r="AE7" i="11"/>
  <c r="AE6" i="11"/>
  <c r="A17" i="10"/>
  <c r="B16" i="10"/>
  <c r="B17" i="10" l="1"/>
  <c r="A18" i="10"/>
  <c r="A19" i="10" l="1"/>
  <c r="B18" i="10"/>
  <c r="B19" i="10" l="1"/>
  <c r="A20" i="10"/>
  <c r="A21" i="10" l="1"/>
  <c r="B20" i="10"/>
  <c r="B21" i="10" l="1"/>
  <c r="A22" i="10"/>
  <c r="A23" i="10" l="1"/>
  <c r="B22" i="10"/>
  <c r="B23" i="10" l="1"/>
  <c r="A24" i="10"/>
  <c r="A25" i="10" l="1"/>
  <c r="B24" i="10"/>
  <c r="B25" i="10" l="1"/>
  <c r="A26" i="10"/>
  <c r="A27" i="10" l="1"/>
  <c r="B26" i="10"/>
  <c r="B27" i="10" l="1"/>
  <c r="A28" i="10"/>
  <c r="A29" i="10" l="1"/>
  <c r="B28" i="10"/>
  <c r="B29" i="10" l="1"/>
  <c r="A30" i="10"/>
  <c r="A31" i="10" l="1"/>
  <c r="B30" i="10"/>
  <c r="B31" i="10" l="1"/>
  <c r="A32" i="10"/>
  <c r="A33" i="10" l="1"/>
  <c r="B32" i="10"/>
  <c r="B33" i="10" l="1"/>
  <c r="A34" i="10"/>
  <c r="A35" i="10" l="1"/>
  <c r="B34" i="10"/>
  <c r="B35" i="10" l="1"/>
  <c r="A36" i="10"/>
  <c r="A37" i="10" l="1"/>
  <c r="B36" i="10"/>
  <c r="B37" i="10" l="1"/>
  <c r="A38" i="10"/>
  <c r="A39" i="10" l="1"/>
  <c r="B38" i="10"/>
  <c r="B39" i="10" l="1"/>
  <c r="A40" i="10"/>
  <c r="A41" i="10" l="1"/>
  <c r="B40" i="10"/>
  <c r="B41" i="10" l="1"/>
  <c r="A42" i="10"/>
  <c r="A43" i="10" l="1"/>
  <c r="B42" i="10"/>
  <c r="B43" i="10" l="1"/>
  <c r="A44" i="10"/>
  <c r="A45" i="10" l="1"/>
  <c r="B44" i="10"/>
  <c r="B45" i="10" l="1"/>
  <c r="A46" i="10"/>
  <c r="A47" i="10" l="1"/>
  <c r="B46" i="10"/>
  <c r="B47" i="10" l="1"/>
  <c r="A48" i="10"/>
  <c r="A49" i="10" l="1"/>
  <c r="B48" i="10"/>
  <c r="B49" i="10" l="1"/>
  <c r="A50" i="10"/>
  <c r="A51" i="10" l="1"/>
  <c r="B50" i="10"/>
  <c r="B51" i="10" l="1"/>
  <c r="A52" i="10"/>
  <c r="A53" i="10" l="1"/>
  <c r="B52" i="10"/>
  <c r="B53" i="10" l="1"/>
  <c r="A54" i="10"/>
  <c r="A55" i="10" l="1"/>
  <c r="B54" i="10"/>
  <c r="A56" i="10" l="1"/>
  <c r="B55" i="10"/>
  <c r="A57" i="10" l="1"/>
  <c r="B56" i="10"/>
  <c r="A58" i="10" l="1"/>
  <c r="B57" i="10"/>
  <c r="B58" i="10" l="1"/>
  <c r="A59" i="10"/>
  <c r="A60" i="10" l="1"/>
  <c r="B59" i="10"/>
  <c r="A61" i="10" l="1"/>
  <c r="B60" i="10"/>
  <c r="A62" i="10" l="1"/>
  <c r="B61" i="10"/>
  <c r="A63" i="10" l="1"/>
  <c r="B62" i="10"/>
  <c r="B63" i="10" l="1"/>
  <c r="A64" i="10"/>
  <c r="A65" i="10" l="1"/>
  <c r="B64" i="10"/>
  <c r="A66" i="10" l="1"/>
  <c r="B65" i="10"/>
  <c r="A67" i="10" l="1"/>
  <c r="B66" i="10"/>
  <c r="A68" i="10" l="1"/>
  <c r="B67" i="10"/>
  <c r="A69" i="10" l="1"/>
  <c r="B68" i="10"/>
  <c r="A70" i="10" l="1"/>
  <c r="B69" i="10"/>
  <c r="A71" i="10" l="1"/>
  <c r="B70" i="10"/>
  <c r="A72" i="10" l="1"/>
  <c r="B71" i="10"/>
  <c r="B72" i="10" l="1"/>
  <c r="A73" i="10"/>
  <c r="A74" i="10" l="1"/>
  <c r="B73" i="10"/>
  <c r="A75" i="10" l="1"/>
  <c r="B74" i="10"/>
  <c r="A76" i="10" l="1"/>
  <c r="B75" i="10"/>
  <c r="B76" i="10" l="1"/>
  <c r="A77" i="10"/>
  <c r="B77" i="10" l="1"/>
  <c r="A78" i="10"/>
  <c r="A79" i="10" l="1"/>
  <c r="B78" i="10"/>
  <c r="A80" i="10" l="1"/>
  <c r="B79" i="10"/>
  <c r="A81" i="10" l="1"/>
  <c r="B80" i="10"/>
  <c r="A82" i="10" l="1"/>
  <c r="B81" i="10"/>
  <c r="A83" i="10" l="1"/>
  <c r="B82" i="10"/>
  <c r="A84" i="10" l="1"/>
  <c r="B83" i="10"/>
  <c r="A85" i="10" l="1"/>
  <c r="B84" i="10"/>
  <c r="A86" i="10" l="1"/>
  <c r="B85" i="10"/>
  <c r="B86" i="10" l="1"/>
  <c r="A87" i="10"/>
  <c r="A88" i="10" l="1"/>
  <c r="B87" i="10"/>
  <c r="A89" i="10" l="1"/>
  <c r="B88" i="10"/>
  <c r="A90" i="10" l="1"/>
  <c r="B89" i="10"/>
  <c r="A91" i="10" l="1"/>
  <c r="B90" i="10"/>
  <c r="B91" i="10" l="1"/>
  <c r="A92" i="10"/>
  <c r="A93" i="10" l="1"/>
  <c r="B92" i="10"/>
  <c r="A94" i="10" l="1"/>
  <c r="B93" i="10"/>
  <c r="A95" i="10" l="1"/>
  <c r="B94" i="10"/>
  <c r="A96" i="10" l="1"/>
  <c r="B95" i="10"/>
  <c r="A97" i="10" l="1"/>
  <c r="B96" i="10"/>
  <c r="A98" i="10" l="1"/>
  <c r="B97" i="10"/>
  <c r="A99" i="10" l="1"/>
  <c r="B98" i="10"/>
  <c r="B99" i="10" l="1"/>
  <c r="A100" i="10"/>
  <c r="B100" i="10" l="1"/>
  <c r="A101" i="10"/>
  <c r="A102" i="10" l="1"/>
  <c r="B101" i="10"/>
  <c r="A103" i="10" l="1"/>
  <c r="B102" i="10"/>
  <c r="A104" i="10" l="1"/>
  <c r="B103" i="10"/>
  <c r="A105" i="10" l="1"/>
  <c r="B104" i="10"/>
  <c r="B105" i="10" l="1"/>
  <c r="A106" i="10"/>
  <c r="A107" i="10" l="1"/>
  <c r="B106" i="10"/>
  <c r="A108" i="10" l="1"/>
  <c r="B107" i="10"/>
  <c r="A109" i="10" l="1"/>
  <c r="B108" i="10"/>
  <c r="A110" i="10" l="1"/>
  <c r="B109" i="10"/>
  <c r="A111" i="10" l="1"/>
  <c r="B110" i="10"/>
  <c r="A112" i="10" l="1"/>
  <c r="B111" i="10"/>
  <c r="A113" i="10" l="1"/>
  <c r="B112" i="10"/>
  <c r="A114" i="10" l="1"/>
  <c r="B113" i="10"/>
  <c r="B114" i="10" l="1"/>
  <c r="A115" i="10"/>
  <c r="A116" i="10" l="1"/>
  <c r="B115" i="10"/>
  <c r="A117" i="10" l="1"/>
  <c r="B116" i="10"/>
  <c r="A118" i="10" l="1"/>
  <c r="B117" i="10"/>
  <c r="A119" i="10" l="1"/>
  <c r="B118" i="10"/>
  <c r="B119" i="10" l="1"/>
  <c r="A120" i="10"/>
  <c r="A121" i="10" l="1"/>
  <c r="B120" i="10"/>
  <c r="A122" i="10" l="1"/>
  <c r="B121" i="10"/>
  <c r="A123" i="10" l="1"/>
  <c r="B122" i="10"/>
  <c r="A124" i="10" l="1"/>
  <c r="B123" i="10"/>
  <c r="A125" i="10" l="1"/>
  <c r="B124" i="10"/>
  <c r="A126" i="10" l="1"/>
  <c r="B125" i="10"/>
  <c r="A127" i="10" l="1"/>
  <c r="B126" i="10"/>
  <c r="A128" i="10" l="1"/>
  <c r="B127" i="10"/>
  <c r="B128" i="10" l="1"/>
  <c r="A129" i="10"/>
  <c r="A130" i="10" l="1"/>
  <c r="B129" i="10"/>
  <c r="A131" i="10" l="1"/>
  <c r="B130" i="10"/>
  <c r="A132" i="10" l="1"/>
  <c r="B131" i="10"/>
  <c r="A133" i="10" l="1"/>
  <c r="B132" i="10"/>
  <c r="B133" i="10" l="1"/>
  <c r="A134" i="10"/>
  <c r="A135" i="10" l="1"/>
  <c r="B134" i="10"/>
  <c r="A136" i="10" l="1"/>
  <c r="B135" i="10"/>
  <c r="A137" i="10" l="1"/>
  <c r="B136" i="10"/>
  <c r="A138" i="10" l="1"/>
  <c r="B137" i="10"/>
  <c r="A139" i="10" l="1"/>
  <c r="B138" i="10"/>
  <c r="A140" i="10" l="1"/>
  <c r="B139" i="10"/>
  <c r="A141" i="10" l="1"/>
  <c r="B140" i="10"/>
  <c r="A142" i="10" l="1"/>
  <c r="B141" i="10"/>
  <c r="B142" i="10" l="1"/>
  <c r="A143" i="10"/>
  <c r="A144" i="10" l="1"/>
  <c r="B143" i="10"/>
  <c r="A145" i="10" l="1"/>
  <c r="B144" i="10"/>
  <c r="A146" i="10" l="1"/>
  <c r="B145" i="10"/>
  <c r="B146" i="10" l="1"/>
  <c r="A147" i="10"/>
  <c r="B147" i="10" l="1"/>
  <c r="A148" i="10"/>
  <c r="A149" i="10" l="1"/>
  <c r="B148" i="10"/>
  <c r="A150" i="10" l="1"/>
  <c r="B149" i="10"/>
  <c r="A151" i="10" l="1"/>
  <c r="B150" i="10"/>
  <c r="A152" i="10" l="1"/>
  <c r="B151" i="10"/>
  <c r="A153" i="10" l="1"/>
  <c r="B152" i="10"/>
  <c r="A154" i="10" l="1"/>
  <c r="B153" i="10"/>
  <c r="A155" i="10" l="1"/>
  <c r="B154" i="10"/>
  <c r="A156" i="10" l="1"/>
  <c r="B155" i="10"/>
  <c r="B156" i="10" l="1"/>
  <c r="A157" i="10"/>
  <c r="A158" i="10" l="1"/>
  <c r="B157" i="10"/>
  <c r="A159" i="10" l="1"/>
  <c r="B158" i="10"/>
  <c r="A160" i="10" l="1"/>
  <c r="B159" i="10"/>
  <c r="A161" i="10" l="1"/>
  <c r="B160" i="10"/>
  <c r="B161" i="10" l="1"/>
  <c r="A162" i="10"/>
  <c r="A163" i="10" l="1"/>
  <c r="B162" i="10"/>
  <c r="A164" i="10" l="1"/>
  <c r="B163" i="10"/>
  <c r="A165" i="10" l="1"/>
  <c r="B164" i="10"/>
  <c r="A166" i="10" l="1"/>
  <c r="B165" i="10"/>
  <c r="A167" i="10" l="1"/>
  <c r="B166" i="10"/>
  <c r="A168" i="10" l="1"/>
  <c r="B167" i="10"/>
  <c r="A169" i="10" l="1"/>
  <c r="B168" i="10"/>
  <c r="A170" i="10" l="1"/>
  <c r="B169" i="10"/>
  <c r="B170" i="10" l="1"/>
  <c r="A171" i="10"/>
  <c r="A172" i="10" l="1"/>
  <c r="B171" i="10"/>
  <c r="A173" i="10" l="1"/>
  <c r="B172" i="10"/>
  <c r="A174" i="10" l="1"/>
  <c r="B173" i="10"/>
  <c r="B174" i="10" l="1"/>
  <c r="A175" i="10"/>
  <c r="B175" i="10" l="1"/>
  <c r="A176" i="10"/>
  <c r="A177" i="10" l="1"/>
  <c r="B176" i="10"/>
  <c r="A178" i="10" l="1"/>
  <c r="B177" i="10"/>
  <c r="A179" i="10" l="1"/>
  <c r="B178" i="10"/>
  <c r="A180" i="10" l="1"/>
  <c r="B179" i="10"/>
  <c r="A181" i="10" l="1"/>
  <c r="B180" i="10"/>
  <c r="A182" i="10" l="1"/>
  <c r="B181" i="10"/>
  <c r="A183" i="10" l="1"/>
  <c r="B182" i="10"/>
  <c r="A184" i="10" l="1"/>
  <c r="B183" i="10"/>
  <c r="B184" i="10" l="1"/>
  <c r="A185" i="10"/>
  <c r="A186" i="10" l="1"/>
  <c r="B185" i="10"/>
  <c r="A187" i="10" l="1"/>
  <c r="B186" i="10"/>
  <c r="A188" i="10" l="1"/>
  <c r="B187" i="10"/>
  <c r="A189" i="10" l="1"/>
  <c r="B188" i="10"/>
  <c r="B189" i="10" l="1"/>
  <c r="A190" i="10"/>
  <c r="A191" i="10" l="1"/>
  <c r="B190" i="10"/>
  <c r="A192" i="10" l="1"/>
  <c r="B191" i="10"/>
  <c r="A193" i="10" l="1"/>
  <c r="B192" i="10"/>
  <c r="A194" i="10" l="1"/>
  <c r="B193" i="10"/>
  <c r="A195" i="10" l="1"/>
  <c r="B194" i="10"/>
  <c r="A196" i="10" l="1"/>
  <c r="B195" i="10"/>
  <c r="A197" i="10" l="1"/>
  <c r="B196" i="10"/>
  <c r="B197" i="10" l="1"/>
  <c r="A198" i="10"/>
  <c r="A199" i="10" l="1"/>
  <c r="B198" i="10"/>
  <c r="A200" i="10" l="1"/>
  <c r="B199" i="10"/>
  <c r="A201" i="10" l="1"/>
  <c r="B200" i="10"/>
  <c r="A202" i="10" l="1"/>
  <c r="B201" i="10"/>
  <c r="A203" i="10" l="1"/>
  <c r="B203" i="10" s="1"/>
  <c r="B202" i="10"/>
  <c r="I15" i="9" l="1"/>
  <c r="R126" i="9"/>
  <c r="R125" i="9"/>
  <c r="R124" i="9"/>
  <c r="R123" i="9"/>
  <c r="R122" i="9"/>
  <c r="R121" i="9"/>
  <c r="R120" i="9"/>
  <c r="R119" i="9"/>
  <c r="R118" i="9"/>
  <c r="R117" i="9"/>
  <c r="R116" i="9"/>
  <c r="R115" i="9"/>
  <c r="R114" i="9"/>
  <c r="R113" i="9"/>
  <c r="R112" i="9"/>
  <c r="R111" i="9"/>
  <c r="R110" i="9"/>
  <c r="R109" i="9"/>
  <c r="R108" i="9"/>
  <c r="R107" i="9"/>
  <c r="R106" i="9"/>
  <c r="R105" i="9"/>
  <c r="R104" i="9"/>
  <c r="R103" i="9"/>
  <c r="R102" i="9"/>
  <c r="R101" i="9"/>
  <c r="R100" i="9"/>
  <c r="R99" i="9"/>
  <c r="R98" i="9"/>
  <c r="R97" i="9"/>
  <c r="R96" i="9"/>
  <c r="R95" i="9"/>
  <c r="R94" i="9"/>
  <c r="R93" i="9"/>
  <c r="R92" i="9"/>
  <c r="R91" i="9"/>
  <c r="R90" i="9"/>
  <c r="R89" i="9"/>
  <c r="R88" i="9"/>
  <c r="R87" i="9"/>
  <c r="R86" i="9"/>
  <c r="R85" i="9"/>
  <c r="R84" i="9"/>
  <c r="R83" i="9"/>
  <c r="R82" i="9"/>
  <c r="R81" i="9"/>
  <c r="R80" i="9"/>
  <c r="R79" i="9"/>
  <c r="R78" i="9"/>
  <c r="R77" i="9"/>
  <c r="R76" i="9"/>
  <c r="R75" i="9"/>
  <c r="R74" i="9"/>
  <c r="R73" i="9"/>
  <c r="R72" i="9"/>
  <c r="R71" i="9"/>
  <c r="R70" i="9"/>
  <c r="R69" i="9"/>
  <c r="R68" i="9"/>
  <c r="R67" i="9"/>
  <c r="R66" i="9"/>
  <c r="R65" i="9"/>
  <c r="R64" i="9"/>
  <c r="R63" i="9"/>
  <c r="R62" i="9"/>
  <c r="R61" i="9"/>
  <c r="R60" i="9"/>
  <c r="R59" i="9"/>
  <c r="R58" i="9"/>
  <c r="R57" i="9"/>
  <c r="R56" i="9"/>
  <c r="R55" i="9"/>
  <c r="R54" i="9"/>
  <c r="R53" i="9"/>
  <c r="R52" i="9"/>
  <c r="R51" i="9"/>
  <c r="R50" i="9"/>
  <c r="R49" i="9"/>
  <c r="R48" i="9"/>
  <c r="R47" i="9"/>
  <c r="R46" i="9"/>
  <c r="R45" i="9"/>
  <c r="R44" i="9"/>
  <c r="R43" i="9"/>
  <c r="R42" i="9"/>
  <c r="R41" i="9"/>
  <c r="R40" i="9"/>
  <c r="R39" i="9"/>
  <c r="R38" i="9"/>
  <c r="R37" i="9"/>
  <c r="R36" i="9"/>
  <c r="R35" i="9"/>
  <c r="R34" i="9"/>
  <c r="R33" i="9"/>
  <c r="R32" i="9"/>
  <c r="R31" i="9"/>
  <c r="R30" i="9"/>
  <c r="R29" i="9"/>
  <c r="R28" i="9"/>
  <c r="R27" i="9"/>
  <c r="H20" i="9"/>
  <c r="P160" i="9" s="1"/>
  <c r="G20" i="9"/>
  <c r="O223" i="9" s="1"/>
  <c r="F20" i="9"/>
  <c r="N202" i="9" s="1"/>
  <c r="E20" i="9"/>
  <c r="M137" i="9" s="1"/>
  <c r="D20" i="9"/>
  <c r="L129" i="9" s="1"/>
  <c r="C20" i="9"/>
  <c r="K210" i="9" s="1"/>
  <c r="B20" i="9"/>
  <c r="J148" i="9" s="1"/>
  <c r="H18" i="9"/>
  <c r="G18" i="9"/>
  <c r="F18" i="9"/>
  <c r="E18" i="9"/>
  <c r="D18" i="9"/>
  <c r="C18" i="9"/>
  <c r="B18" i="9"/>
  <c r="H16" i="9"/>
  <c r="H17" i="9" s="1"/>
  <c r="G16" i="9"/>
  <c r="G17" i="9" s="1"/>
  <c r="F16" i="9"/>
  <c r="F17" i="9" s="1"/>
  <c r="E16" i="9"/>
  <c r="E17" i="9" s="1"/>
  <c r="D16" i="9"/>
  <c r="D17" i="9" s="1"/>
  <c r="C16" i="9"/>
  <c r="C17" i="9" s="1"/>
  <c r="B16" i="9"/>
  <c r="B17" i="9" s="1"/>
  <c r="I10" i="9"/>
  <c r="I226" i="9" s="1"/>
  <c r="H10" i="9"/>
  <c r="H158" i="9" s="1"/>
  <c r="G10" i="9"/>
  <c r="G216" i="9" s="1"/>
  <c r="F10" i="9"/>
  <c r="E10" i="9"/>
  <c r="E191" i="9" s="1"/>
  <c r="D10" i="9"/>
  <c r="D182" i="9" s="1"/>
  <c r="C10" i="9"/>
  <c r="C156" i="9" s="1"/>
  <c r="B10" i="9"/>
  <c r="B207" i="9" s="1"/>
  <c r="I8" i="9"/>
  <c r="H8" i="9"/>
  <c r="G8" i="9"/>
  <c r="F8" i="9"/>
  <c r="E8" i="9"/>
  <c r="D8" i="9"/>
  <c r="C8" i="9"/>
  <c r="B8" i="9"/>
  <c r="I6" i="9"/>
  <c r="I7" i="9" s="1"/>
  <c r="H6" i="9"/>
  <c r="H7" i="9" s="1"/>
  <c r="G6" i="9"/>
  <c r="G7" i="9" s="1"/>
  <c r="F6" i="9"/>
  <c r="F7" i="9" s="1"/>
  <c r="E6" i="9"/>
  <c r="E7" i="9" s="1"/>
  <c r="D6" i="9"/>
  <c r="D7" i="9" s="1"/>
  <c r="C6" i="9"/>
  <c r="C7" i="9" s="1"/>
  <c r="B6" i="9"/>
  <c r="B7" i="9" s="1"/>
  <c r="G9" i="9" l="1"/>
  <c r="C9" i="9"/>
  <c r="P131" i="9"/>
  <c r="H162" i="9"/>
  <c r="H167" i="9"/>
  <c r="H203" i="9"/>
  <c r="M135" i="9"/>
  <c r="D138" i="9"/>
  <c r="E145" i="9"/>
  <c r="H172" i="9"/>
  <c r="P177" i="9"/>
  <c r="C186" i="9"/>
  <c r="H199" i="9"/>
  <c r="B19" i="9"/>
  <c r="G19" i="9"/>
  <c r="H211" i="9"/>
  <c r="I192" i="9"/>
  <c r="I141" i="9"/>
  <c r="I148" i="9"/>
  <c r="B9" i="9"/>
  <c r="E153" i="9"/>
  <c r="M213" i="9"/>
  <c r="D19" i="9"/>
  <c r="D156" i="9"/>
  <c r="I215" i="9"/>
  <c r="I129" i="9"/>
  <c r="C19" i="9"/>
  <c r="M161" i="9"/>
  <c r="E219" i="9"/>
  <c r="H9" i="9"/>
  <c r="H19" i="9"/>
  <c r="I18" i="9"/>
  <c r="I128" i="9"/>
  <c r="H132" i="9"/>
  <c r="N135" i="9"/>
  <c r="E138" i="9"/>
  <c r="I142" i="9"/>
  <c r="I145" i="9"/>
  <c r="P148" i="9"/>
  <c r="H153" i="9"/>
  <c r="H156" i="9"/>
  <c r="P161" i="9"/>
  <c r="E168" i="9"/>
  <c r="I172" i="9"/>
  <c r="B178" i="9"/>
  <c r="D186" i="9"/>
  <c r="H193" i="9"/>
  <c r="I199" i="9"/>
  <c r="E205" i="9"/>
  <c r="I211" i="9"/>
  <c r="I216" i="9"/>
  <c r="I219" i="9"/>
  <c r="I9" i="9"/>
  <c r="P128" i="9"/>
  <c r="I132" i="9"/>
  <c r="O135" i="9"/>
  <c r="P138" i="9"/>
  <c r="K142" i="9"/>
  <c r="P145" i="9"/>
  <c r="K149" i="9"/>
  <c r="I153" i="9"/>
  <c r="I156" i="9"/>
  <c r="B162" i="9"/>
  <c r="N168" i="9"/>
  <c r="E173" i="9"/>
  <c r="C178" i="9"/>
  <c r="E186" i="9"/>
  <c r="I193" i="9"/>
  <c r="K199" i="9"/>
  <c r="P206" i="9"/>
  <c r="H212" i="9"/>
  <c r="K216" i="9"/>
  <c r="B220" i="9"/>
  <c r="H129" i="9"/>
  <c r="K132" i="9"/>
  <c r="C136" i="9"/>
  <c r="B139" i="9"/>
  <c r="L142" i="9"/>
  <c r="B146" i="9"/>
  <c r="L149" i="9"/>
  <c r="P153" i="9"/>
  <c r="H157" i="9"/>
  <c r="C162" i="9"/>
  <c r="O168" i="9"/>
  <c r="D174" i="9"/>
  <c r="E178" i="9"/>
  <c r="H188" i="9"/>
  <c r="O193" i="9"/>
  <c r="L199" i="9"/>
  <c r="H208" i="9"/>
  <c r="P212" i="9"/>
  <c r="L216" i="9"/>
  <c r="C220" i="9"/>
  <c r="L132" i="9"/>
  <c r="D136" i="9"/>
  <c r="C139" i="9"/>
  <c r="B143" i="9"/>
  <c r="E146" i="9"/>
  <c r="N149" i="9"/>
  <c r="E154" i="9"/>
  <c r="I157" i="9"/>
  <c r="B169" i="9"/>
  <c r="I174" i="9"/>
  <c r="P179" i="9"/>
  <c r="I188" i="9"/>
  <c r="C194" i="9"/>
  <c r="I200" i="9"/>
  <c r="I208" i="9"/>
  <c r="N216" i="9"/>
  <c r="C222" i="9"/>
  <c r="K129" i="9"/>
  <c r="B133" i="9"/>
  <c r="P136" i="9"/>
  <c r="I139" i="9"/>
  <c r="I143" i="9"/>
  <c r="C147" i="9"/>
  <c r="E150" i="9"/>
  <c r="H154" i="9"/>
  <c r="E158" i="9"/>
  <c r="L163" i="9"/>
  <c r="C169" i="9"/>
  <c r="P174" i="9"/>
  <c r="I180" i="9"/>
  <c r="H190" i="9"/>
  <c r="B195" i="9"/>
  <c r="B201" i="9"/>
  <c r="E209" i="9"/>
  <c r="B214" i="9"/>
  <c r="E217" i="9"/>
  <c r="D222" i="9"/>
  <c r="H133" i="9"/>
  <c r="E137" i="9"/>
  <c r="P139" i="9"/>
  <c r="E144" i="9"/>
  <c r="D147" i="9"/>
  <c r="E151" i="9"/>
  <c r="P154" i="9"/>
  <c r="H159" i="9"/>
  <c r="M163" i="9"/>
  <c r="E169" i="9"/>
  <c r="C175" i="9"/>
  <c r="H182" i="9"/>
  <c r="I190" i="9"/>
  <c r="C195" i="9"/>
  <c r="C201" i="9"/>
  <c r="H209" i="9"/>
  <c r="C214" i="9"/>
  <c r="H217" i="9"/>
  <c r="E222" i="9"/>
  <c r="B130" i="9"/>
  <c r="I133" i="9"/>
  <c r="H140" i="9"/>
  <c r="O144" i="9"/>
  <c r="E147" i="9"/>
  <c r="I151" i="9"/>
  <c r="D155" i="9"/>
  <c r="I159" i="9"/>
  <c r="N163" i="9"/>
  <c r="H170" i="9"/>
  <c r="C176" i="9"/>
  <c r="I182" i="9"/>
  <c r="G191" i="9"/>
  <c r="D195" i="9"/>
  <c r="D201" i="9"/>
  <c r="I209" i="9"/>
  <c r="E214" i="9"/>
  <c r="D218" i="9"/>
  <c r="H224" i="9"/>
  <c r="H130" i="9"/>
  <c r="P133" i="9"/>
  <c r="N137" i="9"/>
  <c r="I140" i="9"/>
  <c r="P144" i="9"/>
  <c r="I147" i="9"/>
  <c r="B152" i="9"/>
  <c r="E155" i="9"/>
  <c r="E160" i="9"/>
  <c r="O163" i="9"/>
  <c r="I170" i="9"/>
  <c r="H176" i="9"/>
  <c r="P183" i="9"/>
  <c r="B192" i="9"/>
  <c r="C197" i="9"/>
  <c r="E201" i="9"/>
  <c r="I210" i="9"/>
  <c r="O214" i="9"/>
  <c r="H218" i="9"/>
  <c r="I224" i="9"/>
  <c r="I130" i="9"/>
  <c r="I134" i="9"/>
  <c r="P137" i="9"/>
  <c r="K140" i="9"/>
  <c r="B145" i="9"/>
  <c r="N147" i="9"/>
  <c r="E152" i="9"/>
  <c r="I155" i="9"/>
  <c r="H160" i="9"/>
  <c r="P163" i="9"/>
  <c r="P170" i="9"/>
  <c r="O176" i="9"/>
  <c r="B184" i="9"/>
  <c r="C192" i="9"/>
  <c r="P197" i="9"/>
  <c r="I201" i="9"/>
  <c r="P210" i="9"/>
  <c r="C215" i="9"/>
  <c r="I218" i="9"/>
  <c r="P224" i="9"/>
  <c r="E19" i="9"/>
  <c r="P130" i="9"/>
  <c r="P134" i="9"/>
  <c r="B138" i="9"/>
  <c r="E141" i="9"/>
  <c r="C145" i="9"/>
  <c r="O147" i="9"/>
  <c r="H152" i="9"/>
  <c r="B156" i="9"/>
  <c r="I160" i="9"/>
  <c r="E166" i="9"/>
  <c r="P171" i="9"/>
  <c r="P176" i="9"/>
  <c r="C184" i="9"/>
  <c r="D192" i="9"/>
  <c r="B198" i="9"/>
  <c r="C211" i="9"/>
  <c r="D215" i="9"/>
  <c r="K218" i="9"/>
  <c r="H226" i="9"/>
  <c r="F19" i="9"/>
  <c r="I131" i="9"/>
  <c r="I135" i="9"/>
  <c r="C138" i="9"/>
  <c r="H141" i="9"/>
  <c r="D145" i="9"/>
  <c r="P147" i="9"/>
  <c r="I152" i="9"/>
  <c r="H166" i="9"/>
  <c r="E172" i="9"/>
  <c r="O177" i="9"/>
  <c r="H185" i="9"/>
  <c r="E192" i="9"/>
  <c r="E199" i="9"/>
  <c r="O202" i="9"/>
  <c r="E211" i="9"/>
  <c r="H215" i="9"/>
  <c r="D219" i="9"/>
  <c r="F226" i="9"/>
  <c r="F223" i="9"/>
  <c r="F220" i="9"/>
  <c r="F217" i="9"/>
  <c r="F214" i="9"/>
  <c r="F211" i="9"/>
  <c r="F208" i="9"/>
  <c r="F205" i="9"/>
  <c r="F202" i="9"/>
  <c r="F199" i="9"/>
  <c r="F196" i="9"/>
  <c r="F193" i="9"/>
  <c r="F190" i="9"/>
  <c r="F187" i="9"/>
  <c r="F184" i="9"/>
  <c r="F181" i="9"/>
  <c r="F178" i="9"/>
  <c r="F175" i="9"/>
  <c r="F172" i="9"/>
  <c r="F169" i="9"/>
  <c r="F166" i="9"/>
  <c r="F224" i="9"/>
  <c r="F215" i="9"/>
  <c r="F206" i="9"/>
  <c r="F197" i="9"/>
  <c r="F188" i="9"/>
  <c r="F179" i="9"/>
  <c r="F170" i="9"/>
  <c r="F163" i="9"/>
  <c r="F160" i="9"/>
  <c r="F157" i="9"/>
  <c r="F154" i="9"/>
  <c r="F218" i="9"/>
  <c r="F213" i="9"/>
  <c r="F200" i="9"/>
  <c r="F195" i="9"/>
  <c r="F182" i="9"/>
  <c r="F177" i="9"/>
  <c r="F156" i="9"/>
  <c r="F219" i="9"/>
  <c r="F201" i="9"/>
  <c r="F183" i="9"/>
  <c r="F216" i="9"/>
  <c r="F180" i="9"/>
  <c r="F162" i="9"/>
  <c r="F161" i="9"/>
  <c r="F149" i="9"/>
  <c r="F148" i="9"/>
  <c r="F140" i="9"/>
  <c r="F139" i="9"/>
  <c r="F210" i="9"/>
  <c r="F174" i="9"/>
  <c r="F207" i="9"/>
  <c r="F204" i="9"/>
  <c r="F171" i="9"/>
  <c r="F168" i="9"/>
  <c r="F164" i="9"/>
  <c r="F147" i="9"/>
  <c r="F134" i="9"/>
  <c r="F131" i="9"/>
  <c r="F128" i="9"/>
  <c r="F212" i="9"/>
  <c r="F133" i="9"/>
  <c r="F130" i="9"/>
  <c r="F225" i="9"/>
  <c r="F221" i="9"/>
  <c r="F227" i="9"/>
  <c r="F132" i="9"/>
  <c r="F129" i="9"/>
  <c r="F135" i="9"/>
  <c r="F198" i="9"/>
  <c r="F194" i="9"/>
  <c r="F155" i="9"/>
  <c r="F144" i="9"/>
  <c r="F138" i="9"/>
  <c r="F137" i="9"/>
  <c r="F143" i="9"/>
  <c r="F136" i="9"/>
  <c r="J128" i="9"/>
  <c r="J224" i="9"/>
  <c r="M220" i="9"/>
  <c r="M211" i="9"/>
  <c r="M202" i="9"/>
  <c r="M193" i="9"/>
  <c r="M184" i="9"/>
  <c r="M175" i="9"/>
  <c r="M166" i="9"/>
  <c r="M219" i="9"/>
  <c r="M210" i="9"/>
  <c r="M201" i="9"/>
  <c r="M192" i="9"/>
  <c r="M183" i="9"/>
  <c r="M174" i="9"/>
  <c r="M227" i="9"/>
  <c r="M209" i="9"/>
  <c r="M191" i="9"/>
  <c r="M173" i="9"/>
  <c r="M215" i="9"/>
  <c r="M197" i="9"/>
  <c r="M179" i="9"/>
  <c r="M160" i="9"/>
  <c r="M204" i="9"/>
  <c r="M194" i="9"/>
  <c r="M168" i="9"/>
  <c r="M224" i="9"/>
  <c r="M214" i="9"/>
  <c r="M198" i="9"/>
  <c r="M188" i="9"/>
  <c r="M178" i="9"/>
  <c r="M165" i="9"/>
  <c r="M155" i="9"/>
  <c r="M154" i="9"/>
  <c r="M153" i="9"/>
  <c r="M152" i="9"/>
  <c r="M144" i="9"/>
  <c r="M143" i="9"/>
  <c r="M221" i="9"/>
  <c r="M218" i="9"/>
  <c r="M208" i="9"/>
  <c r="M185" i="9"/>
  <c r="M182" i="9"/>
  <c r="M172" i="9"/>
  <c r="M136" i="9"/>
  <c r="M223" i="9"/>
  <c r="M169" i="9"/>
  <c r="M151" i="9"/>
  <c r="M138" i="9"/>
  <c r="M217" i="9"/>
  <c r="M196" i="9"/>
  <c r="M177" i="9"/>
  <c r="M139" i="9"/>
  <c r="M171" i="9"/>
  <c r="M167" i="9"/>
  <c r="M159" i="9"/>
  <c r="M205" i="9"/>
  <c r="M186" i="9"/>
  <c r="M162" i="9"/>
  <c r="M156" i="9"/>
  <c r="M146" i="9"/>
  <c r="M190" i="9"/>
  <c r="M145" i="9"/>
  <c r="M140" i="9"/>
  <c r="F222" i="9"/>
  <c r="F159" i="9"/>
  <c r="F165" i="9"/>
  <c r="F153" i="9"/>
  <c r="L227" i="9"/>
  <c r="L224" i="9"/>
  <c r="L221" i="9"/>
  <c r="L218" i="9"/>
  <c r="L215" i="9"/>
  <c r="L212" i="9"/>
  <c r="L209" i="9"/>
  <c r="L206" i="9"/>
  <c r="L203" i="9"/>
  <c r="L200" i="9"/>
  <c r="L197" i="9"/>
  <c r="L194" i="9"/>
  <c r="L191" i="9"/>
  <c r="L188" i="9"/>
  <c r="L185" i="9"/>
  <c r="L182" i="9"/>
  <c r="L179" i="9"/>
  <c r="L176" i="9"/>
  <c r="L173" i="9"/>
  <c r="L170" i="9"/>
  <c r="L167" i="9"/>
  <c r="L164" i="9"/>
  <c r="L220" i="9"/>
  <c r="L211" i="9"/>
  <c r="L202" i="9"/>
  <c r="L193" i="9"/>
  <c r="L184" i="9"/>
  <c r="L175" i="9"/>
  <c r="L166" i="9"/>
  <c r="L214" i="9"/>
  <c r="L196" i="9"/>
  <c r="L178" i="9"/>
  <c r="L162" i="9"/>
  <c r="L161" i="9"/>
  <c r="L153" i="9"/>
  <c r="L150" i="9"/>
  <c r="L147" i="9"/>
  <c r="L144" i="9"/>
  <c r="L141" i="9"/>
  <c r="L207" i="9"/>
  <c r="L171" i="9"/>
  <c r="L145" i="9"/>
  <c r="L137" i="9"/>
  <c r="L133" i="9"/>
  <c r="L130" i="9"/>
  <c r="L204" i="9"/>
  <c r="L201" i="9"/>
  <c r="L168" i="9"/>
  <c r="L198" i="9"/>
  <c r="L165" i="9"/>
  <c r="L155" i="9"/>
  <c r="L154" i="9"/>
  <c r="L152" i="9"/>
  <c r="L143" i="9"/>
  <c r="L225" i="9"/>
  <c r="L192" i="9"/>
  <c r="L223" i="9"/>
  <c r="L219" i="9"/>
  <c r="L169" i="9"/>
  <c r="L151" i="9"/>
  <c r="L138" i="9"/>
  <c r="L217" i="9"/>
  <c r="L139" i="9"/>
  <c r="L190" i="9"/>
  <c r="L159" i="9"/>
  <c r="L140" i="9"/>
  <c r="L177" i="9"/>
  <c r="M129" i="9"/>
  <c r="N227" i="9"/>
  <c r="N224" i="9"/>
  <c r="N221" i="9"/>
  <c r="N218" i="9"/>
  <c r="N215" i="9"/>
  <c r="N212" i="9"/>
  <c r="N209" i="9"/>
  <c r="N206" i="9"/>
  <c r="N203" i="9"/>
  <c r="N200" i="9"/>
  <c r="N197" i="9"/>
  <c r="N194" i="9"/>
  <c r="N191" i="9"/>
  <c r="N188" i="9"/>
  <c r="N185" i="9"/>
  <c r="N182" i="9"/>
  <c r="N179" i="9"/>
  <c r="N176" i="9"/>
  <c r="N173" i="9"/>
  <c r="N170" i="9"/>
  <c r="N167" i="9"/>
  <c r="N164" i="9"/>
  <c r="N219" i="9"/>
  <c r="N210" i="9"/>
  <c r="N201" i="9"/>
  <c r="N192" i="9"/>
  <c r="N183" i="9"/>
  <c r="N174" i="9"/>
  <c r="N165" i="9"/>
  <c r="N161" i="9"/>
  <c r="N158" i="9"/>
  <c r="N155" i="9"/>
  <c r="N160" i="9"/>
  <c r="N214" i="9"/>
  <c r="N198" i="9"/>
  <c r="N178" i="9"/>
  <c r="N154" i="9"/>
  <c r="N153" i="9"/>
  <c r="N152" i="9"/>
  <c r="N144" i="9"/>
  <c r="N143" i="9"/>
  <c r="N211" i="9"/>
  <c r="N208" i="9"/>
  <c r="N175" i="9"/>
  <c r="N172" i="9"/>
  <c r="N136" i="9"/>
  <c r="N205" i="9"/>
  <c r="N169" i="9"/>
  <c r="N157" i="9"/>
  <c r="N156" i="9"/>
  <c r="N151" i="9"/>
  <c r="N142" i="9"/>
  <c r="N132" i="9"/>
  <c r="N129" i="9"/>
  <c r="N217" i="9"/>
  <c r="N196" i="9"/>
  <c r="N177" i="9"/>
  <c r="N139" i="9"/>
  <c r="N190" i="9"/>
  <c r="N171" i="9"/>
  <c r="N159" i="9"/>
  <c r="N145" i="9"/>
  <c r="N140" i="9"/>
  <c r="N186" i="9"/>
  <c r="N146" i="9"/>
  <c r="N213" i="9"/>
  <c r="N199" i="9"/>
  <c r="N180" i="9"/>
  <c r="N162" i="9"/>
  <c r="M128" i="9"/>
  <c r="L131" i="9"/>
  <c r="J139" i="9"/>
  <c r="K146" i="9"/>
  <c r="L157" i="9"/>
  <c r="N166" i="9"/>
  <c r="G172" i="9"/>
  <c r="L180" i="9"/>
  <c r="F186" i="9"/>
  <c r="L189" i="9"/>
  <c r="M200" i="9"/>
  <c r="G203" i="9"/>
  <c r="K206" i="9"/>
  <c r="F209" i="9"/>
  <c r="M225" i="9"/>
  <c r="N222" i="9"/>
  <c r="S27" i="9"/>
  <c r="I20" i="9"/>
  <c r="R139" i="9" s="1"/>
  <c r="I16" i="9"/>
  <c r="I17" i="9" s="1"/>
  <c r="L136" i="9"/>
  <c r="M141" i="9"/>
  <c r="M148" i="9"/>
  <c r="M150" i="9"/>
  <c r="G152" i="9"/>
  <c r="F158" i="9"/>
  <c r="O164" i="9"/>
  <c r="F167" i="9"/>
  <c r="L172" i="9"/>
  <c r="M181" i="9"/>
  <c r="L187" i="9"/>
  <c r="O189" i="9"/>
  <c r="G193" i="9"/>
  <c r="M195" i="9"/>
  <c r="M212" i="9"/>
  <c r="N141" i="9"/>
  <c r="N150" i="9"/>
  <c r="K158" i="9"/>
  <c r="K160" i="9"/>
  <c r="B165" i="9"/>
  <c r="O178" i="9"/>
  <c r="N184" i="9"/>
  <c r="G199" i="9"/>
  <c r="N204" i="9"/>
  <c r="N223" i="9"/>
  <c r="D9" i="9"/>
  <c r="C227" i="9"/>
  <c r="C226" i="9"/>
  <c r="C218" i="9"/>
  <c r="C217" i="9"/>
  <c r="C209" i="9"/>
  <c r="C208" i="9"/>
  <c r="C200" i="9"/>
  <c r="C199" i="9"/>
  <c r="C191" i="9"/>
  <c r="C190" i="9"/>
  <c r="C182" i="9"/>
  <c r="C181" i="9"/>
  <c r="C173" i="9"/>
  <c r="C172" i="9"/>
  <c r="C164" i="9"/>
  <c r="C161" i="9"/>
  <c r="C158" i="9"/>
  <c r="C155" i="9"/>
  <c r="C225" i="9"/>
  <c r="C216" i="9"/>
  <c r="C207" i="9"/>
  <c r="C198" i="9"/>
  <c r="C189" i="9"/>
  <c r="C180" i="9"/>
  <c r="C171" i="9"/>
  <c r="C224" i="9"/>
  <c r="C206" i="9"/>
  <c r="C188" i="9"/>
  <c r="C170" i="9"/>
  <c r="C157" i="9"/>
  <c r="C152" i="9"/>
  <c r="C149" i="9"/>
  <c r="C146" i="9"/>
  <c r="C143" i="9"/>
  <c r="C140" i="9"/>
  <c r="C137" i="9"/>
  <c r="C219" i="9"/>
  <c r="C183" i="9"/>
  <c r="C213" i="9"/>
  <c r="C193" i="9"/>
  <c r="C177" i="9"/>
  <c r="C160" i="9"/>
  <c r="C159" i="9"/>
  <c r="C150" i="9"/>
  <c r="C141" i="9"/>
  <c r="C132" i="9"/>
  <c r="C129" i="9"/>
  <c r="C223" i="9"/>
  <c r="C203" i="9"/>
  <c r="C187" i="9"/>
  <c r="C167" i="9"/>
  <c r="C135" i="9"/>
  <c r="C166" i="9"/>
  <c r="C153" i="9"/>
  <c r="C148" i="9"/>
  <c r="C204" i="9"/>
  <c r="C212" i="9"/>
  <c r="C210" i="9"/>
  <c r="C154" i="9"/>
  <c r="C185" i="9"/>
  <c r="C142" i="9"/>
  <c r="C128" i="9"/>
  <c r="C202" i="9"/>
  <c r="C179" i="9"/>
  <c r="C133" i="9"/>
  <c r="C130" i="9"/>
  <c r="C134" i="9"/>
  <c r="C131" i="9"/>
  <c r="S29" i="9"/>
  <c r="N130" i="9"/>
  <c r="N133" i="9"/>
  <c r="N138" i="9"/>
  <c r="F142" i="9"/>
  <c r="B144" i="9"/>
  <c r="O148" i="9"/>
  <c r="O150" i="9"/>
  <c r="K154" i="9"/>
  <c r="L158" i="9"/>
  <c r="L160" i="9"/>
  <c r="B163" i="9"/>
  <c r="C165" i="9"/>
  <c r="K170" i="9"/>
  <c r="F173" i="9"/>
  <c r="G176" i="9"/>
  <c r="O184" i="9"/>
  <c r="N187" i="9"/>
  <c r="B196" i="9"/>
  <c r="O204" i="9"/>
  <c r="L226" i="9"/>
  <c r="J225" i="9"/>
  <c r="J222" i="9"/>
  <c r="J219" i="9"/>
  <c r="J216" i="9"/>
  <c r="J213" i="9"/>
  <c r="J210" i="9"/>
  <c r="J207" i="9"/>
  <c r="J204" i="9"/>
  <c r="J201" i="9"/>
  <c r="J198" i="9"/>
  <c r="J195" i="9"/>
  <c r="J192" i="9"/>
  <c r="J189" i="9"/>
  <c r="J186" i="9"/>
  <c r="J183" i="9"/>
  <c r="J180" i="9"/>
  <c r="J177" i="9"/>
  <c r="J174" i="9"/>
  <c r="J171" i="9"/>
  <c r="J168" i="9"/>
  <c r="J165" i="9"/>
  <c r="J221" i="9"/>
  <c r="J212" i="9"/>
  <c r="J203" i="9"/>
  <c r="J194" i="9"/>
  <c r="J185" i="9"/>
  <c r="J176" i="9"/>
  <c r="J167" i="9"/>
  <c r="J162" i="9"/>
  <c r="J159" i="9"/>
  <c r="J156" i="9"/>
  <c r="J220" i="9"/>
  <c r="J202" i="9"/>
  <c r="J184" i="9"/>
  <c r="J166" i="9"/>
  <c r="J163" i="9"/>
  <c r="J154" i="9"/>
  <c r="J226" i="9"/>
  <c r="J208" i="9"/>
  <c r="J190" i="9"/>
  <c r="J172" i="9"/>
  <c r="J227" i="9"/>
  <c r="J223" i="9"/>
  <c r="J191" i="9"/>
  <c r="J187" i="9"/>
  <c r="J164" i="9"/>
  <c r="J146" i="9"/>
  <c r="J217" i="9"/>
  <c r="J181" i="9"/>
  <c r="J214" i="9"/>
  <c r="J211" i="9"/>
  <c r="J178" i="9"/>
  <c r="J175" i="9"/>
  <c r="J153" i="9"/>
  <c r="J145" i="9"/>
  <c r="J144" i="9"/>
  <c r="J137" i="9"/>
  <c r="J133" i="9"/>
  <c r="J130" i="9"/>
  <c r="J206" i="9"/>
  <c r="J173" i="9"/>
  <c r="J158" i="9"/>
  <c r="J150" i="9"/>
  <c r="J215" i="9"/>
  <c r="J200" i="9"/>
  <c r="J155" i="9"/>
  <c r="J196" i="9"/>
  <c r="J209" i="9"/>
  <c r="J188" i="9"/>
  <c r="J169" i="9"/>
  <c r="J151" i="9"/>
  <c r="J138" i="9"/>
  <c r="J161" i="9"/>
  <c r="K222" i="9"/>
  <c r="K221" i="9"/>
  <c r="K213" i="9"/>
  <c r="K212" i="9"/>
  <c r="K204" i="9"/>
  <c r="K203" i="9"/>
  <c r="K195" i="9"/>
  <c r="K194" i="9"/>
  <c r="K186" i="9"/>
  <c r="K185" i="9"/>
  <c r="K177" i="9"/>
  <c r="K176" i="9"/>
  <c r="K168" i="9"/>
  <c r="K167" i="9"/>
  <c r="K162" i="9"/>
  <c r="K159" i="9"/>
  <c r="K156" i="9"/>
  <c r="K220" i="9"/>
  <c r="K211" i="9"/>
  <c r="K202" i="9"/>
  <c r="K193" i="9"/>
  <c r="K184" i="9"/>
  <c r="K175" i="9"/>
  <c r="K166" i="9"/>
  <c r="K226" i="9"/>
  <c r="K208" i="9"/>
  <c r="K190" i="9"/>
  <c r="K172" i="9"/>
  <c r="K227" i="9"/>
  <c r="K214" i="9"/>
  <c r="K209" i="9"/>
  <c r="K196" i="9"/>
  <c r="K191" i="9"/>
  <c r="K178" i="9"/>
  <c r="K173" i="9"/>
  <c r="K161" i="9"/>
  <c r="K153" i="9"/>
  <c r="K150" i="9"/>
  <c r="K147" i="9"/>
  <c r="K144" i="9"/>
  <c r="K141" i="9"/>
  <c r="K138" i="9"/>
  <c r="K135" i="9"/>
  <c r="K217" i="9"/>
  <c r="K181" i="9"/>
  <c r="K207" i="9"/>
  <c r="K171" i="9"/>
  <c r="K145" i="9"/>
  <c r="K137" i="9"/>
  <c r="K133" i="9"/>
  <c r="K130" i="9"/>
  <c r="K224" i="9"/>
  <c r="K201" i="9"/>
  <c r="K188" i="9"/>
  <c r="K200" i="9"/>
  <c r="K198" i="9"/>
  <c r="K155" i="9"/>
  <c r="K223" i="9"/>
  <c r="K219" i="9"/>
  <c r="K225" i="9"/>
  <c r="K215" i="9"/>
  <c r="K192" i="9"/>
  <c r="K151" i="9"/>
  <c r="K182" i="9"/>
  <c r="K165" i="9"/>
  <c r="K152" i="9"/>
  <c r="K139" i="9"/>
  <c r="K169" i="9"/>
  <c r="F151" i="9"/>
  <c r="G159" i="9"/>
  <c r="G180" i="9"/>
  <c r="J182" i="9"/>
  <c r="J205" i="9"/>
  <c r="K128" i="9"/>
  <c r="J131" i="9"/>
  <c r="M132" i="9"/>
  <c r="J134" i="9"/>
  <c r="F141" i="9"/>
  <c r="M142" i="9"/>
  <c r="F146" i="9"/>
  <c r="M149" i="9"/>
  <c r="G153" i="9"/>
  <c r="J157" i="9"/>
  <c r="G166" i="9"/>
  <c r="K174" i="9"/>
  <c r="K183" i="9"/>
  <c r="F189" i="9"/>
  <c r="J197" i="9"/>
  <c r="M199" i="9"/>
  <c r="K205" i="9"/>
  <c r="L208" i="9"/>
  <c r="G211" i="9"/>
  <c r="M216" i="9"/>
  <c r="K134" i="9"/>
  <c r="L134" i="9"/>
  <c r="O219" i="9"/>
  <c r="O210" i="9"/>
  <c r="O201" i="9"/>
  <c r="O192" i="9"/>
  <c r="O183" i="9"/>
  <c r="O174" i="9"/>
  <c r="O165" i="9"/>
  <c r="O161" i="9"/>
  <c r="O158" i="9"/>
  <c r="O155" i="9"/>
  <c r="O227" i="9"/>
  <c r="O226" i="9"/>
  <c r="O218" i="9"/>
  <c r="O217" i="9"/>
  <c r="O209" i="9"/>
  <c r="O208" i="9"/>
  <c r="O200" i="9"/>
  <c r="O199" i="9"/>
  <c r="O191" i="9"/>
  <c r="O190" i="9"/>
  <c r="O182" i="9"/>
  <c r="O181" i="9"/>
  <c r="O173" i="9"/>
  <c r="O172" i="9"/>
  <c r="O215" i="9"/>
  <c r="O197" i="9"/>
  <c r="O179" i="9"/>
  <c r="O221" i="9"/>
  <c r="O216" i="9"/>
  <c r="O203" i="9"/>
  <c r="O198" i="9"/>
  <c r="O185" i="9"/>
  <c r="O180" i="9"/>
  <c r="O167" i="9"/>
  <c r="O159" i="9"/>
  <c r="O152" i="9"/>
  <c r="O149" i="9"/>
  <c r="O146" i="9"/>
  <c r="O143" i="9"/>
  <c r="O140" i="9"/>
  <c r="O137" i="9"/>
  <c r="O134" i="9"/>
  <c r="O224" i="9"/>
  <c r="O211" i="9"/>
  <c r="O188" i="9"/>
  <c r="O175" i="9"/>
  <c r="O136" i="9"/>
  <c r="O205" i="9"/>
  <c r="O169" i="9"/>
  <c r="O157" i="9"/>
  <c r="O156" i="9"/>
  <c r="O151" i="9"/>
  <c r="O142" i="9"/>
  <c r="O132" i="9"/>
  <c r="O129" i="9"/>
  <c r="O195" i="9"/>
  <c r="O171" i="9"/>
  <c r="O145" i="9"/>
  <c r="O213" i="9"/>
  <c r="O186" i="9"/>
  <c r="O162" i="9"/>
  <c r="O194" i="9"/>
  <c r="O207" i="9"/>
  <c r="O141" i="9"/>
  <c r="N128" i="9"/>
  <c r="G130" i="9"/>
  <c r="M131" i="9"/>
  <c r="G133" i="9"/>
  <c r="M134" i="9"/>
  <c r="J136" i="9"/>
  <c r="O139" i="9"/>
  <c r="L146" i="9"/>
  <c r="K148" i="9"/>
  <c r="O153" i="9"/>
  <c r="M157" i="9"/>
  <c r="K164" i="9"/>
  <c r="O166" i="9"/>
  <c r="M180" i="9"/>
  <c r="L186" i="9"/>
  <c r="M189" i="9"/>
  <c r="F192" i="9"/>
  <c r="M206" i="9"/>
  <c r="G209" i="9"/>
  <c r="G212" i="9"/>
  <c r="G217" i="9"/>
  <c r="N225" i="9"/>
  <c r="O128" i="9"/>
  <c r="N131" i="9"/>
  <c r="N134" i="9"/>
  <c r="K136" i="9"/>
  <c r="J141" i="9"/>
  <c r="J143" i="9"/>
  <c r="L148" i="9"/>
  <c r="F150" i="9"/>
  <c r="F152" i="9"/>
  <c r="G162" i="9"/>
  <c r="M164" i="9"/>
  <c r="L181" i="9"/>
  <c r="K187" i="9"/>
  <c r="N189" i="9"/>
  <c r="L195" i="9"/>
  <c r="M203" i="9"/>
  <c r="O206" i="9"/>
  <c r="O225" i="9"/>
  <c r="N220" i="9"/>
  <c r="B227" i="9"/>
  <c r="B224" i="9"/>
  <c r="B221" i="9"/>
  <c r="B218" i="9"/>
  <c r="B215" i="9"/>
  <c r="B212" i="9"/>
  <c r="B209" i="9"/>
  <c r="B206" i="9"/>
  <c r="B203" i="9"/>
  <c r="B200" i="9"/>
  <c r="B197" i="9"/>
  <c r="B194" i="9"/>
  <c r="B191" i="9"/>
  <c r="B188" i="9"/>
  <c r="B185" i="9"/>
  <c r="B182" i="9"/>
  <c r="B179" i="9"/>
  <c r="B176" i="9"/>
  <c r="B173" i="9"/>
  <c r="B170" i="9"/>
  <c r="B167" i="9"/>
  <c r="B226" i="9"/>
  <c r="B217" i="9"/>
  <c r="B208" i="9"/>
  <c r="B199" i="9"/>
  <c r="B190" i="9"/>
  <c r="B181" i="9"/>
  <c r="B172" i="9"/>
  <c r="B164" i="9"/>
  <c r="B161" i="9"/>
  <c r="B158" i="9"/>
  <c r="B155" i="9"/>
  <c r="B211" i="9"/>
  <c r="B193" i="9"/>
  <c r="B175" i="9"/>
  <c r="B159" i="9"/>
  <c r="B222" i="9"/>
  <c r="B186" i="9"/>
  <c r="B151" i="9"/>
  <c r="B142" i="9"/>
  <c r="B136" i="9"/>
  <c r="B219" i="9"/>
  <c r="B216" i="9"/>
  <c r="B183" i="9"/>
  <c r="B180" i="9"/>
  <c r="B213" i="9"/>
  <c r="B177" i="9"/>
  <c r="B160" i="9"/>
  <c r="B150" i="9"/>
  <c r="B149" i="9"/>
  <c r="B141" i="9"/>
  <c r="B140" i="9"/>
  <c r="B132" i="9"/>
  <c r="B129" i="9"/>
  <c r="B189" i="9"/>
  <c r="B187" i="9"/>
  <c r="B168" i="9"/>
  <c r="B147" i="9"/>
  <c r="B210" i="9"/>
  <c r="B166" i="9"/>
  <c r="B157" i="9"/>
  <c r="B153" i="9"/>
  <c r="B148" i="9"/>
  <c r="B223" i="9"/>
  <c r="B204" i="9"/>
  <c r="B171" i="9"/>
  <c r="B135" i="9"/>
  <c r="B134" i="9"/>
  <c r="B131" i="9"/>
  <c r="B128" i="9"/>
  <c r="B154" i="9"/>
  <c r="B225" i="9"/>
  <c r="M130" i="9"/>
  <c r="G140" i="9"/>
  <c r="N148" i="9"/>
  <c r="G167" i="9"/>
  <c r="F176" i="9"/>
  <c r="N181" i="9"/>
  <c r="M187" i="9"/>
  <c r="N195" i="9"/>
  <c r="O212" i="9"/>
  <c r="G218" i="9"/>
  <c r="O220" i="9"/>
  <c r="D226" i="9"/>
  <c r="D223" i="9"/>
  <c r="D220" i="9"/>
  <c r="D217" i="9"/>
  <c r="D214" i="9"/>
  <c r="D211" i="9"/>
  <c r="D208" i="9"/>
  <c r="D205" i="9"/>
  <c r="D202" i="9"/>
  <c r="D199" i="9"/>
  <c r="D196" i="9"/>
  <c r="D193" i="9"/>
  <c r="D190" i="9"/>
  <c r="D187" i="9"/>
  <c r="D184" i="9"/>
  <c r="D181" i="9"/>
  <c r="D178" i="9"/>
  <c r="D175" i="9"/>
  <c r="D172" i="9"/>
  <c r="D169" i="9"/>
  <c r="D166" i="9"/>
  <c r="D225" i="9"/>
  <c r="D216" i="9"/>
  <c r="D207" i="9"/>
  <c r="D198" i="9"/>
  <c r="D189" i="9"/>
  <c r="D180" i="9"/>
  <c r="D171" i="9"/>
  <c r="D224" i="9"/>
  <c r="D206" i="9"/>
  <c r="D188" i="9"/>
  <c r="D170" i="9"/>
  <c r="D158" i="9"/>
  <c r="D157" i="9"/>
  <c r="D152" i="9"/>
  <c r="D149" i="9"/>
  <c r="D146" i="9"/>
  <c r="D143" i="9"/>
  <c r="D140" i="9"/>
  <c r="D212" i="9"/>
  <c r="D194" i="9"/>
  <c r="D176" i="9"/>
  <c r="D213" i="9"/>
  <c r="D209" i="9"/>
  <c r="D177" i="9"/>
  <c r="D173" i="9"/>
  <c r="D160" i="9"/>
  <c r="D159" i="9"/>
  <c r="D150" i="9"/>
  <c r="D141" i="9"/>
  <c r="D132" i="9"/>
  <c r="D129" i="9"/>
  <c r="D203" i="9"/>
  <c r="D167" i="9"/>
  <c r="D135" i="9"/>
  <c r="D200" i="9"/>
  <c r="D197" i="9"/>
  <c r="D163" i="9"/>
  <c r="D162" i="9"/>
  <c r="D161" i="9"/>
  <c r="D148" i="9"/>
  <c r="D139" i="9"/>
  <c r="D210" i="9"/>
  <c r="D191" i="9"/>
  <c r="D154" i="9"/>
  <c r="D204" i="9"/>
  <c r="D185" i="9"/>
  <c r="D164" i="9"/>
  <c r="D142" i="9"/>
  <c r="D134" i="9"/>
  <c r="D131" i="9"/>
  <c r="D128" i="9"/>
  <c r="D183" i="9"/>
  <c r="D179" i="9"/>
  <c r="D133" i="9"/>
  <c r="D130" i="9"/>
  <c r="D227" i="9"/>
  <c r="T29" i="9"/>
  <c r="O130" i="9"/>
  <c r="O133" i="9"/>
  <c r="J135" i="9"/>
  <c r="B137" i="9"/>
  <c r="O138" i="9"/>
  <c r="C144" i="9"/>
  <c r="J147" i="9"/>
  <c r="C151" i="9"/>
  <c r="J152" i="9"/>
  <c r="O154" i="9"/>
  <c r="M158" i="9"/>
  <c r="O160" i="9"/>
  <c r="C163" i="9"/>
  <c r="D165" i="9"/>
  <c r="C168" i="9"/>
  <c r="M170" i="9"/>
  <c r="B174" i="9"/>
  <c r="J179" i="9"/>
  <c r="G182" i="9"/>
  <c r="F185" i="9"/>
  <c r="O187" i="9"/>
  <c r="J193" i="9"/>
  <c r="C196" i="9"/>
  <c r="B205" i="9"/>
  <c r="M207" i="9"/>
  <c r="L210" i="9"/>
  <c r="C221" i="9"/>
  <c r="M226" i="9"/>
  <c r="G224" i="9"/>
  <c r="G215" i="9"/>
  <c r="G206" i="9"/>
  <c r="G197" i="9"/>
  <c r="G188" i="9"/>
  <c r="G179" i="9"/>
  <c r="G170" i="9"/>
  <c r="G163" i="9"/>
  <c r="G160" i="9"/>
  <c r="G157" i="9"/>
  <c r="G154" i="9"/>
  <c r="G223" i="9"/>
  <c r="G222" i="9"/>
  <c r="G214" i="9"/>
  <c r="G213" i="9"/>
  <c r="G205" i="9"/>
  <c r="G204" i="9"/>
  <c r="G196" i="9"/>
  <c r="G195" i="9"/>
  <c r="G187" i="9"/>
  <c r="G186" i="9"/>
  <c r="G178" i="9"/>
  <c r="G177" i="9"/>
  <c r="G169" i="9"/>
  <c r="G168" i="9"/>
  <c r="G219" i="9"/>
  <c r="G201" i="9"/>
  <c r="G183" i="9"/>
  <c r="G225" i="9"/>
  <c r="G207" i="9"/>
  <c r="G189" i="9"/>
  <c r="G171" i="9"/>
  <c r="G165" i="9"/>
  <c r="G164" i="9"/>
  <c r="G155" i="9"/>
  <c r="G151" i="9"/>
  <c r="G148" i="9"/>
  <c r="G145" i="9"/>
  <c r="G142" i="9"/>
  <c r="G139" i="9"/>
  <c r="G136" i="9"/>
  <c r="G226" i="9"/>
  <c r="G210" i="9"/>
  <c r="G190" i="9"/>
  <c r="G174" i="9"/>
  <c r="G220" i="9"/>
  <c r="G200" i="9"/>
  <c r="G184" i="9"/>
  <c r="G147" i="9"/>
  <c r="G134" i="9"/>
  <c r="G131" i="9"/>
  <c r="G128" i="9"/>
  <c r="G194" i="9"/>
  <c r="G138" i="9"/>
  <c r="G227" i="9"/>
  <c r="G208" i="9"/>
  <c r="G132" i="9"/>
  <c r="G129" i="9"/>
  <c r="G221" i="9"/>
  <c r="G202" i="9"/>
  <c r="G181" i="9"/>
  <c r="G143" i="9"/>
  <c r="G135" i="9"/>
  <c r="G198" i="9"/>
  <c r="G175" i="9"/>
  <c r="G161" i="9"/>
  <c r="G149" i="9"/>
  <c r="G144" i="9"/>
  <c r="G137" i="9"/>
  <c r="G192" i="9"/>
  <c r="G173" i="9"/>
  <c r="G158" i="9"/>
  <c r="G150" i="9"/>
  <c r="L128" i="9"/>
  <c r="K131" i="9"/>
  <c r="G141" i="9"/>
  <c r="G146" i="9"/>
  <c r="K157" i="9"/>
  <c r="L174" i="9"/>
  <c r="K180" i="9"/>
  <c r="L183" i="9"/>
  <c r="K189" i="9"/>
  <c r="K197" i="9"/>
  <c r="F203" i="9"/>
  <c r="L205" i="9"/>
  <c r="L222" i="9"/>
  <c r="M222" i="9"/>
  <c r="O131" i="9"/>
  <c r="K143" i="9"/>
  <c r="J160" i="9"/>
  <c r="O222" i="9"/>
  <c r="M133" i="9"/>
  <c r="F145" i="9"/>
  <c r="G156" i="9"/>
  <c r="J170" i="9"/>
  <c r="E9" i="9"/>
  <c r="F9" i="9"/>
  <c r="E225" i="9"/>
  <c r="E216" i="9"/>
  <c r="E207" i="9"/>
  <c r="E198" i="9"/>
  <c r="E189" i="9"/>
  <c r="E180" i="9"/>
  <c r="E171" i="9"/>
  <c r="E224" i="9"/>
  <c r="E215" i="9"/>
  <c r="E206" i="9"/>
  <c r="E197" i="9"/>
  <c r="E188" i="9"/>
  <c r="E179" i="9"/>
  <c r="E170" i="9"/>
  <c r="E212" i="9"/>
  <c r="E194" i="9"/>
  <c r="E176" i="9"/>
  <c r="E218" i="9"/>
  <c r="E213" i="9"/>
  <c r="E200" i="9"/>
  <c r="E195" i="9"/>
  <c r="E182" i="9"/>
  <c r="E177" i="9"/>
  <c r="E156" i="9"/>
  <c r="E203" i="9"/>
  <c r="E193" i="9"/>
  <c r="E167" i="9"/>
  <c r="E135" i="9"/>
  <c r="E226" i="9"/>
  <c r="E223" i="9"/>
  <c r="E190" i="9"/>
  <c r="E187" i="9"/>
  <c r="E163" i="9"/>
  <c r="E162" i="9"/>
  <c r="E161" i="9"/>
  <c r="E149" i="9"/>
  <c r="E148" i="9"/>
  <c r="E140" i="9"/>
  <c r="E139" i="9"/>
  <c r="E220" i="9"/>
  <c r="E210" i="9"/>
  <c r="E184" i="9"/>
  <c r="E174" i="9"/>
  <c r="E204" i="9"/>
  <c r="E185" i="9"/>
  <c r="E164" i="9"/>
  <c r="E157" i="9"/>
  <c r="E142" i="9"/>
  <c r="E134" i="9"/>
  <c r="E131" i="9"/>
  <c r="E128" i="9"/>
  <c r="E208" i="9"/>
  <c r="E183" i="9"/>
  <c r="E133" i="9"/>
  <c r="E130" i="9"/>
  <c r="E227" i="9"/>
  <c r="E202" i="9"/>
  <c r="E181" i="9"/>
  <c r="E132" i="9"/>
  <c r="E221" i="9"/>
  <c r="E196" i="9"/>
  <c r="E175" i="9"/>
  <c r="E143" i="9"/>
  <c r="E136" i="9"/>
  <c r="E129" i="9"/>
  <c r="J129" i="9"/>
  <c r="J132" i="9"/>
  <c r="L135" i="9"/>
  <c r="D137" i="9"/>
  <c r="J140" i="9"/>
  <c r="J142" i="9"/>
  <c r="D144" i="9"/>
  <c r="M147" i="9"/>
  <c r="J149" i="9"/>
  <c r="D151" i="9"/>
  <c r="D153" i="9"/>
  <c r="L156" i="9"/>
  <c r="E159" i="9"/>
  <c r="K163" i="9"/>
  <c r="E165" i="9"/>
  <c r="D168" i="9"/>
  <c r="O170" i="9"/>
  <c r="C174" i="9"/>
  <c r="M176" i="9"/>
  <c r="K179" i="9"/>
  <c r="G185" i="9"/>
  <c r="F191" i="9"/>
  <c r="N193" i="9"/>
  <c r="O196" i="9"/>
  <c r="J199" i="9"/>
  <c r="B202" i="9"/>
  <c r="C205" i="9"/>
  <c r="N207" i="9"/>
  <c r="L213" i="9"/>
  <c r="J218" i="9"/>
  <c r="D221" i="9"/>
  <c r="N226" i="9"/>
  <c r="P226" i="9"/>
  <c r="P223" i="9"/>
  <c r="P220" i="9"/>
  <c r="P217" i="9"/>
  <c r="P214" i="9"/>
  <c r="P211" i="9"/>
  <c r="P208" i="9"/>
  <c r="P205" i="9"/>
  <c r="P202" i="9"/>
  <c r="P199" i="9"/>
  <c r="P196" i="9"/>
  <c r="P193" i="9"/>
  <c r="P190" i="9"/>
  <c r="P187" i="9"/>
  <c r="P184" i="9"/>
  <c r="P181" i="9"/>
  <c r="P178" i="9"/>
  <c r="P175" i="9"/>
  <c r="P172" i="9"/>
  <c r="P169" i="9"/>
  <c r="P166" i="9"/>
  <c r="P227" i="9"/>
  <c r="P218" i="9"/>
  <c r="P209" i="9"/>
  <c r="P200" i="9"/>
  <c r="P191" i="9"/>
  <c r="P182" i="9"/>
  <c r="P173" i="9"/>
  <c r="P164" i="9"/>
  <c r="P221" i="9"/>
  <c r="P216" i="9"/>
  <c r="P203" i="9"/>
  <c r="P198" i="9"/>
  <c r="P185" i="9"/>
  <c r="P180" i="9"/>
  <c r="P167" i="9"/>
  <c r="P159" i="9"/>
  <c r="P152" i="9"/>
  <c r="P149" i="9"/>
  <c r="P146" i="9"/>
  <c r="P143" i="9"/>
  <c r="P140" i="9"/>
  <c r="P222" i="9"/>
  <c r="P204" i="9"/>
  <c r="P186" i="9"/>
  <c r="P168" i="9"/>
  <c r="P201" i="9"/>
  <c r="P165" i="9"/>
  <c r="P157" i="9"/>
  <c r="P156" i="9"/>
  <c r="P155" i="9"/>
  <c r="P151" i="9"/>
  <c r="P142" i="9"/>
  <c r="P132" i="9"/>
  <c r="P129" i="9"/>
  <c r="P195" i="9"/>
  <c r="P225" i="9"/>
  <c r="P192" i="9"/>
  <c r="P189" i="9"/>
  <c r="P158" i="9"/>
  <c r="P150" i="9"/>
  <c r="P141" i="9"/>
  <c r="P135" i="9"/>
  <c r="H150" i="9"/>
  <c r="H225" i="9"/>
  <c r="H222" i="9"/>
  <c r="H219" i="9"/>
  <c r="H216" i="9"/>
  <c r="H213" i="9"/>
  <c r="H210" i="9"/>
  <c r="H207" i="9"/>
  <c r="H204" i="9"/>
  <c r="H201" i="9"/>
  <c r="H198" i="9"/>
  <c r="H195" i="9"/>
  <c r="H192" i="9"/>
  <c r="H189" i="9"/>
  <c r="H186" i="9"/>
  <c r="H183" i="9"/>
  <c r="H180" i="9"/>
  <c r="H177" i="9"/>
  <c r="H174" i="9"/>
  <c r="H171" i="9"/>
  <c r="H168" i="9"/>
  <c r="H165" i="9"/>
  <c r="H223" i="9"/>
  <c r="H214" i="9"/>
  <c r="H205" i="9"/>
  <c r="H196" i="9"/>
  <c r="H187" i="9"/>
  <c r="H178" i="9"/>
  <c r="H169" i="9"/>
  <c r="H164" i="9"/>
  <c r="H155" i="9"/>
  <c r="H151" i="9"/>
  <c r="H148" i="9"/>
  <c r="H145" i="9"/>
  <c r="H142" i="9"/>
  <c r="H139" i="9"/>
  <c r="H220" i="9"/>
  <c r="H200" i="9"/>
  <c r="H184" i="9"/>
  <c r="H163" i="9"/>
  <c r="H147" i="9"/>
  <c r="H134" i="9"/>
  <c r="H131" i="9"/>
  <c r="H128" i="9"/>
  <c r="H197" i="9"/>
  <c r="H194" i="9"/>
  <c r="H138" i="9"/>
  <c r="H227" i="9"/>
  <c r="H191" i="9"/>
  <c r="H146" i="9"/>
  <c r="H173" i="9"/>
  <c r="P188" i="9"/>
  <c r="H206" i="9"/>
  <c r="I223" i="9"/>
  <c r="I214" i="9"/>
  <c r="I205" i="9"/>
  <c r="I196" i="9"/>
  <c r="I187" i="9"/>
  <c r="I178" i="9"/>
  <c r="I169" i="9"/>
  <c r="I222" i="9"/>
  <c r="I213" i="9"/>
  <c r="I204" i="9"/>
  <c r="I195" i="9"/>
  <c r="I186" i="9"/>
  <c r="I177" i="9"/>
  <c r="I168" i="9"/>
  <c r="I221" i="9"/>
  <c r="I212" i="9"/>
  <c r="I203" i="9"/>
  <c r="I194" i="9"/>
  <c r="I185" i="9"/>
  <c r="I176" i="9"/>
  <c r="I167" i="9"/>
  <c r="I225" i="9"/>
  <c r="I207" i="9"/>
  <c r="I189" i="9"/>
  <c r="I171" i="9"/>
  <c r="I165" i="9"/>
  <c r="I220" i="9"/>
  <c r="I202" i="9"/>
  <c r="I184" i="9"/>
  <c r="I166" i="9"/>
  <c r="I163" i="9"/>
  <c r="I162" i="9"/>
  <c r="I154" i="9"/>
  <c r="I197" i="9"/>
  <c r="I138" i="9"/>
  <c r="I227" i="9"/>
  <c r="I191" i="9"/>
  <c r="I164" i="9"/>
  <c r="I146" i="9"/>
  <c r="I217" i="9"/>
  <c r="I181" i="9"/>
  <c r="H136" i="9"/>
  <c r="H137" i="9"/>
  <c r="H144" i="9"/>
  <c r="H149" i="9"/>
  <c r="I150" i="9"/>
  <c r="I158" i="9"/>
  <c r="H161" i="9"/>
  <c r="I173" i="9"/>
  <c r="H175" i="9"/>
  <c r="H179" i="9"/>
  <c r="P194" i="9"/>
  <c r="I198" i="9"/>
  <c r="I206" i="9"/>
  <c r="P213" i="9"/>
  <c r="P207" i="9"/>
  <c r="H135" i="9"/>
  <c r="I136" i="9"/>
  <c r="I137" i="9"/>
  <c r="H143" i="9"/>
  <c r="I144" i="9"/>
  <c r="I149" i="9"/>
  <c r="I161" i="9"/>
  <c r="P162" i="9"/>
  <c r="I175" i="9"/>
  <c r="I179" i="9"/>
  <c r="H181" i="9"/>
  <c r="I183" i="9"/>
  <c r="H202" i="9"/>
  <c r="P215" i="9"/>
  <c r="P219" i="9"/>
  <c r="H221" i="9"/>
  <c r="R186" i="9"/>
  <c r="R167" i="9" l="1"/>
  <c r="R198" i="9"/>
  <c r="R188" i="9"/>
  <c r="R172" i="9"/>
  <c r="R164" i="9"/>
  <c r="R215" i="9"/>
  <c r="R163" i="9"/>
  <c r="I11" i="9"/>
  <c r="I12" i="9" s="1"/>
  <c r="H21" i="9"/>
  <c r="H22" i="9" s="1"/>
  <c r="R191" i="9"/>
  <c r="R210" i="9"/>
  <c r="R179" i="9"/>
  <c r="R211" i="9"/>
  <c r="R174" i="9"/>
  <c r="I19" i="9"/>
  <c r="R178" i="9"/>
  <c r="D21" i="9"/>
  <c r="D22" i="9" s="1"/>
  <c r="R159" i="9"/>
  <c r="R201" i="9"/>
  <c r="R171" i="9"/>
  <c r="R140" i="9"/>
  <c r="R212" i="9"/>
  <c r="R135" i="9"/>
  <c r="R216" i="9"/>
  <c r="R180" i="9"/>
  <c r="R165" i="9"/>
  <c r="R152" i="9"/>
  <c r="E21" i="9"/>
  <c r="E22" i="9" s="1"/>
  <c r="R192" i="9"/>
  <c r="H11" i="9"/>
  <c r="H12" i="9" s="1"/>
  <c r="D11" i="9"/>
  <c r="D12" i="9" s="1"/>
  <c r="C21" i="9"/>
  <c r="C22" i="9" s="1"/>
  <c r="R147" i="9"/>
  <c r="R145" i="9"/>
  <c r="R206" i="9"/>
  <c r="R224" i="9"/>
  <c r="R161" i="9"/>
  <c r="R151" i="9"/>
  <c r="R142" i="9"/>
  <c r="R162" i="9"/>
  <c r="R143" i="9"/>
  <c r="R134" i="9"/>
  <c r="R175" i="9"/>
  <c r="R166" i="9"/>
  <c r="R214" i="9"/>
  <c r="R197" i="9"/>
  <c r="R183" i="9"/>
  <c r="R219" i="9"/>
  <c r="R149" i="9"/>
  <c r="R202" i="9"/>
  <c r="R193" i="9"/>
  <c r="R170" i="9"/>
  <c r="R138" i="9"/>
  <c r="R130" i="9"/>
  <c r="R128" i="9"/>
  <c r="R203" i="9"/>
  <c r="R177" i="9"/>
  <c r="R155" i="9"/>
  <c r="R137" i="9"/>
  <c r="R196" i="9"/>
  <c r="R154" i="9"/>
  <c r="R129" i="9"/>
  <c r="R133" i="9"/>
  <c r="R220" i="9"/>
  <c r="R209" i="9"/>
  <c r="R205" i="9"/>
  <c r="R131" i="9"/>
  <c r="R200" i="9"/>
  <c r="R146" i="9"/>
  <c r="B21" i="9"/>
  <c r="B22" i="9" s="1"/>
  <c r="R136" i="9"/>
  <c r="R184" i="9"/>
  <c r="R225" i="9"/>
  <c r="R156" i="9"/>
  <c r="R226" i="9"/>
  <c r="B11" i="9"/>
  <c r="B12" i="9" s="1"/>
  <c r="R213" i="9"/>
  <c r="R158" i="9"/>
  <c r="R190" i="9"/>
  <c r="R176" i="9"/>
  <c r="R199" i="9"/>
  <c r="F21" i="9"/>
  <c r="F22" i="9" s="1"/>
  <c r="R153" i="9"/>
  <c r="R208" i="9"/>
  <c r="R194" i="9"/>
  <c r="R168" i="9"/>
  <c r="R173" i="9"/>
  <c r="R218" i="9"/>
  <c r="R181" i="9"/>
  <c r="R182" i="9"/>
  <c r="R157" i="9"/>
  <c r="R148" i="9"/>
  <c r="C11" i="9"/>
  <c r="C12" i="9" s="1"/>
  <c r="R223" i="9"/>
  <c r="E11" i="9"/>
  <c r="E12" i="9" s="1"/>
  <c r="R204" i="9"/>
  <c r="R189" i="9"/>
  <c r="R187" i="9"/>
  <c r="R207" i="9"/>
  <c r="R217" i="9"/>
  <c r="G11" i="9"/>
  <c r="G12" i="9" s="1"/>
  <c r="G21" i="9"/>
  <c r="G22" i="9" s="1"/>
  <c r="R221" i="9"/>
  <c r="R141" i="9"/>
  <c r="R160" i="9"/>
  <c r="R144" i="9"/>
  <c r="R222" i="9"/>
  <c r="R195" i="9"/>
  <c r="R169" i="9"/>
  <c r="R227" i="9"/>
  <c r="R150" i="9"/>
  <c r="R185" i="9"/>
  <c r="R132" i="9"/>
  <c r="F11" i="9"/>
  <c r="F12" i="9" s="1"/>
  <c r="I21" i="9" l="1"/>
  <c r="I22" i="9" s="1"/>
</calcChain>
</file>

<file path=xl/sharedStrings.xml><?xml version="1.0" encoding="utf-8"?>
<sst xmlns="http://schemas.openxmlformats.org/spreadsheetml/2006/main" count="216" uniqueCount="146">
  <si>
    <t>Age-1</t>
  </si>
  <si>
    <t>Age-2</t>
  </si>
  <si>
    <t>Age-3</t>
  </si>
  <si>
    <t>Age-4</t>
  </si>
  <si>
    <t>Age-5</t>
  </si>
  <si>
    <t>Age-6</t>
  </si>
  <si>
    <t>Age-7</t>
  </si>
  <si>
    <t>Age-8</t>
  </si>
  <si>
    <t>Age-9</t>
  </si>
  <si>
    <t>Age-10</t>
  </si>
  <si>
    <t>Age-11</t>
  </si>
  <si>
    <t>Age-12</t>
  </si>
  <si>
    <t>Age-13</t>
  </si>
  <si>
    <t>Age-14</t>
  </si>
  <si>
    <t>Age-15</t>
  </si>
  <si>
    <t>Median</t>
  </si>
  <si>
    <t>WCNPO Striped Marlin Bootstrapped Numbers at Age in 2023 Assessment</t>
  </si>
  <si>
    <t>Units are thousands of fish on January 1st, 2021</t>
  </si>
  <si>
    <t>2021 Total</t>
  </si>
  <si>
    <t>Average</t>
  </si>
  <si>
    <t>Age-15+</t>
  </si>
  <si>
    <t>Total</t>
  </si>
  <si>
    <t>Min</t>
  </si>
  <si>
    <t>Max</t>
  </si>
  <si>
    <t>Point Estimate</t>
  </si>
  <si>
    <t>Bootstrap Mean</t>
  </si>
  <si>
    <t>Bootstrap Stdev</t>
  </si>
  <si>
    <t>Bootstrap CV</t>
  </si>
  <si>
    <t>Bootstrap Median</t>
  </si>
  <si>
    <t>Bootstrap MAD</t>
  </si>
  <si>
    <t>Bootstrap CD</t>
  </si>
  <si>
    <t>Boostrap Bias Estimate</t>
  </si>
  <si>
    <t>2023 WCNPO Striped Marlin Stock-Recruitment Relationship</t>
  </si>
  <si>
    <t>Modified Beverton-Holt SRR</t>
  </si>
  <si>
    <t>h=</t>
  </si>
  <si>
    <t>R0=</t>
  </si>
  <si>
    <t>S0=</t>
  </si>
  <si>
    <t>MSE=</t>
  </si>
  <si>
    <t>Units of S=</t>
  </si>
  <si>
    <t>mt of SSB</t>
  </si>
  <si>
    <t>RMSE=</t>
  </si>
  <si>
    <t>Units of R=</t>
  </si>
  <si>
    <t>000s age-1</t>
  </si>
  <si>
    <t>SB</t>
  </si>
  <si>
    <t>R (age-1)</t>
  </si>
  <si>
    <t>Year   (Age-1 R)</t>
  </si>
  <si>
    <t>Year   (Age-0 R)</t>
  </si>
  <si>
    <t>Observed SB</t>
  </si>
  <si>
    <t>Observed R (age-1)</t>
  </si>
  <si>
    <t>Predicted R (age-1)</t>
  </si>
  <si>
    <t>R (age-1) Residual</t>
  </si>
  <si>
    <t>Squared R Residual</t>
  </si>
  <si>
    <t>Standardized R (age-1) Residual</t>
  </si>
  <si>
    <t>Z Score Standardized Residual</t>
  </si>
  <si>
    <t>Log Observed R (age-1)</t>
  </si>
  <si>
    <t>Log Predicted R (age-1)</t>
  </si>
  <si>
    <t>Log R (age-1) Residual</t>
  </si>
  <si>
    <t>Squared Log R Residual</t>
  </si>
  <si>
    <t>Standardized Log R (age-1) Residual</t>
  </si>
  <si>
    <t>Z Score Standardized Log Residual</t>
  </si>
  <si>
    <t>WCNPO  MLS Recruitment, Fishing Mortality, and Catch Biomass Time Series</t>
  </si>
  <si>
    <t>Mean Squared Error</t>
  </si>
  <si>
    <t>Inverse Variance</t>
  </si>
  <si>
    <t>Inverse Error-Variance Weights</t>
  </si>
  <si>
    <t>Period</t>
  </si>
  <si>
    <t>20-Year 2018 ECDF</t>
  </si>
  <si>
    <t>5-Year 2018 ECDF</t>
  </si>
  <si>
    <t xml:space="preserve">SRR </t>
  </si>
  <si>
    <t>Sum</t>
  </si>
  <si>
    <t>Medium-term Recruitment</t>
  </si>
  <si>
    <t>Short-term Recruitment</t>
  </si>
  <si>
    <t>Long-term Recruitment</t>
  </si>
  <si>
    <t>1977-2020</t>
  </si>
  <si>
    <t>1977-1992</t>
  </si>
  <si>
    <t>Units of SSB=</t>
  </si>
  <si>
    <t>1977-2000</t>
  </si>
  <si>
    <t>1993-2020</t>
  </si>
  <si>
    <t>SSB0=</t>
  </si>
  <si>
    <t>R0/SSB0 =</t>
  </si>
  <si>
    <t>2001-2020</t>
  </si>
  <si>
    <t>Average R from 2018 20-Year ECDF</t>
  </si>
  <si>
    <t>Average R from 2018 5-Year ECDF</t>
  </si>
  <si>
    <t>Average R from SRR 1977-2018</t>
  </si>
  <si>
    <t>Average Observed R SRR 1977-2018</t>
  </si>
  <si>
    <t>Sample Covariances for Residuals of Models R1, R2, R3 for 1977-1999</t>
  </si>
  <si>
    <t>Sample Correlations for Residuals of Models R1, R2, R3 for 1977-1999</t>
  </si>
  <si>
    <t>R1</t>
  </si>
  <si>
    <t>R2</t>
  </si>
  <si>
    <t>R3</t>
  </si>
  <si>
    <t>Stdev =</t>
  </si>
  <si>
    <t>CV =</t>
  </si>
  <si>
    <t>Recruitment Model</t>
  </si>
  <si>
    <t>Year Y Index</t>
  </si>
  <si>
    <t>Year Y+1 Index</t>
  </si>
  <si>
    <t>Average of 20-Year ECDF of Recruitment at Age-1</t>
  </si>
  <si>
    <t>Median of 20-Year ECDF of Recruitment at Age-1</t>
  </si>
  <si>
    <t>StDev of 20-Year ECDF of Recruitment at Age-1</t>
  </si>
  <si>
    <t>CV of 20-Year ECDF of Recruitment at Age-1</t>
  </si>
  <si>
    <t>Average of 5-Year ECDF of Recruitment at Age-1</t>
  </si>
  <si>
    <t>Median of 5-Year ECDF of Recruitment at Age-1</t>
  </si>
  <si>
    <t>StDev of 5-Year ECDF of Recruitment at Age-1</t>
  </si>
  <si>
    <t>CV of 5-Year ECDF of Recruitment at Age-1</t>
  </si>
  <si>
    <t>Inverse Variance Weight for 20-Year ECDF Prediction of Age-1 Recruits at Start of 1st Quarter in Year Y+1</t>
  </si>
  <si>
    <t>Inverse Variance Weight for 5-Year ECDF Prediction of Age-1 Recruits at Start of 1st Quarter in Year Y+1</t>
  </si>
  <si>
    <t>Inverse Variance Weight for SRR Prediction of Age-1 Recruits at Start of 1st Quarter in Year Y+1</t>
  </si>
  <si>
    <t>Inverse SE for 20-Year ECDF Prediction of Age-1 Recruits at Start of 1st Quarter in Year Y+1</t>
  </si>
  <si>
    <t>Inverse SE for 5-Year ECDF Prediction of Age-1 Recruits at Start of 1st Quarter in Year Y+1</t>
  </si>
  <si>
    <t>Inverse SE for SRR Prediction of Age-1 Recruits at Start of 1st Quarter in Year Y+1</t>
  </si>
  <si>
    <t>Sum of Inverse SE of Recruitment Models</t>
  </si>
  <si>
    <t>SE for 20-Year ECDF Prediction of Age-1 Recruits at Start of 1st Quarter in Year Y+1</t>
  </si>
  <si>
    <t>SE for 5-Year ECDF Prediction of Age-1 Recruits at Start of 1st Quarter in Year Y+1</t>
  </si>
  <si>
    <t>SE for SRR Prediction of Age-1 Recruits at Start of 1st Quarter in Year Y+1</t>
  </si>
  <si>
    <t>Residual for 20-Year ECDF Prediction of Age-1 Recruits at Start of 1st Quarter in Year Y+1</t>
  </si>
  <si>
    <t>Residual for 5-Year ECDF Prediction of Age-1 Recruits at Start of 1st Quarter in Year Y+1</t>
  </si>
  <si>
    <t>Residual for SRR Prediction of Age-1 Recruits at Start of 1st Quarter in Year Y+1</t>
  </si>
  <si>
    <t>SRR Prediction of Age-1 Recruits at Start of 1st Quarter in Year Y+1</t>
  </si>
  <si>
    <t>Observed Age-1 Recruits at Start of 1st Quarter in Year Y+1</t>
  </si>
  <si>
    <t>Standard Error of Observed Age-1 Recruits at Start of 1st Quarter in Year Y+1</t>
  </si>
  <si>
    <t>Ratio of Observed to Unfished Recruitment R0 (%)</t>
  </si>
  <si>
    <t>Observed Spawning Stock Biomass in Year Y That Produced Age-1 Recruits in Year Y+1</t>
  </si>
  <si>
    <t>Percent Depletion of Observed to Unfished Spawning Biomass SSB0</t>
  </si>
  <si>
    <t>Observed Age-1 Recruits Per Spawning Stock Biomass (R/SSB) in Year Y+1</t>
  </si>
  <si>
    <t>Ratio of Observed Age-1 R/SSB to Unfished R0/SSB0 in Year Y+1</t>
  </si>
  <si>
    <t>Age-0 Recruits at Start of 3rd Quarter in Year Y</t>
  </si>
  <si>
    <t>Fishing Mortality</t>
  </si>
  <si>
    <t>3-Year Moving Average of Fishing Mortality</t>
  </si>
  <si>
    <t>Standard Error of 3-Year Moving Average of Fishing Mortality</t>
  </si>
  <si>
    <t>3-Year Median of Fishing Mortality</t>
  </si>
  <si>
    <t>One-Fourth of the Range of 3-Year Moving Average of Fishing Mortality</t>
  </si>
  <si>
    <t>WCNPO Striped Marlin Annual Catch Biomass (mt)</t>
  </si>
  <si>
    <t>3-Year Moving Average of Catch Biomass</t>
  </si>
  <si>
    <t>Standard Error of 3-Year Moving Average of Catch Biomass</t>
  </si>
  <si>
    <t>3-Year Median of Catch Biomass</t>
  </si>
  <si>
    <t>One-Fourth of the Range of 3-Year Moving Average of Catch Biomass</t>
  </si>
  <si>
    <t>WCNPO 2020 Yearclass @ age-1 in 2021</t>
  </si>
  <si>
    <t>Bootstrap</t>
  </si>
  <si>
    <t>N1(2021)</t>
  </si>
  <si>
    <t>Year</t>
  </si>
  <si>
    <t>N1(Year)</t>
  </si>
  <si>
    <t>Standard Deviation</t>
  </si>
  <si>
    <t>Sigma(N1)</t>
  </si>
  <si>
    <t>Bootstrap Estimate</t>
  </si>
  <si>
    <t>Boot Year</t>
  </si>
  <si>
    <t>80% CI</t>
  </si>
  <si>
    <t>2000-2019 Average</t>
  </si>
  <si>
    <t xml:space="preserve">Average =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</si>
</sst>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0.0"/>
    <numFmt numFmtId="166" formatCode="0.00000"/>
    <numFmt numFmtId="167" formatCode="0.000E+00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20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5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9" fontId="0" fillId="0" borderId="0" xfId="1" applyFont="1" applyAlignment="1">
      <alignment horizontal="center"/>
    </xf>
    <xf numFmtId="11" fontId="0" fillId="0" borderId="0" xfId="0" applyNumberFormat="1"/>
    <xf numFmtId="0" fontId="0" fillId="34" borderId="0" xfId="0" applyFill="1"/>
    <xf numFmtId="165" fontId="0" fillId="0" borderId="0" xfId="0" applyNumberFormat="1" applyAlignment="1">
      <alignment horizontal="center"/>
    </xf>
    <xf numFmtId="2" fontId="0" fillId="0" borderId="0" xfId="1" applyNumberFormat="1" applyFont="1" applyAlignment="1">
      <alignment horizontal="center"/>
    </xf>
    <xf numFmtId="0" fontId="0" fillId="0" borderId="10" xfId="0" applyBorder="1"/>
    <xf numFmtId="0" fontId="0" fillId="0" borderId="10" xfId="0" applyBorder="1" applyAlignment="1">
      <alignment horizontal="center" vertical="center"/>
    </xf>
    <xf numFmtId="0" fontId="0" fillId="0" borderId="10" xfId="0" applyBorder="1" applyAlignment="1">
      <alignment horizontal="center"/>
    </xf>
    <xf numFmtId="9" fontId="0" fillId="0" borderId="10" xfId="1" applyFont="1" applyBorder="1" applyAlignment="1">
      <alignment horizontal="center"/>
    </xf>
    <xf numFmtId="165" fontId="0" fillId="0" borderId="0" xfId="1" applyNumberFormat="1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33" borderId="0" xfId="0" applyFill="1" applyAlignment="1">
      <alignment horizontal="center"/>
    </xf>
    <xf numFmtId="165" fontId="0" fillId="33" borderId="0" xfId="0" applyNumberFormat="1" applyFill="1" applyAlignment="1">
      <alignment horizontal="center"/>
    </xf>
    <xf numFmtId="0" fontId="18" fillId="0" borderId="0" xfId="0" applyFont="1"/>
    <xf numFmtId="0" fontId="0" fillId="0" borderId="0" xfId="0" applyAlignment="1">
      <alignment horizontal="right"/>
    </xf>
    <xf numFmtId="0" fontId="0" fillId="34" borderId="0" xfId="0" applyFill="1" applyAlignment="1">
      <alignment horizontal="center"/>
    </xf>
    <xf numFmtId="166" fontId="0" fillId="33" borderId="0" xfId="0" applyNumberFormat="1" applyFill="1" applyAlignment="1">
      <alignment horizontal="center"/>
    </xf>
    <xf numFmtId="0" fontId="16" fillId="0" borderId="0" xfId="0" applyFont="1" applyAlignment="1">
      <alignment horizontal="right"/>
    </xf>
    <xf numFmtId="0" fontId="16" fillId="0" borderId="0" xfId="0" applyFont="1"/>
    <xf numFmtId="0" fontId="0" fillId="0" borderId="0" xfId="0" applyAlignment="1">
      <alignment horizontal="center" wrapText="1"/>
    </xf>
    <xf numFmtId="165" fontId="0" fillId="34" borderId="0" xfId="0" applyNumberFormat="1" applyFill="1" applyAlignment="1">
      <alignment horizontal="center"/>
    </xf>
    <xf numFmtId="2" fontId="0" fillId="33" borderId="0" xfId="0" applyNumberFormat="1" applyFill="1" applyAlignment="1">
      <alignment horizontal="center"/>
    </xf>
    <xf numFmtId="166" fontId="0" fillId="33" borderId="0" xfId="0" applyNumberFormat="1" applyFill="1"/>
    <xf numFmtId="164" fontId="0" fillId="33" borderId="0" xfId="0" applyNumberFormat="1" applyFill="1" applyAlignment="1">
      <alignment horizontal="center"/>
    </xf>
    <xf numFmtId="2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11" xfId="0" applyBorder="1"/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 wrapText="1"/>
    </xf>
    <xf numFmtId="0" fontId="0" fillId="0" borderId="16" xfId="0" applyBorder="1" applyAlignment="1">
      <alignment horizontal="center" wrapText="1"/>
    </xf>
    <xf numFmtId="165" fontId="0" fillId="0" borderId="0" xfId="0" applyNumberFormat="1" applyAlignment="1">
      <alignment horizontal="center" wrapText="1"/>
    </xf>
    <xf numFmtId="167" fontId="0" fillId="0" borderId="0" xfId="0" applyNumberFormat="1" applyAlignment="1">
      <alignment horizontal="center"/>
    </xf>
    <xf numFmtId="0" fontId="0" fillId="0" borderId="17" xfId="0" applyBorder="1" applyAlignment="1">
      <alignment horizontal="center"/>
    </xf>
    <xf numFmtId="2" fontId="0" fillId="0" borderId="18" xfId="0" applyNumberFormat="1" applyBorder="1" applyAlignment="1">
      <alignment horizontal="center"/>
    </xf>
    <xf numFmtId="166" fontId="0" fillId="0" borderId="0" xfId="0" applyNumberFormat="1" applyAlignment="1">
      <alignment horizontal="center"/>
    </xf>
    <xf numFmtId="0" fontId="0" fillId="0" borderId="19" xfId="0" applyBorder="1" applyAlignment="1">
      <alignment horizontal="center"/>
    </xf>
    <xf numFmtId="2" fontId="0" fillId="0" borderId="10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0" fontId="16" fillId="0" borderId="0" xfId="0" applyFont="1" applyAlignment="1">
      <alignment horizontal="center" wrapText="1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0" fontId="16" fillId="0" borderId="22" xfId="0" applyFont="1" applyBorder="1" applyAlignment="1">
      <alignment horizontal="center"/>
    </xf>
    <xf numFmtId="0" fontId="16" fillId="0" borderId="14" xfId="0" applyFont="1" applyBorder="1" applyAlignment="1">
      <alignment horizontal="center"/>
    </xf>
    <xf numFmtId="0" fontId="16" fillId="0" borderId="16" xfId="0" applyFont="1" applyBorder="1" applyAlignment="1">
      <alignment horizontal="center"/>
    </xf>
    <xf numFmtId="0" fontId="16" fillId="0" borderId="21" xfId="0" applyFont="1" applyBorder="1" applyAlignment="1">
      <alignment horizontal="center" wrapText="1"/>
    </xf>
    <xf numFmtId="0" fontId="16" fillId="0" borderId="11" xfId="0" applyFont="1" applyBorder="1" applyAlignment="1">
      <alignment horizontal="center" wrapText="1"/>
    </xf>
    <xf numFmtId="0" fontId="16" fillId="0" borderId="13" xfId="0" applyFont="1" applyBorder="1" applyAlignment="1">
      <alignment horizontal="center" wrapText="1"/>
    </xf>
    <xf numFmtId="0" fontId="0" fillId="0" borderId="0" xfId="0" applyAlignment="1">
      <alignment wrapText="1"/>
    </xf>
    <xf numFmtId="165" fontId="0" fillId="0" borderId="23" xfId="0" applyNumberFormat="1" applyBorder="1" applyAlignment="1">
      <alignment horizontal="center"/>
    </xf>
    <xf numFmtId="165" fontId="0" fillId="0" borderId="17" xfId="0" applyNumberFormat="1" applyBorder="1" applyAlignment="1">
      <alignment horizontal="center"/>
    </xf>
    <xf numFmtId="165" fontId="0" fillId="0" borderId="18" xfId="0" applyNumberFormat="1" applyBorder="1" applyAlignment="1">
      <alignment horizontal="center"/>
    </xf>
    <xf numFmtId="9" fontId="1" fillId="0" borderId="0" xfId="1" applyFont="1" applyAlignment="1">
      <alignment horizontal="center"/>
    </xf>
    <xf numFmtId="0" fontId="16" fillId="0" borderId="0" xfId="0" applyFont="1" applyAlignment="1">
      <alignment horizontal="center"/>
    </xf>
    <xf numFmtId="165" fontId="16" fillId="0" borderId="0" xfId="0" applyNumberFormat="1" applyFont="1" applyAlignment="1">
      <alignment horizontal="center"/>
    </xf>
    <xf numFmtId="9" fontId="16" fillId="0" borderId="0" xfId="1" applyFont="1" applyAlignment="1">
      <alignment horizontal="center"/>
    </xf>
    <xf numFmtId="166" fontId="16" fillId="0" borderId="0" xfId="0" applyNumberFormat="1" applyFont="1" applyAlignment="1">
      <alignment horizontal="center"/>
    </xf>
    <xf numFmtId="165" fontId="16" fillId="34" borderId="0" xfId="0" applyNumberFormat="1" applyFont="1" applyFill="1" applyAlignment="1">
      <alignment horizontal="center"/>
    </xf>
    <xf numFmtId="2" fontId="16" fillId="0" borderId="0" xfId="0" applyNumberFormat="1" applyFont="1" applyAlignment="1">
      <alignment horizontal="center"/>
    </xf>
    <xf numFmtId="1" fontId="16" fillId="0" borderId="0" xfId="0" applyNumberFormat="1" applyFont="1" applyAlignment="1">
      <alignment horizontal="center"/>
    </xf>
    <xf numFmtId="165" fontId="0" fillId="0" borderId="24" xfId="0" applyNumberFormat="1" applyBorder="1" applyAlignment="1">
      <alignment horizontal="center"/>
    </xf>
    <xf numFmtId="165" fontId="0" fillId="0" borderId="19" xfId="0" applyNumberFormat="1" applyBorder="1" applyAlignment="1">
      <alignment horizontal="center"/>
    </xf>
    <xf numFmtId="165" fontId="0" fillId="0" borderId="20" xfId="0" applyNumberFormat="1" applyBorder="1" applyAlignment="1">
      <alignment horizontal="center"/>
    </xf>
    <xf numFmtId="0" fontId="19" fillId="0" borderId="0" xfId="0" applyFont="1"/>
    <xf numFmtId="165" fontId="0" fillId="0" borderId="0" xfId="0" applyNumberFormat="1"/>
    <xf numFmtId="0" fontId="0" fillId="0" borderId="0" xfId="0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16" fillId="0" borderId="21" xfId="0" applyFont="1" applyBorder="1" applyAlignment="1">
      <alignment horizontal="center"/>
    </xf>
    <xf numFmtId="0" fontId="16" fillId="0" borderId="12" xfId="0" applyFont="1" applyBorder="1" applyAlignment="1">
      <alignment horizontal="center"/>
    </xf>
    <xf numFmtId="0" fontId="16" fillId="0" borderId="13" xfId="0" applyFont="1" applyBorder="1" applyAlignment="1">
      <alignment horizontal="center"/>
    </xf>
    <xf numFmtId="0" fontId="0" fillId="0" borderId="0" xfId="0" applyFon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658FFE-2701-4E24-9549-FBB8C3683601}">
  <dimension ref="A1:I105"/>
  <sheetViews>
    <sheetView tabSelected="1" topLeftCell="A2" workbookViewId="0">
      <selection activeCell="C6" sqref="C6:C105"/>
    </sheetView>
  </sheetViews>
  <sheetFormatPr defaultRowHeight="14.6" x14ac:dyDescent="0.4"/>
  <cols>
    <col min="4" max="4" width="7.3046875" customWidth="1"/>
  </cols>
  <sheetData>
    <row r="1" spans="1:8" ht="18.45" x14ac:dyDescent="0.5">
      <c r="A1" s="66" t="s">
        <v>134</v>
      </c>
      <c r="B1" s="66"/>
    </row>
    <row r="2" spans="1:8" ht="18.45" x14ac:dyDescent="0.5">
      <c r="A2" s="66"/>
      <c r="B2" s="66"/>
    </row>
    <row r="3" spans="1:8" ht="18.45" x14ac:dyDescent="0.5">
      <c r="A3" s="66"/>
      <c r="B3" s="74" t="s">
        <v>145</v>
      </c>
      <c r="C3" s="7">
        <f>AVERAGE(C6:C105)</f>
        <v>274.00437999999991</v>
      </c>
      <c r="E3" s="74" t="s">
        <v>145</v>
      </c>
      <c r="F3" s="7">
        <f>AVERAGE(F6:F49)</f>
        <v>279.56286056917077</v>
      </c>
      <c r="G3" s="67"/>
    </row>
    <row r="4" spans="1:8" ht="29.15" x14ac:dyDescent="0.4">
      <c r="A4" s="2"/>
      <c r="B4" s="2"/>
      <c r="C4" s="23" t="s">
        <v>141</v>
      </c>
      <c r="D4" s="2"/>
      <c r="E4" s="2"/>
      <c r="F4" s="23" t="s">
        <v>24</v>
      </c>
      <c r="G4" s="23" t="s">
        <v>139</v>
      </c>
    </row>
    <row r="5" spans="1:8" x14ac:dyDescent="0.4">
      <c r="A5" s="2" t="s">
        <v>135</v>
      </c>
      <c r="B5" s="2" t="s">
        <v>142</v>
      </c>
      <c r="C5" s="2" t="s">
        <v>136</v>
      </c>
      <c r="D5" s="2"/>
      <c r="E5" s="2" t="s">
        <v>137</v>
      </c>
      <c r="F5" s="2" t="s">
        <v>138</v>
      </c>
      <c r="G5" s="2" t="s">
        <v>140</v>
      </c>
      <c r="H5" s="29" t="s">
        <v>143</v>
      </c>
    </row>
    <row r="6" spans="1:8" x14ac:dyDescent="0.4">
      <c r="A6" s="2">
        <v>1</v>
      </c>
      <c r="B6" s="2">
        <v>2021.5</v>
      </c>
      <c r="C6" s="7">
        <v>253.63</v>
      </c>
      <c r="D6" s="2"/>
      <c r="E6" s="2">
        <v>1978</v>
      </c>
      <c r="F6" s="24">
        <v>414.72728492433691</v>
      </c>
      <c r="G6" s="7">
        <v>210.2064676990789</v>
      </c>
      <c r="H6" s="7">
        <f>1.28*G6</f>
        <v>269.06427865482101</v>
      </c>
    </row>
    <row r="7" spans="1:8" x14ac:dyDescent="0.4">
      <c r="A7" s="2">
        <v>2</v>
      </c>
      <c r="B7" s="29">
        <v>2021.5</v>
      </c>
      <c r="C7" s="7">
        <v>194.429</v>
      </c>
      <c r="D7" s="2"/>
      <c r="E7" s="2">
        <f>E6+1</f>
        <v>1979</v>
      </c>
      <c r="F7" s="24">
        <v>537.73214960582266</v>
      </c>
      <c r="G7" s="7">
        <v>223.64271017890184</v>
      </c>
      <c r="H7" s="7">
        <f t="shared" ref="H7:H49" si="0">1.28*G7</f>
        <v>286.26266902899437</v>
      </c>
    </row>
    <row r="8" spans="1:8" x14ac:dyDescent="0.4">
      <c r="A8" s="2">
        <v>3</v>
      </c>
      <c r="B8" s="29">
        <v>2021.5</v>
      </c>
      <c r="C8" s="7">
        <v>217.95699999999999</v>
      </c>
      <c r="D8" s="2"/>
      <c r="E8" s="2">
        <f t="shared" ref="E8:E49" si="1">E7+1</f>
        <v>1980</v>
      </c>
      <c r="F8" s="24">
        <v>360.02427373965236</v>
      </c>
      <c r="G8" s="7">
        <v>181.91180674148345</v>
      </c>
      <c r="H8" s="7">
        <f t="shared" si="0"/>
        <v>232.8471126290988</v>
      </c>
    </row>
    <row r="9" spans="1:8" x14ac:dyDescent="0.4">
      <c r="A9" s="2">
        <v>4</v>
      </c>
      <c r="B9" s="29">
        <v>2021.5</v>
      </c>
      <c r="C9" s="7">
        <v>226.63200000000001</v>
      </c>
      <c r="D9" s="2"/>
      <c r="E9" s="2">
        <f t="shared" si="1"/>
        <v>1981</v>
      </c>
      <c r="F9" s="24">
        <v>371.93833750776759</v>
      </c>
      <c r="G9" s="7">
        <v>141.45269354163023</v>
      </c>
      <c r="H9" s="7">
        <f t="shared" si="0"/>
        <v>181.0594477332867</v>
      </c>
    </row>
    <row r="10" spans="1:8" x14ac:dyDescent="0.4">
      <c r="A10" s="2">
        <v>5</v>
      </c>
      <c r="B10" s="29">
        <v>2021.5</v>
      </c>
      <c r="C10" s="7">
        <v>177.94900000000001</v>
      </c>
      <c r="D10" s="2"/>
      <c r="E10" s="2">
        <f t="shared" si="1"/>
        <v>1982</v>
      </c>
      <c r="F10" s="24">
        <v>310.27025181675361</v>
      </c>
      <c r="G10" s="7">
        <v>153.33545875047767</v>
      </c>
      <c r="H10" s="7">
        <f t="shared" si="0"/>
        <v>196.26938720061142</v>
      </c>
    </row>
    <row r="11" spans="1:8" x14ac:dyDescent="0.4">
      <c r="A11" s="2">
        <v>6</v>
      </c>
      <c r="B11" s="29">
        <v>2021.5</v>
      </c>
      <c r="C11" s="7">
        <v>177.94900000000001</v>
      </c>
      <c r="D11" s="2"/>
      <c r="E11" s="2">
        <f t="shared" si="1"/>
        <v>1983</v>
      </c>
      <c r="F11" s="24">
        <v>506.99696440483234</v>
      </c>
      <c r="G11" s="7">
        <v>228.5031474193446</v>
      </c>
      <c r="H11" s="7">
        <f t="shared" si="0"/>
        <v>292.48402869676107</v>
      </c>
    </row>
    <row r="12" spans="1:8" x14ac:dyDescent="0.4">
      <c r="A12" s="2">
        <v>7</v>
      </c>
      <c r="B12" s="29">
        <v>2021.5</v>
      </c>
      <c r="C12" s="7">
        <v>265.24799999999999</v>
      </c>
      <c r="D12" s="2"/>
      <c r="E12" s="2">
        <f t="shared" si="1"/>
        <v>1984</v>
      </c>
      <c r="F12" s="24">
        <v>452.54968535075062</v>
      </c>
      <c r="G12" s="7">
        <v>240.48209844447851</v>
      </c>
      <c r="H12" s="7">
        <f t="shared" si="0"/>
        <v>307.81708600893251</v>
      </c>
    </row>
    <row r="13" spans="1:8" x14ac:dyDescent="0.4">
      <c r="A13" s="2">
        <v>8</v>
      </c>
      <c r="B13" s="29">
        <v>2021.5</v>
      </c>
      <c r="C13" s="7">
        <v>206.47300000000001</v>
      </c>
      <c r="D13" s="2"/>
      <c r="E13" s="2">
        <f t="shared" si="1"/>
        <v>1985</v>
      </c>
      <c r="F13" s="24">
        <v>377.46444166727207</v>
      </c>
      <c r="G13" s="7">
        <v>215.7539464844248</v>
      </c>
      <c r="H13" s="7">
        <f t="shared" si="0"/>
        <v>276.16505150006373</v>
      </c>
    </row>
    <row r="14" spans="1:8" x14ac:dyDescent="0.4">
      <c r="A14" s="2">
        <v>9</v>
      </c>
      <c r="B14" s="29">
        <v>2021.5</v>
      </c>
      <c r="C14" s="7">
        <v>325.33699999999999</v>
      </c>
      <c r="D14" s="2"/>
      <c r="E14" s="2">
        <f t="shared" si="1"/>
        <v>1986</v>
      </c>
      <c r="F14" s="24">
        <v>528.15326371088383</v>
      </c>
      <c r="G14" s="7">
        <v>229.28103112407385</v>
      </c>
      <c r="H14" s="7">
        <f t="shared" si="0"/>
        <v>293.47971983881456</v>
      </c>
    </row>
    <row r="15" spans="1:8" x14ac:dyDescent="0.4">
      <c r="A15" s="2">
        <v>10</v>
      </c>
      <c r="B15" s="29">
        <v>2021.5</v>
      </c>
      <c r="C15" s="7">
        <v>238.261</v>
      </c>
      <c r="D15" s="2"/>
      <c r="E15" s="2">
        <f t="shared" si="1"/>
        <v>1987</v>
      </c>
      <c r="F15" s="24">
        <v>497.72877396408859</v>
      </c>
      <c r="G15" s="7">
        <v>263.44913391109702</v>
      </c>
      <c r="H15" s="7">
        <f t="shared" si="0"/>
        <v>337.21489140620417</v>
      </c>
    </row>
    <row r="16" spans="1:8" x14ac:dyDescent="0.4">
      <c r="A16" s="2">
        <v>11</v>
      </c>
      <c r="B16" s="29">
        <v>2021.5</v>
      </c>
      <c r="C16" s="7">
        <v>289.38200000000001</v>
      </c>
      <c r="D16" s="2"/>
      <c r="E16" s="2">
        <f t="shared" si="1"/>
        <v>1988</v>
      </c>
      <c r="F16" s="24">
        <v>543.12924263078435</v>
      </c>
      <c r="G16" s="7">
        <v>243.37530672801515</v>
      </c>
      <c r="H16" s="7">
        <f t="shared" si="0"/>
        <v>311.52039261185939</v>
      </c>
    </row>
    <row r="17" spans="1:9" x14ac:dyDescent="0.4">
      <c r="A17" s="2">
        <v>12</v>
      </c>
      <c r="B17" s="29">
        <v>2021.5</v>
      </c>
      <c r="C17" s="7">
        <v>261.42200000000003</v>
      </c>
      <c r="D17" s="2"/>
      <c r="E17" s="2">
        <f t="shared" si="1"/>
        <v>1989</v>
      </c>
      <c r="F17" s="24">
        <v>357.48451016199363</v>
      </c>
      <c r="G17" s="7">
        <v>196.10226816171121</v>
      </c>
      <c r="H17" s="7">
        <f t="shared" si="0"/>
        <v>251.01090324699035</v>
      </c>
    </row>
    <row r="18" spans="1:9" x14ac:dyDescent="0.4">
      <c r="A18" s="2">
        <v>13</v>
      </c>
      <c r="B18" s="29">
        <v>2021.5</v>
      </c>
      <c r="C18" s="7">
        <v>173.24299999999999</v>
      </c>
      <c r="D18" s="2"/>
      <c r="E18" s="2">
        <f t="shared" si="1"/>
        <v>1990</v>
      </c>
      <c r="F18" s="24">
        <v>402.29106958209519</v>
      </c>
      <c r="G18" s="7">
        <v>206.02009455213562</v>
      </c>
      <c r="H18" s="7">
        <f t="shared" si="0"/>
        <v>263.70572102673361</v>
      </c>
    </row>
    <row r="19" spans="1:9" x14ac:dyDescent="0.4">
      <c r="A19" s="2">
        <v>14</v>
      </c>
      <c r="B19" s="29">
        <v>2021.5</v>
      </c>
      <c r="C19" s="7">
        <v>406.48700000000002</v>
      </c>
      <c r="D19" s="2"/>
      <c r="E19" s="2">
        <f t="shared" si="1"/>
        <v>1991</v>
      </c>
      <c r="F19" s="24">
        <v>515.9628565658187</v>
      </c>
      <c r="G19" s="7">
        <v>197.15267834591867</v>
      </c>
      <c r="H19" s="7">
        <f t="shared" si="0"/>
        <v>252.3554282827759</v>
      </c>
    </row>
    <row r="20" spans="1:9" x14ac:dyDescent="0.4">
      <c r="A20" s="2">
        <v>15</v>
      </c>
      <c r="B20" s="29">
        <v>2021.5</v>
      </c>
      <c r="C20" s="7">
        <v>309.149</v>
      </c>
      <c r="D20" s="2"/>
      <c r="E20" s="2">
        <f t="shared" si="1"/>
        <v>1992</v>
      </c>
      <c r="F20" s="24">
        <v>273.60360794476588</v>
      </c>
      <c r="G20" s="7">
        <v>142.83746394435727</v>
      </c>
      <c r="H20" s="7">
        <f t="shared" si="0"/>
        <v>182.83195384877732</v>
      </c>
    </row>
    <row r="21" spans="1:9" x14ac:dyDescent="0.4">
      <c r="A21" s="2">
        <v>16</v>
      </c>
      <c r="B21" s="29">
        <v>2021.5</v>
      </c>
      <c r="C21" s="7">
        <v>313.31299999999999</v>
      </c>
      <c r="D21" s="2"/>
      <c r="E21" s="2">
        <f t="shared" si="1"/>
        <v>1993</v>
      </c>
      <c r="F21" s="24">
        <v>455.84443124830847</v>
      </c>
      <c r="G21" s="7">
        <v>78.13112786588259</v>
      </c>
      <c r="H21" s="7">
        <f t="shared" si="0"/>
        <v>100.00784366832971</v>
      </c>
    </row>
    <row r="22" spans="1:9" x14ac:dyDescent="0.4">
      <c r="A22" s="2">
        <v>17</v>
      </c>
      <c r="B22" s="29">
        <v>2021.5</v>
      </c>
      <c r="C22" s="7">
        <v>343.33699999999999</v>
      </c>
      <c r="D22" s="2"/>
      <c r="E22" s="2">
        <f t="shared" si="1"/>
        <v>1994</v>
      </c>
      <c r="F22" s="24">
        <v>130.59896389114886</v>
      </c>
      <c r="G22" s="7">
        <v>38.936323784550062</v>
      </c>
      <c r="H22" s="7">
        <f t="shared" si="0"/>
        <v>49.838494444224082</v>
      </c>
    </row>
    <row r="23" spans="1:9" x14ac:dyDescent="0.4">
      <c r="A23" s="2">
        <v>18</v>
      </c>
      <c r="B23" s="29">
        <v>2021.5</v>
      </c>
      <c r="C23" s="7">
        <v>238.36099999999999</v>
      </c>
      <c r="D23" s="2"/>
      <c r="E23" s="2">
        <f t="shared" si="1"/>
        <v>1995</v>
      </c>
      <c r="F23" s="24">
        <v>364.94501796014771</v>
      </c>
      <c r="G23" s="7">
        <v>36.572519180336002</v>
      </c>
      <c r="H23" s="7">
        <f t="shared" si="0"/>
        <v>46.812824550830086</v>
      </c>
    </row>
    <row r="24" spans="1:9" x14ac:dyDescent="0.4">
      <c r="A24" s="2">
        <v>19</v>
      </c>
      <c r="B24" s="29">
        <v>2021.5</v>
      </c>
      <c r="C24" s="7">
        <v>239.84200000000001</v>
      </c>
      <c r="D24" s="2"/>
      <c r="E24" s="2">
        <f t="shared" si="1"/>
        <v>1996</v>
      </c>
      <c r="F24" s="24">
        <v>246.60821888653174</v>
      </c>
      <c r="G24" s="7">
        <v>32.626992263855975</v>
      </c>
      <c r="H24" s="7">
        <f t="shared" si="0"/>
        <v>41.762550097735648</v>
      </c>
    </row>
    <row r="25" spans="1:9" x14ac:dyDescent="0.4">
      <c r="A25" s="2">
        <v>20</v>
      </c>
      <c r="B25" s="29">
        <v>2021.5</v>
      </c>
      <c r="C25" s="7">
        <v>317.36900000000003</v>
      </c>
      <c r="D25" s="2"/>
      <c r="E25" s="2">
        <f t="shared" si="1"/>
        <v>1997</v>
      </c>
      <c r="F25" s="24">
        <v>219.37541880555887</v>
      </c>
      <c r="G25" s="7">
        <v>31.122218604619164</v>
      </c>
      <c r="H25" s="7">
        <f t="shared" si="0"/>
        <v>39.836439813912527</v>
      </c>
    </row>
    <row r="26" spans="1:9" x14ac:dyDescent="0.4">
      <c r="A26" s="2">
        <v>21</v>
      </c>
      <c r="B26" s="29">
        <v>2021.5</v>
      </c>
      <c r="C26" s="7">
        <v>363.37599999999998</v>
      </c>
      <c r="D26" s="2"/>
      <c r="E26" s="2">
        <f t="shared" si="1"/>
        <v>1998</v>
      </c>
      <c r="F26" s="24">
        <v>313.39247394859137</v>
      </c>
      <c r="G26" s="7">
        <v>32.326678770783857</v>
      </c>
      <c r="H26" s="7">
        <f t="shared" si="0"/>
        <v>41.378148826603336</v>
      </c>
    </row>
    <row r="27" spans="1:9" x14ac:dyDescent="0.4">
      <c r="A27" s="2">
        <v>22</v>
      </c>
      <c r="B27" s="29">
        <v>2021.5</v>
      </c>
      <c r="C27" s="7">
        <v>230.80199999999999</v>
      </c>
      <c r="D27" s="2"/>
      <c r="E27" s="2">
        <f t="shared" si="1"/>
        <v>1999</v>
      </c>
      <c r="F27" s="24">
        <v>216.07227573356329</v>
      </c>
      <c r="G27" s="7">
        <v>29.012695709968707</v>
      </c>
      <c r="H27" s="7">
        <f t="shared" si="0"/>
        <v>37.136250508759943</v>
      </c>
    </row>
    <row r="28" spans="1:9" x14ac:dyDescent="0.4">
      <c r="A28" s="2">
        <v>23</v>
      </c>
      <c r="B28" s="29">
        <v>2021.5</v>
      </c>
      <c r="C28" s="7">
        <v>230.898</v>
      </c>
      <c r="D28" s="2"/>
      <c r="E28" s="2">
        <f t="shared" si="1"/>
        <v>2000</v>
      </c>
      <c r="F28" s="24">
        <v>167.22438527044238</v>
      </c>
      <c r="G28" s="7">
        <v>25.18831711923994</v>
      </c>
      <c r="H28" s="7">
        <f t="shared" si="0"/>
        <v>32.241045912627122</v>
      </c>
      <c r="I28" s="7">
        <v>177.40429189463305</v>
      </c>
    </row>
    <row r="29" spans="1:9" x14ac:dyDescent="0.4">
      <c r="A29" s="2">
        <v>24</v>
      </c>
      <c r="B29" s="29">
        <v>2021.5</v>
      </c>
      <c r="C29" s="7">
        <v>268.10199999999998</v>
      </c>
      <c r="D29" s="2"/>
      <c r="E29" s="2">
        <f t="shared" si="1"/>
        <v>2001</v>
      </c>
      <c r="F29" s="24">
        <v>303.95481326010486</v>
      </c>
      <c r="G29" s="7">
        <v>26.80004024563334</v>
      </c>
      <c r="H29" s="7">
        <f t="shared" si="0"/>
        <v>34.304051514410673</v>
      </c>
      <c r="I29" s="7">
        <v>177.40429189463305</v>
      </c>
    </row>
    <row r="30" spans="1:9" x14ac:dyDescent="0.4">
      <c r="A30" s="2">
        <v>25</v>
      </c>
      <c r="B30" s="29">
        <v>2021.5</v>
      </c>
      <c r="C30" s="7">
        <v>216.71299999999999</v>
      </c>
      <c r="D30" s="2"/>
      <c r="E30" s="2">
        <f t="shared" si="1"/>
        <v>2002</v>
      </c>
      <c r="F30" s="24">
        <v>183.0110732133285</v>
      </c>
      <c r="G30" s="7">
        <v>25.891313295574747</v>
      </c>
      <c r="H30" s="7">
        <f t="shared" si="0"/>
        <v>33.140881018335676</v>
      </c>
      <c r="I30" s="7">
        <v>177.40429189463305</v>
      </c>
    </row>
    <row r="31" spans="1:9" x14ac:dyDescent="0.4">
      <c r="A31" s="2">
        <v>26</v>
      </c>
      <c r="B31" s="29">
        <v>2021.5</v>
      </c>
      <c r="C31" s="7">
        <v>252.03</v>
      </c>
      <c r="D31" s="2"/>
      <c r="E31" s="2">
        <f t="shared" si="1"/>
        <v>2003</v>
      </c>
      <c r="F31" s="24">
        <v>325.73937388999559</v>
      </c>
      <c r="G31" s="7">
        <v>29.894857053624374</v>
      </c>
      <c r="H31" s="7">
        <f t="shared" si="0"/>
        <v>38.265417028639199</v>
      </c>
      <c r="I31" s="7">
        <v>177.40429189463305</v>
      </c>
    </row>
    <row r="32" spans="1:9" x14ac:dyDescent="0.4">
      <c r="A32" s="2">
        <v>27</v>
      </c>
      <c r="B32" s="29">
        <v>2021.5</v>
      </c>
      <c r="C32" s="7">
        <v>409.50799999999998</v>
      </c>
      <c r="D32" s="2"/>
      <c r="E32" s="2">
        <f t="shared" si="1"/>
        <v>2004</v>
      </c>
      <c r="F32" s="24">
        <v>258.26273362657247</v>
      </c>
      <c r="G32" s="7">
        <v>24.692960165364752</v>
      </c>
      <c r="H32" s="7">
        <f t="shared" si="0"/>
        <v>31.606989011666883</v>
      </c>
      <c r="I32" s="7">
        <v>177.40429189463305</v>
      </c>
    </row>
    <row r="33" spans="1:9" x14ac:dyDescent="0.4">
      <c r="A33" s="2">
        <v>28</v>
      </c>
      <c r="B33" s="29">
        <v>2021.5</v>
      </c>
      <c r="C33" s="7">
        <v>157.934</v>
      </c>
      <c r="D33" s="2"/>
      <c r="E33" s="2">
        <f t="shared" si="1"/>
        <v>2005</v>
      </c>
      <c r="F33" s="24">
        <v>83.513716680451736</v>
      </c>
      <c r="G33" s="7">
        <v>16.843434176896629</v>
      </c>
      <c r="H33" s="7">
        <f t="shared" si="0"/>
        <v>21.559595746427686</v>
      </c>
      <c r="I33" s="7">
        <v>177.40429189463305</v>
      </c>
    </row>
    <row r="34" spans="1:9" x14ac:dyDescent="0.4">
      <c r="A34" s="2">
        <v>29</v>
      </c>
      <c r="B34" s="29">
        <v>2021.5</v>
      </c>
      <c r="C34" s="7">
        <v>320.96499999999997</v>
      </c>
      <c r="D34" s="2"/>
      <c r="E34" s="2">
        <f t="shared" si="1"/>
        <v>2006</v>
      </c>
      <c r="F34" s="24">
        <v>263.98884321359321</v>
      </c>
      <c r="G34" s="7">
        <v>21.399206661149535</v>
      </c>
      <c r="H34" s="7">
        <f t="shared" si="0"/>
        <v>27.390984526271406</v>
      </c>
      <c r="I34" s="7">
        <v>177.40429189463305</v>
      </c>
    </row>
    <row r="35" spans="1:9" x14ac:dyDescent="0.4">
      <c r="A35" s="2">
        <v>30</v>
      </c>
      <c r="B35" s="29">
        <v>2021.5</v>
      </c>
      <c r="C35" s="7">
        <v>319.93799999999999</v>
      </c>
      <c r="D35" s="2"/>
      <c r="E35" s="2">
        <f t="shared" si="1"/>
        <v>2007</v>
      </c>
      <c r="F35" s="24">
        <v>96.217878225205652</v>
      </c>
      <c r="G35" s="7">
        <v>19.434649532473642</v>
      </c>
      <c r="H35" s="7">
        <f t="shared" si="0"/>
        <v>24.876351401566264</v>
      </c>
      <c r="I35" s="7">
        <v>177.40429189463305</v>
      </c>
    </row>
    <row r="36" spans="1:9" x14ac:dyDescent="0.4">
      <c r="A36" s="2">
        <v>31</v>
      </c>
      <c r="B36" s="29">
        <v>2021.5</v>
      </c>
      <c r="C36" s="7">
        <v>219.50800000000001</v>
      </c>
      <c r="D36" s="2"/>
      <c r="E36" s="2">
        <f t="shared" si="1"/>
        <v>2008</v>
      </c>
      <c r="F36" s="24">
        <v>179.58044576577868</v>
      </c>
      <c r="G36" s="7">
        <v>18.453935896099086</v>
      </c>
      <c r="H36" s="7">
        <f t="shared" si="0"/>
        <v>23.62103794700683</v>
      </c>
      <c r="I36" s="7">
        <v>177.40429189463305</v>
      </c>
    </row>
    <row r="37" spans="1:9" x14ac:dyDescent="0.4">
      <c r="A37" s="2">
        <v>32</v>
      </c>
      <c r="B37" s="29">
        <v>2021.5</v>
      </c>
      <c r="C37" s="7">
        <v>271.35399999999998</v>
      </c>
      <c r="D37" s="2"/>
      <c r="E37" s="2">
        <f t="shared" si="1"/>
        <v>2009</v>
      </c>
      <c r="F37" s="24">
        <v>168.83816952147049</v>
      </c>
      <c r="G37" s="7">
        <v>17.191611564263667</v>
      </c>
      <c r="H37" s="7">
        <f t="shared" si="0"/>
        <v>22.005262802257494</v>
      </c>
      <c r="I37" s="7">
        <v>177.40429189463305</v>
      </c>
    </row>
    <row r="38" spans="1:9" x14ac:dyDescent="0.4">
      <c r="A38" s="2">
        <v>33</v>
      </c>
      <c r="B38" s="29">
        <v>2021.5</v>
      </c>
      <c r="C38" s="7">
        <v>381.601</v>
      </c>
      <c r="D38" s="2"/>
      <c r="E38" s="2">
        <f t="shared" si="1"/>
        <v>2010</v>
      </c>
      <c r="F38" s="24">
        <v>69.893881432240761</v>
      </c>
      <c r="G38" s="7">
        <v>14.403215285299444</v>
      </c>
      <c r="H38" s="7">
        <f t="shared" si="0"/>
        <v>18.43611556518329</v>
      </c>
      <c r="I38" s="7">
        <v>177.40429189463305</v>
      </c>
    </row>
    <row r="39" spans="1:9" x14ac:dyDescent="0.4">
      <c r="A39" s="2">
        <v>34</v>
      </c>
      <c r="B39" s="29">
        <v>2021.5</v>
      </c>
      <c r="C39" s="7">
        <v>328.85700000000003</v>
      </c>
      <c r="D39" s="2"/>
      <c r="E39" s="2">
        <f t="shared" si="1"/>
        <v>2011</v>
      </c>
      <c r="F39" s="24">
        <v>239.33626582347887</v>
      </c>
      <c r="G39" s="7">
        <v>19.354800037366008</v>
      </c>
      <c r="H39" s="7">
        <f t="shared" si="0"/>
        <v>24.774144047828489</v>
      </c>
      <c r="I39" s="7">
        <v>177.40429189463305</v>
      </c>
    </row>
    <row r="40" spans="1:9" x14ac:dyDescent="0.4">
      <c r="A40" s="2">
        <v>35</v>
      </c>
      <c r="B40" s="29">
        <v>2021.5</v>
      </c>
      <c r="C40" s="7">
        <v>192.85400000000001</v>
      </c>
      <c r="D40" s="2"/>
      <c r="E40" s="2">
        <f t="shared" si="1"/>
        <v>2012</v>
      </c>
      <c r="F40" s="24">
        <v>174.53679744669509</v>
      </c>
      <c r="G40" s="7">
        <v>17.717732711760625</v>
      </c>
      <c r="H40" s="7">
        <f t="shared" si="0"/>
        <v>22.6786978710536</v>
      </c>
      <c r="I40" s="7">
        <v>177.40429189463305</v>
      </c>
    </row>
    <row r="41" spans="1:9" x14ac:dyDescent="0.4">
      <c r="A41" s="2">
        <v>36</v>
      </c>
      <c r="B41" s="29">
        <v>2021.5</v>
      </c>
      <c r="C41" s="7">
        <v>198.80699999999999</v>
      </c>
      <c r="D41" s="2"/>
      <c r="E41" s="2">
        <f t="shared" si="1"/>
        <v>2013</v>
      </c>
      <c r="F41" s="24">
        <v>68.341930920253944</v>
      </c>
      <c r="G41" s="7">
        <v>13.76579340752817</v>
      </c>
      <c r="H41" s="7">
        <f t="shared" si="0"/>
        <v>17.620215561636059</v>
      </c>
      <c r="I41" s="7">
        <v>177.40429189463305</v>
      </c>
    </row>
    <row r="42" spans="1:9" x14ac:dyDescent="0.4">
      <c r="A42" s="2">
        <v>37</v>
      </c>
      <c r="B42" s="29">
        <v>2021.5</v>
      </c>
      <c r="C42" s="7">
        <v>182.126</v>
      </c>
      <c r="D42" s="2"/>
      <c r="E42" s="2">
        <f t="shared" si="1"/>
        <v>2014</v>
      </c>
      <c r="F42" s="24">
        <v>278.63656895092873</v>
      </c>
      <c r="G42" s="7">
        <v>18.947613415086728</v>
      </c>
      <c r="H42" s="7">
        <f t="shared" si="0"/>
        <v>24.252945171311012</v>
      </c>
      <c r="I42" s="7">
        <v>177.40429189463305</v>
      </c>
    </row>
    <row r="43" spans="1:9" x14ac:dyDescent="0.4">
      <c r="A43" s="2">
        <v>38</v>
      </c>
      <c r="B43" s="29">
        <v>2021.5</v>
      </c>
      <c r="C43" s="7">
        <v>464.92500000000001</v>
      </c>
      <c r="D43" s="2"/>
      <c r="E43" s="2">
        <f t="shared" si="1"/>
        <v>2015</v>
      </c>
      <c r="F43" s="24">
        <v>77.993719556901951</v>
      </c>
      <c r="G43" s="7">
        <v>15.998449414615166</v>
      </c>
      <c r="H43" s="7">
        <f t="shared" si="0"/>
        <v>20.478015250707411</v>
      </c>
      <c r="I43" s="7">
        <v>177.40429189463305</v>
      </c>
    </row>
    <row r="44" spans="1:9" x14ac:dyDescent="0.4">
      <c r="A44" s="2">
        <v>39</v>
      </c>
      <c r="B44" s="29">
        <v>2021.5</v>
      </c>
      <c r="C44" s="7">
        <v>261.46699999999998</v>
      </c>
      <c r="D44" s="2"/>
      <c r="E44" s="2">
        <f t="shared" si="1"/>
        <v>2016</v>
      </c>
      <c r="F44" s="24">
        <v>149.84070742540356</v>
      </c>
      <c r="G44" s="7">
        <v>15.971960146161676</v>
      </c>
      <c r="H44" s="7">
        <f t="shared" si="0"/>
        <v>20.444108987086945</v>
      </c>
      <c r="I44" s="7">
        <v>177.40429189463305</v>
      </c>
    </row>
    <row r="45" spans="1:9" x14ac:dyDescent="0.4">
      <c r="A45" s="2">
        <v>40</v>
      </c>
      <c r="B45" s="29">
        <v>2021.5</v>
      </c>
      <c r="C45" s="7">
        <v>245.46700000000001</v>
      </c>
      <c r="D45" s="2"/>
      <c r="E45" s="2">
        <f t="shared" si="1"/>
        <v>2017</v>
      </c>
      <c r="F45" s="24">
        <v>105.79218384317846</v>
      </c>
      <c r="G45" s="7">
        <v>15.663478492500154</v>
      </c>
      <c r="H45" s="7">
        <f t="shared" si="0"/>
        <v>20.049252470400198</v>
      </c>
      <c r="I45" s="7">
        <v>177.40429189463305</v>
      </c>
    </row>
    <row r="46" spans="1:9" x14ac:dyDescent="0.4">
      <c r="A46" s="2">
        <v>41</v>
      </c>
      <c r="B46" s="29">
        <v>2021.5</v>
      </c>
      <c r="C46" s="7">
        <v>210.911</v>
      </c>
      <c r="D46" s="2"/>
      <c r="E46" s="2">
        <f t="shared" si="1"/>
        <v>2018</v>
      </c>
      <c r="F46" s="24">
        <v>114.54127622777312</v>
      </c>
      <c r="G46" s="7">
        <v>16.05341273820742</v>
      </c>
      <c r="H46" s="7">
        <f t="shared" si="0"/>
        <v>20.548368304905498</v>
      </c>
      <c r="I46" s="7">
        <v>177.40429189463305</v>
      </c>
    </row>
    <row r="47" spans="1:9" x14ac:dyDescent="0.4">
      <c r="A47" s="2">
        <v>42</v>
      </c>
      <c r="B47" s="29">
        <v>2021.5</v>
      </c>
      <c r="C47" s="7">
        <v>395.33</v>
      </c>
      <c r="D47" s="2"/>
      <c r="E47" s="2">
        <f t="shared" si="1"/>
        <v>2019</v>
      </c>
      <c r="F47" s="24">
        <v>228.66116697467234</v>
      </c>
      <c r="G47" s="7">
        <v>28.009538716460646</v>
      </c>
      <c r="H47" s="7">
        <f t="shared" si="0"/>
        <v>35.852209557069628</v>
      </c>
      <c r="I47" s="7">
        <v>177.40429189463305</v>
      </c>
    </row>
    <row r="48" spans="1:9" x14ac:dyDescent="0.4">
      <c r="A48" s="2">
        <v>43</v>
      </c>
      <c r="B48" s="29">
        <v>2021.5</v>
      </c>
      <c r="C48" s="7">
        <v>244.97399999999999</v>
      </c>
      <c r="D48" s="2"/>
      <c r="E48" s="2">
        <f t="shared" si="1"/>
        <v>2020</v>
      </c>
      <c r="F48" s="24">
        <v>164.80141875541719</v>
      </c>
      <c r="G48" s="57">
        <v>35.512795766297579</v>
      </c>
      <c r="H48" s="7">
        <f t="shared" si="0"/>
        <v>45.4563785808609</v>
      </c>
    </row>
    <row r="49" spans="1:8" x14ac:dyDescent="0.4">
      <c r="A49" s="2">
        <v>44</v>
      </c>
      <c r="B49" s="29">
        <v>2021.5</v>
      </c>
      <c r="C49" s="7">
        <v>231.56899999999999</v>
      </c>
      <c r="D49" s="2"/>
      <c r="E49" s="2">
        <f t="shared" si="1"/>
        <v>2021</v>
      </c>
      <c r="F49" s="19">
        <v>201.16500096815321</v>
      </c>
      <c r="G49" s="57">
        <v>93.780407499788069</v>
      </c>
      <c r="H49" s="7">
        <f t="shared" si="0"/>
        <v>120.03892159972872</v>
      </c>
    </row>
    <row r="50" spans="1:8" x14ac:dyDescent="0.4">
      <c r="A50" s="2">
        <v>45</v>
      </c>
      <c r="B50" s="29">
        <v>2021.5</v>
      </c>
      <c r="C50" s="7">
        <v>322.46899999999999</v>
      </c>
      <c r="D50" s="2"/>
      <c r="E50" s="2"/>
      <c r="F50" s="2"/>
      <c r="G50" s="2"/>
    </row>
    <row r="51" spans="1:8" x14ac:dyDescent="0.4">
      <c r="A51" s="2">
        <v>46</v>
      </c>
      <c r="B51" s="29">
        <v>2021.5</v>
      </c>
      <c r="C51" s="7">
        <v>201.79900000000001</v>
      </c>
      <c r="D51" s="2"/>
      <c r="E51" s="2"/>
      <c r="F51" s="2"/>
      <c r="G51" s="2"/>
    </row>
    <row r="52" spans="1:8" x14ac:dyDescent="0.4">
      <c r="A52" s="2">
        <v>47</v>
      </c>
      <c r="B52" s="29">
        <v>2021.5</v>
      </c>
      <c r="C52" s="7">
        <v>304.37900000000002</v>
      </c>
      <c r="D52" s="2"/>
      <c r="E52" s="2"/>
      <c r="F52" s="2"/>
      <c r="G52" s="2"/>
    </row>
    <row r="53" spans="1:8" x14ac:dyDescent="0.4">
      <c r="A53" s="2">
        <v>48</v>
      </c>
      <c r="B53" s="29">
        <v>2021.5</v>
      </c>
      <c r="C53" s="7">
        <v>293.589</v>
      </c>
      <c r="D53" s="2"/>
      <c r="E53" s="2"/>
      <c r="F53" s="2"/>
      <c r="G53" s="2"/>
    </row>
    <row r="54" spans="1:8" x14ac:dyDescent="0.4">
      <c r="A54" s="2">
        <v>49</v>
      </c>
      <c r="B54" s="29">
        <v>2021.5</v>
      </c>
      <c r="C54" s="7">
        <v>322.85399999999998</v>
      </c>
      <c r="D54" s="2"/>
      <c r="E54" s="2"/>
      <c r="F54" s="2"/>
      <c r="G54" s="2"/>
    </row>
    <row r="55" spans="1:8" x14ac:dyDescent="0.4">
      <c r="A55" s="2">
        <v>50</v>
      </c>
      <c r="B55" s="29">
        <v>2021.5</v>
      </c>
      <c r="C55" s="7">
        <v>360.45499999999998</v>
      </c>
      <c r="D55" s="2"/>
      <c r="E55" s="2"/>
      <c r="F55" s="2"/>
      <c r="G55" s="2"/>
    </row>
    <row r="56" spans="1:8" x14ac:dyDescent="0.4">
      <c r="A56" s="2">
        <v>51</v>
      </c>
      <c r="B56" s="29">
        <v>2021.5</v>
      </c>
      <c r="C56" s="7">
        <v>294.61399999999998</v>
      </c>
      <c r="D56" s="2"/>
      <c r="E56" s="2"/>
      <c r="F56" s="2"/>
      <c r="G56" s="2"/>
    </row>
    <row r="57" spans="1:8" x14ac:dyDescent="0.4">
      <c r="A57" s="2">
        <v>52</v>
      </c>
      <c r="B57" s="29">
        <v>2021.5</v>
      </c>
      <c r="C57" s="7">
        <v>399.04599999999999</v>
      </c>
      <c r="D57" s="2"/>
      <c r="E57" s="2"/>
      <c r="F57" s="2"/>
      <c r="G57" s="2"/>
    </row>
    <row r="58" spans="1:8" x14ac:dyDescent="0.4">
      <c r="A58" s="2">
        <v>53</v>
      </c>
      <c r="B58" s="29">
        <v>2021.5</v>
      </c>
      <c r="C58" s="7">
        <v>311.66899999999998</v>
      </c>
      <c r="D58" s="2"/>
      <c r="E58" s="2"/>
      <c r="F58" s="2"/>
      <c r="G58" s="2"/>
    </row>
    <row r="59" spans="1:8" x14ac:dyDescent="0.4">
      <c r="A59" s="2">
        <v>54</v>
      </c>
      <c r="B59" s="29">
        <v>2021.5</v>
      </c>
      <c r="C59" s="7">
        <v>427.98</v>
      </c>
      <c r="D59" s="2"/>
      <c r="E59" s="2"/>
      <c r="F59" s="2"/>
      <c r="G59" s="2"/>
    </row>
    <row r="60" spans="1:8" x14ac:dyDescent="0.4">
      <c r="A60" s="2">
        <v>55</v>
      </c>
      <c r="B60" s="29">
        <v>2021.5</v>
      </c>
      <c r="C60" s="7">
        <v>184.83199999999999</v>
      </c>
      <c r="D60" s="2"/>
      <c r="E60" s="2"/>
      <c r="F60" s="2"/>
      <c r="G60" s="2"/>
    </row>
    <row r="61" spans="1:8" x14ac:dyDescent="0.4">
      <c r="A61" s="2">
        <v>56</v>
      </c>
      <c r="B61" s="29">
        <v>2021.5</v>
      </c>
      <c r="C61" s="7">
        <v>217.27699999999999</v>
      </c>
      <c r="D61" s="2"/>
      <c r="E61" s="2"/>
      <c r="F61" s="2"/>
      <c r="G61" s="2"/>
    </row>
    <row r="62" spans="1:8" x14ac:dyDescent="0.4">
      <c r="A62" s="2">
        <v>57</v>
      </c>
      <c r="B62" s="29">
        <v>2021.5</v>
      </c>
      <c r="C62" s="7">
        <v>200.99199999999999</v>
      </c>
      <c r="D62" s="2"/>
      <c r="E62" s="2"/>
      <c r="F62" s="2"/>
      <c r="G62" s="2"/>
    </row>
    <row r="63" spans="1:8" x14ac:dyDescent="0.4">
      <c r="A63" s="2">
        <v>58</v>
      </c>
      <c r="B63" s="29">
        <v>2021.5</v>
      </c>
      <c r="C63" s="7">
        <v>259.42</v>
      </c>
      <c r="D63" s="2"/>
      <c r="E63" s="2"/>
      <c r="F63" s="2"/>
      <c r="G63" s="2"/>
    </row>
    <row r="64" spans="1:8" x14ac:dyDescent="0.4">
      <c r="A64" s="2">
        <v>59</v>
      </c>
      <c r="B64" s="29">
        <v>2021.5</v>
      </c>
      <c r="C64" s="7">
        <v>274.81700000000001</v>
      </c>
      <c r="D64" s="2"/>
      <c r="E64" s="2"/>
      <c r="F64" s="2"/>
      <c r="G64" s="2"/>
    </row>
    <row r="65" spans="1:7" x14ac:dyDescent="0.4">
      <c r="A65" s="2">
        <v>60</v>
      </c>
      <c r="B65" s="29">
        <v>2021.5</v>
      </c>
      <c r="C65" s="7">
        <v>175.09</v>
      </c>
      <c r="D65" s="2"/>
      <c r="E65" s="2"/>
      <c r="F65" s="2"/>
      <c r="G65" s="2"/>
    </row>
    <row r="66" spans="1:7" x14ac:dyDescent="0.4">
      <c r="A66" s="2">
        <v>61</v>
      </c>
      <c r="B66" s="29">
        <v>2021.5</v>
      </c>
      <c r="C66" s="7">
        <v>225.64699999999999</v>
      </c>
      <c r="D66" s="2"/>
      <c r="E66" s="2"/>
      <c r="F66" s="2"/>
      <c r="G66" s="2"/>
    </row>
    <row r="67" spans="1:7" x14ac:dyDescent="0.4">
      <c r="A67" s="2">
        <v>62</v>
      </c>
      <c r="B67" s="29">
        <v>2021.5</v>
      </c>
      <c r="C67" s="7">
        <v>254.774</v>
      </c>
      <c r="D67" s="2"/>
      <c r="E67" s="2"/>
      <c r="F67" s="2"/>
      <c r="G67" s="2"/>
    </row>
    <row r="68" spans="1:7" x14ac:dyDescent="0.4">
      <c r="A68" s="2">
        <v>63</v>
      </c>
      <c r="B68" s="29">
        <v>2021.5</v>
      </c>
      <c r="C68" s="7">
        <v>395.33699999999999</v>
      </c>
      <c r="D68" s="2"/>
      <c r="E68" s="2"/>
      <c r="F68" s="2"/>
      <c r="G68" s="2"/>
    </row>
    <row r="69" spans="1:7" x14ac:dyDescent="0.4">
      <c r="A69" s="2">
        <v>64</v>
      </c>
      <c r="B69" s="29">
        <v>2021.5</v>
      </c>
      <c r="C69" s="7">
        <v>315.75099999999998</v>
      </c>
      <c r="D69" s="2"/>
      <c r="E69" s="2"/>
      <c r="F69" s="2"/>
      <c r="G69" s="2"/>
    </row>
    <row r="70" spans="1:7" x14ac:dyDescent="0.4">
      <c r="A70" s="2">
        <v>65</v>
      </c>
      <c r="B70" s="29">
        <v>2021.5</v>
      </c>
      <c r="C70" s="7">
        <v>249.21700000000001</v>
      </c>
      <c r="D70" s="2"/>
      <c r="E70" s="2"/>
      <c r="F70" s="2"/>
      <c r="G70" s="2"/>
    </row>
    <row r="71" spans="1:7" x14ac:dyDescent="0.4">
      <c r="A71" s="2">
        <v>66</v>
      </c>
      <c r="B71" s="29">
        <v>2021.5</v>
      </c>
      <c r="C71" s="7">
        <v>291.089</v>
      </c>
      <c r="D71" s="2"/>
      <c r="E71" s="2"/>
      <c r="F71" s="2"/>
      <c r="G71" s="2"/>
    </row>
    <row r="72" spans="1:7" x14ac:dyDescent="0.4">
      <c r="A72" s="2">
        <v>67</v>
      </c>
      <c r="B72" s="29">
        <v>2021.5</v>
      </c>
      <c r="C72" s="7">
        <v>287.97699999999998</v>
      </c>
      <c r="D72" s="2"/>
      <c r="E72" s="2"/>
      <c r="F72" s="2"/>
      <c r="G72" s="2"/>
    </row>
    <row r="73" spans="1:7" x14ac:dyDescent="0.4">
      <c r="A73" s="2">
        <v>68</v>
      </c>
      <c r="B73" s="29">
        <v>2021.5</v>
      </c>
      <c r="C73" s="7">
        <v>309.11900000000003</v>
      </c>
      <c r="D73" s="2"/>
      <c r="E73" s="2"/>
      <c r="F73" s="2"/>
      <c r="G73" s="2"/>
    </row>
    <row r="74" spans="1:7" x14ac:dyDescent="0.4">
      <c r="A74" s="2">
        <v>69</v>
      </c>
      <c r="B74" s="29">
        <v>2021.5</v>
      </c>
      <c r="C74" s="7">
        <v>173.185</v>
      </c>
      <c r="D74" s="2"/>
      <c r="E74" s="2"/>
      <c r="F74" s="2"/>
      <c r="G74" s="2"/>
    </row>
    <row r="75" spans="1:7" x14ac:dyDescent="0.4">
      <c r="A75" s="2">
        <v>70</v>
      </c>
      <c r="B75" s="29">
        <v>2021.5</v>
      </c>
      <c r="C75" s="7">
        <v>267.26400000000001</v>
      </c>
      <c r="D75" s="2"/>
      <c r="E75" s="2"/>
      <c r="F75" s="2"/>
      <c r="G75" s="2"/>
    </row>
    <row r="76" spans="1:7" x14ac:dyDescent="0.4">
      <c r="A76" s="2">
        <v>71</v>
      </c>
      <c r="B76" s="29">
        <v>2021.5</v>
      </c>
      <c r="C76" s="7">
        <v>260.87400000000002</v>
      </c>
      <c r="D76" s="2"/>
      <c r="E76" s="2"/>
      <c r="F76" s="2"/>
      <c r="G76" s="2"/>
    </row>
    <row r="77" spans="1:7" x14ac:dyDescent="0.4">
      <c r="A77" s="2">
        <v>72</v>
      </c>
      <c r="B77" s="29">
        <v>2021.5</v>
      </c>
      <c r="C77" s="7">
        <v>310.95600000000002</v>
      </c>
      <c r="D77" s="2"/>
      <c r="E77" s="2"/>
      <c r="F77" s="2"/>
      <c r="G77" s="2"/>
    </row>
    <row r="78" spans="1:7" x14ac:dyDescent="0.4">
      <c r="A78" s="2">
        <v>73</v>
      </c>
      <c r="B78" s="29">
        <v>2021.5</v>
      </c>
      <c r="C78" s="7">
        <v>334.80399999999997</v>
      </c>
      <c r="D78" s="2"/>
      <c r="E78" s="2"/>
      <c r="F78" s="2"/>
      <c r="G78" s="2"/>
    </row>
    <row r="79" spans="1:7" x14ac:dyDescent="0.4">
      <c r="A79" s="2">
        <v>74</v>
      </c>
      <c r="B79" s="29">
        <v>2021.5</v>
      </c>
      <c r="C79" s="7">
        <v>197.358</v>
      </c>
      <c r="D79" s="2"/>
      <c r="E79" s="2"/>
      <c r="F79" s="2"/>
      <c r="G79" s="2"/>
    </row>
    <row r="80" spans="1:7" x14ac:dyDescent="0.4">
      <c r="A80" s="2">
        <v>75</v>
      </c>
      <c r="B80" s="29">
        <v>2021.5</v>
      </c>
      <c r="C80" s="7">
        <v>260.37</v>
      </c>
      <c r="D80" s="2"/>
      <c r="E80" s="2"/>
      <c r="F80" s="2"/>
      <c r="G80" s="2"/>
    </row>
    <row r="81" spans="1:7" x14ac:dyDescent="0.4">
      <c r="A81" s="2">
        <v>76</v>
      </c>
      <c r="B81" s="29">
        <v>2021.5</v>
      </c>
      <c r="C81" s="7">
        <v>267.81400000000002</v>
      </c>
      <c r="D81" s="2"/>
      <c r="E81" s="2"/>
      <c r="F81" s="2"/>
      <c r="G81" s="2"/>
    </row>
    <row r="82" spans="1:7" x14ac:dyDescent="0.4">
      <c r="A82" s="2">
        <v>77</v>
      </c>
      <c r="B82" s="29">
        <v>2021.5</v>
      </c>
      <c r="C82" s="7">
        <v>178.08099999999999</v>
      </c>
      <c r="D82" s="2"/>
      <c r="E82" s="2"/>
      <c r="F82" s="2"/>
      <c r="G82" s="2"/>
    </row>
    <row r="83" spans="1:7" x14ac:dyDescent="0.4">
      <c r="A83" s="2">
        <v>78</v>
      </c>
      <c r="B83" s="29">
        <v>2021.5</v>
      </c>
      <c r="C83" s="7">
        <v>385.62900000000002</v>
      </c>
      <c r="D83" s="2"/>
      <c r="E83" s="2"/>
      <c r="F83" s="2"/>
      <c r="G83" s="2"/>
    </row>
    <row r="84" spans="1:7" x14ac:dyDescent="0.4">
      <c r="A84" s="2">
        <v>79</v>
      </c>
      <c r="B84" s="29">
        <v>2021.5</v>
      </c>
      <c r="C84" s="7">
        <v>271.21100000000001</v>
      </c>
      <c r="D84" s="2"/>
      <c r="E84" s="2"/>
      <c r="F84" s="2"/>
      <c r="G84" s="2"/>
    </row>
    <row r="85" spans="1:7" x14ac:dyDescent="0.4">
      <c r="A85" s="2">
        <v>80</v>
      </c>
      <c r="B85" s="29">
        <v>2021.5</v>
      </c>
      <c r="C85" s="7">
        <v>483.31599999999997</v>
      </c>
      <c r="D85" s="2"/>
      <c r="E85" s="2"/>
      <c r="F85" s="2"/>
      <c r="G85" s="2"/>
    </row>
    <row r="86" spans="1:7" x14ac:dyDescent="0.4">
      <c r="A86" s="2">
        <v>81</v>
      </c>
      <c r="B86" s="29">
        <v>2021.5</v>
      </c>
      <c r="C86" s="7">
        <v>198.23599999999999</v>
      </c>
      <c r="D86" s="2"/>
      <c r="E86" s="2"/>
      <c r="F86" s="2"/>
      <c r="G86" s="2"/>
    </row>
    <row r="87" spans="1:7" x14ac:dyDescent="0.4">
      <c r="A87" s="2">
        <v>82</v>
      </c>
      <c r="B87" s="29">
        <v>2021.5</v>
      </c>
      <c r="C87" s="7">
        <v>213.404</v>
      </c>
      <c r="D87" s="2"/>
      <c r="E87" s="2"/>
      <c r="F87" s="2"/>
      <c r="G87" s="2"/>
    </row>
    <row r="88" spans="1:7" x14ac:dyDescent="0.4">
      <c r="A88" s="2">
        <v>83</v>
      </c>
      <c r="B88" s="29">
        <v>2021.5</v>
      </c>
      <c r="C88" s="7">
        <v>247.62299999999999</v>
      </c>
      <c r="D88" s="2"/>
      <c r="E88" s="2"/>
      <c r="F88" s="2"/>
      <c r="G88" s="2"/>
    </row>
    <row r="89" spans="1:7" x14ac:dyDescent="0.4">
      <c r="A89" s="2">
        <v>84</v>
      </c>
      <c r="B89" s="29">
        <v>2021.5</v>
      </c>
      <c r="C89" s="7">
        <v>140.23699999999999</v>
      </c>
      <c r="D89" s="2"/>
      <c r="E89" s="2"/>
      <c r="F89" s="2"/>
      <c r="G89" s="2"/>
    </row>
    <row r="90" spans="1:7" x14ac:dyDescent="0.4">
      <c r="A90" s="2">
        <v>85</v>
      </c>
      <c r="B90" s="29">
        <v>2021.5</v>
      </c>
      <c r="C90" s="7">
        <v>361.83699999999999</v>
      </c>
      <c r="D90" s="2"/>
      <c r="E90" s="2"/>
      <c r="F90" s="2"/>
      <c r="G90" s="2"/>
    </row>
    <row r="91" spans="1:7" x14ac:dyDescent="0.4">
      <c r="A91" s="2">
        <v>86</v>
      </c>
      <c r="B91" s="29">
        <v>2021.5</v>
      </c>
      <c r="C91" s="7">
        <v>194.02</v>
      </c>
      <c r="D91" s="2"/>
      <c r="E91" s="2"/>
      <c r="F91" s="2"/>
      <c r="G91" s="2"/>
    </row>
    <row r="92" spans="1:7" x14ac:dyDescent="0.4">
      <c r="A92" s="2">
        <v>87</v>
      </c>
      <c r="B92" s="29">
        <v>2021.5</v>
      </c>
      <c r="C92" s="7">
        <v>361.54199999999997</v>
      </c>
      <c r="D92" s="2"/>
      <c r="E92" s="2"/>
      <c r="F92" s="2"/>
      <c r="G92" s="2"/>
    </row>
    <row r="93" spans="1:7" x14ac:dyDescent="0.4">
      <c r="A93" s="2">
        <v>88</v>
      </c>
      <c r="B93" s="29">
        <v>2021.5</v>
      </c>
      <c r="C93" s="7">
        <v>306.95</v>
      </c>
      <c r="D93" s="2"/>
      <c r="E93" s="2"/>
      <c r="F93" s="2"/>
      <c r="G93" s="2"/>
    </row>
    <row r="94" spans="1:7" x14ac:dyDescent="0.4">
      <c r="A94" s="2">
        <v>89</v>
      </c>
      <c r="B94" s="29">
        <v>2021.5</v>
      </c>
      <c r="C94" s="7">
        <v>189.18299999999999</v>
      </c>
      <c r="D94" s="2"/>
      <c r="E94" s="2"/>
      <c r="F94" s="2"/>
      <c r="G94" s="2"/>
    </row>
    <row r="95" spans="1:7" x14ac:dyDescent="0.4">
      <c r="A95" s="2">
        <v>90</v>
      </c>
      <c r="B95" s="29">
        <v>2021.5</v>
      </c>
      <c r="C95" s="7">
        <v>229.68700000000001</v>
      </c>
      <c r="D95" s="2"/>
      <c r="E95" s="2"/>
      <c r="F95" s="2"/>
      <c r="G95" s="2"/>
    </row>
    <row r="96" spans="1:7" x14ac:dyDescent="0.4">
      <c r="A96" s="2">
        <v>91</v>
      </c>
      <c r="B96" s="29">
        <v>2021.5</v>
      </c>
      <c r="C96" s="7">
        <v>426.108</v>
      </c>
      <c r="D96" s="2"/>
      <c r="E96" s="2"/>
      <c r="F96" s="2"/>
      <c r="G96" s="2"/>
    </row>
    <row r="97" spans="1:7" x14ac:dyDescent="0.4">
      <c r="A97" s="2">
        <v>92</v>
      </c>
      <c r="B97" s="29">
        <v>2021.5</v>
      </c>
      <c r="C97" s="7">
        <v>293.72500000000002</v>
      </c>
      <c r="D97" s="2"/>
      <c r="E97" s="2"/>
      <c r="F97" s="2"/>
      <c r="G97" s="2"/>
    </row>
    <row r="98" spans="1:7" x14ac:dyDescent="0.4">
      <c r="A98" s="2">
        <v>93</v>
      </c>
      <c r="B98" s="29">
        <v>2021.5</v>
      </c>
      <c r="C98" s="7">
        <v>273.74799999999999</v>
      </c>
      <c r="D98" s="2"/>
      <c r="E98" s="2"/>
      <c r="F98" s="2"/>
      <c r="G98" s="2"/>
    </row>
    <row r="99" spans="1:7" x14ac:dyDescent="0.4">
      <c r="A99" s="2">
        <v>94</v>
      </c>
      <c r="B99" s="29">
        <v>2021.5</v>
      </c>
      <c r="C99" s="7">
        <v>204.392</v>
      </c>
      <c r="D99" s="2"/>
      <c r="E99" s="2"/>
      <c r="F99" s="2"/>
      <c r="G99" s="2"/>
    </row>
    <row r="100" spans="1:7" x14ac:dyDescent="0.4">
      <c r="A100" s="2">
        <v>95</v>
      </c>
      <c r="B100" s="29">
        <v>2021.5</v>
      </c>
      <c r="C100" s="7">
        <v>251.33099999999999</v>
      </c>
      <c r="D100" s="2"/>
      <c r="E100" s="2"/>
      <c r="F100" s="2"/>
      <c r="G100" s="2"/>
    </row>
    <row r="101" spans="1:7" x14ac:dyDescent="0.4">
      <c r="A101" s="2">
        <v>96</v>
      </c>
      <c r="B101" s="29">
        <v>2021.5</v>
      </c>
      <c r="C101" s="7">
        <v>200.05699999999999</v>
      </c>
      <c r="D101" s="2"/>
      <c r="E101" s="2"/>
      <c r="F101" s="2"/>
      <c r="G101" s="2"/>
    </row>
    <row r="102" spans="1:7" x14ac:dyDescent="0.4">
      <c r="A102" s="2">
        <v>97</v>
      </c>
      <c r="B102" s="29">
        <v>2021.5</v>
      </c>
      <c r="C102" s="7">
        <v>236.38800000000001</v>
      </c>
      <c r="D102" s="2"/>
      <c r="E102" s="2"/>
      <c r="F102" s="2"/>
      <c r="G102" s="2"/>
    </row>
    <row r="103" spans="1:7" x14ac:dyDescent="0.4">
      <c r="A103" s="2">
        <v>98</v>
      </c>
      <c r="B103" s="29">
        <v>2021.5</v>
      </c>
      <c r="C103" s="7">
        <v>222.172</v>
      </c>
      <c r="D103" s="2"/>
      <c r="E103" s="2"/>
      <c r="F103" s="2"/>
      <c r="G103" s="2"/>
    </row>
    <row r="104" spans="1:7" x14ac:dyDescent="0.4">
      <c r="A104" s="2">
        <v>99</v>
      </c>
      <c r="B104" s="29">
        <v>2021.5</v>
      </c>
      <c r="C104" s="7">
        <v>350.80099999999999</v>
      </c>
      <c r="D104" s="2"/>
      <c r="E104" s="2"/>
      <c r="F104" s="2"/>
      <c r="G104" s="2"/>
    </row>
    <row r="105" spans="1:7" x14ac:dyDescent="0.4">
      <c r="A105" s="2">
        <v>100</v>
      </c>
      <c r="B105" s="29">
        <v>2021.5</v>
      </c>
      <c r="C105" s="7">
        <v>452.15600000000001</v>
      </c>
      <c r="D105" s="2"/>
      <c r="E105" s="2"/>
      <c r="F105" s="2"/>
      <c r="G105" s="2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9DFD58-AC60-415A-9BB6-7EE002D4D9DC}">
  <dimension ref="A1:T227"/>
  <sheetViews>
    <sheetView workbookViewId="0">
      <selection activeCell="B6" sqref="B6"/>
    </sheetView>
  </sheetViews>
  <sheetFormatPr defaultRowHeight="14.6" x14ac:dyDescent="0.4"/>
  <cols>
    <col min="1" max="1" width="21.84375" customWidth="1"/>
  </cols>
  <sheetData>
    <row r="1" spans="1:19" x14ac:dyDescent="0.4">
      <c r="A1" t="s">
        <v>16</v>
      </c>
    </row>
    <row r="2" spans="1:19" x14ac:dyDescent="0.4">
      <c r="A2" s="6" t="s">
        <v>17</v>
      </c>
      <c r="B2" s="6"/>
      <c r="C2" s="6"/>
      <c r="D2" s="6"/>
    </row>
    <row r="4" spans="1:19" ht="15" thickBot="1" x14ac:dyDescent="0.45">
      <c r="A4" s="9"/>
      <c r="B4" s="10" t="s">
        <v>0</v>
      </c>
      <c r="C4" s="10" t="s">
        <v>1</v>
      </c>
      <c r="D4" s="10" t="s">
        <v>2</v>
      </c>
      <c r="E4" s="10" t="s">
        <v>3</v>
      </c>
      <c r="F4" s="10" t="s">
        <v>4</v>
      </c>
      <c r="G4" s="10" t="s">
        <v>5</v>
      </c>
      <c r="H4" s="10" t="s">
        <v>6</v>
      </c>
      <c r="I4" s="10" t="s">
        <v>7</v>
      </c>
    </row>
    <row r="5" spans="1:19" x14ac:dyDescent="0.4">
      <c r="A5" s="14" t="s">
        <v>24</v>
      </c>
      <c r="B5" s="7">
        <v>200.84800000000001</v>
      </c>
      <c r="C5" s="7">
        <v>91.112300000000005</v>
      </c>
      <c r="D5" s="7">
        <v>54.995199999999997</v>
      </c>
      <c r="E5" s="7">
        <v>9.5187600000000003</v>
      </c>
      <c r="F5" s="7">
        <v>2.7805399999999998</v>
      </c>
      <c r="G5" s="7">
        <v>1.1867000000000001</v>
      </c>
      <c r="H5" s="7">
        <v>0.17947199999999999</v>
      </c>
      <c r="I5" s="7">
        <v>0.18001300000000001</v>
      </c>
    </row>
    <row r="6" spans="1:19" x14ac:dyDescent="0.4">
      <c r="A6" s="2" t="s">
        <v>25</v>
      </c>
      <c r="B6" s="7">
        <f>AVERAGE(B27:B126)</f>
        <v>274.00437999999991</v>
      </c>
      <c r="C6" s="7">
        <f t="shared" ref="C6:I6" si="0">AVERAGE(C27:C126)</f>
        <v>101.45473000000004</v>
      </c>
      <c r="D6" s="7">
        <f t="shared" si="0"/>
        <v>55.359307000000008</v>
      </c>
      <c r="E6" s="7">
        <f t="shared" si="0"/>
        <v>9.9185835999999998</v>
      </c>
      <c r="F6" s="7">
        <f t="shared" si="0"/>
        <v>2.9442475000000008</v>
      </c>
      <c r="G6" s="7">
        <f t="shared" si="0"/>
        <v>1.1352491899999995</v>
      </c>
      <c r="H6" s="7">
        <f t="shared" si="0"/>
        <v>0.20671563499999995</v>
      </c>
      <c r="I6" s="7">
        <f t="shared" si="0"/>
        <v>0.18359707310000004</v>
      </c>
    </row>
    <row r="7" spans="1:19" x14ac:dyDescent="0.4">
      <c r="A7" s="15" t="s">
        <v>31</v>
      </c>
      <c r="B7" s="16">
        <f>B6-B5</f>
        <v>73.156379999999899</v>
      </c>
      <c r="C7" s="16">
        <f t="shared" ref="C7:I7" si="1">C6-C5</f>
        <v>10.342430000000036</v>
      </c>
      <c r="D7" s="16">
        <f t="shared" si="1"/>
        <v>0.36410700000001128</v>
      </c>
      <c r="E7" s="16">
        <f t="shared" si="1"/>
        <v>0.3998235999999995</v>
      </c>
      <c r="F7" s="16">
        <f t="shared" si="1"/>
        <v>0.163707500000001</v>
      </c>
      <c r="G7" s="16">
        <f t="shared" si="1"/>
        <v>-5.1450810000000624E-2</v>
      </c>
      <c r="H7" s="16">
        <f t="shared" si="1"/>
        <v>2.7243634999999961E-2</v>
      </c>
      <c r="I7" s="16">
        <f t="shared" si="1"/>
        <v>3.5840731000000292E-3</v>
      </c>
    </row>
    <row r="8" spans="1:19" x14ac:dyDescent="0.4">
      <c r="A8" s="2" t="s">
        <v>26</v>
      </c>
      <c r="B8" s="7">
        <f>STDEV(B27:B126)</f>
        <v>75.134138794690571</v>
      </c>
      <c r="C8" s="7">
        <f t="shared" ref="C8:I8" si="2">STDEV(C27:C126)</f>
        <v>19.349980659674944</v>
      </c>
      <c r="D8" s="7">
        <f t="shared" si="2"/>
        <v>10.607234086685708</v>
      </c>
      <c r="E8" s="7">
        <f t="shared" si="2"/>
        <v>2.682937247212438</v>
      </c>
      <c r="F8" s="7">
        <f t="shared" si="2"/>
        <v>1.2705028273935062</v>
      </c>
      <c r="G8" s="7">
        <f t="shared" si="2"/>
        <v>0.80282980533872639</v>
      </c>
      <c r="H8" s="7">
        <f t="shared" si="2"/>
        <v>0.25416160607523292</v>
      </c>
      <c r="I8" s="7">
        <f t="shared" si="2"/>
        <v>0.39164582572461287</v>
      </c>
    </row>
    <row r="9" spans="1:19" x14ac:dyDescent="0.4">
      <c r="A9" s="2" t="s">
        <v>27</v>
      </c>
      <c r="B9" s="4">
        <f t="shared" ref="B9:I9" si="3">B8/B6</f>
        <v>0.27420780206028311</v>
      </c>
      <c r="C9" s="4">
        <f t="shared" si="3"/>
        <v>0.19072526889258823</v>
      </c>
      <c r="D9" s="4">
        <f t="shared" si="3"/>
        <v>0.1916070605198455</v>
      </c>
      <c r="E9" s="4">
        <f t="shared" si="3"/>
        <v>0.27049600582208511</v>
      </c>
      <c r="F9" s="4">
        <f t="shared" si="3"/>
        <v>0.43152038929930514</v>
      </c>
      <c r="G9" s="4">
        <f t="shared" si="3"/>
        <v>0.70718377287609147</v>
      </c>
      <c r="H9" s="4">
        <f t="shared" si="3"/>
        <v>1.2295228954270101</v>
      </c>
      <c r="I9" s="4">
        <f t="shared" si="3"/>
        <v>2.133181205515704</v>
      </c>
    </row>
    <row r="10" spans="1:19" x14ac:dyDescent="0.4">
      <c r="A10" s="2" t="s">
        <v>28</v>
      </c>
      <c r="B10" s="7">
        <f>MEDIAN(B27:B126)</f>
        <v>261.14800000000002</v>
      </c>
      <c r="C10" s="7">
        <f t="shared" ref="C10:I10" si="4">MEDIAN(C27:C126)</f>
        <v>100.41749999999999</v>
      </c>
      <c r="D10" s="7">
        <f t="shared" si="4"/>
        <v>54.8765</v>
      </c>
      <c r="E10" s="7">
        <f t="shared" si="4"/>
        <v>9.5329999999999995</v>
      </c>
      <c r="F10" s="7">
        <f t="shared" si="4"/>
        <v>2.6907100000000002</v>
      </c>
      <c r="G10" s="7">
        <f t="shared" si="4"/>
        <v>0.96652650000000007</v>
      </c>
      <c r="H10" s="7">
        <f t="shared" si="4"/>
        <v>0.1590625</v>
      </c>
      <c r="I10" s="7">
        <f t="shared" si="4"/>
        <v>0.109151</v>
      </c>
    </row>
    <row r="11" spans="1:19" x14ac:dyDescent="0.4">
      <c r="A11" s="2" t="s">
        <v>29</v>
      </c>
      <c r="B11" s="7">
        <f>MEDIAN(B128:B227)</f>
        <v>51.342999999999961</v>
      </c>
      <c r="C11" s="7">
        <f t="shared" ref="C11:I11" si="5">MEDIAN(C128:C227)</f>
        <v>12.388000000000012</v>
      </c>
      <c r="D11" s="7">
        <f t="shared" si="5"/>
        <v>6.1287500000000001</v>
      </c>
      <c r="E11" s="7">
        <f t="shared" si="5"/>
        <v>1.2646949999999988</v>
      </c>
      <c r="F11" s="7">
        <f t="shared" si="5"/>
        <v>0.47604499999999983</v>
      </c>
      <c r="G11" s="7">
        <f t="shared" si="5"/>
        <v>0.26490849999999999</v>
      </c>
      <c r="H11" s="7">
        <f t="shared" si="5"/>
        <v>5.9194649999999994E-2</v>
      </c>
      <c r="I11" s="7">
        <f t="shared" si="5"/>
        <v>5.1201299999999998E-2</v>
      </c>
    </row>
    <row r="12" spans="1:19" ht="15" thickBot="1" x14ac:dyDescent="0.45">
      <c r="A12" s="11" t="s">
        <v>30</v>
      </c>
      <c r="B12" s="12">
        <f>B11/B10</f>
        <v>0.19660499027371436</v>
      </c>
      <c r="C12" s="12">
        <f t="shared" ref="C12:I12" si="6">C11/C10</f>
        <v>0.12336495132820488</v>
      </c>
      <c r="D12" s="12">
        <f t="shared" si="6"/>
        <v>0.11168259637549771</v>
      </c>
      <c r="E12" s="12">
        <f t="shared" si="6"/>
        <v>0.13266495332004605</v>
      </c>
      <c r="F12" s="12">
        <f t="shared" si="6"/>
        <v>0.17692170468017729</v>
      </c>
      <c r="G12" s="12">
        <f t="shared" si="6"/>
        <v>0.27408301789966438</v>
      </c>
      <c r="H12" s="12">
        <f t="shared" si="6"/>
        <v>0.37214711198428291</v>
      </c>
      <c r="I12" s="12">
        <f t="shared" si="6"/>
        <v>0.46908686132055594</v>
      </c>
      <c r="S12" s="1" t="s">
        <v>19</v>
      </c>
    </row>
    <row r="13" spans="1:19" x14ac:dyDescent="0.4">
      <c r="A13" s="2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S13" s="1"/>
    </row>
    <row r="14" spans="1:19" ht="15" thickBot="1" x14ac:dyDescent="0.45">
      <c r="A14" s="9"/>
      <c r="B14" s="10" t="s">
        <v>8</v>
      </c>
      <c r="C14" s="10" t="s">
        <v>9</v>
      </c>
      <c r="D14" s="10" t="s">
        <v>10</v>
      </c>
      <c r="E14" s="10" t="s">
        <v>11</v>
      </c>
      <c r="F14" s="10" t="s">
        <v>12</v>
      </c>
      <c r="G14" s="10" t="s">
        <v>13</v>
      </c>
      <c r="H14" s="10" t="s">
        <v>20</v>
      </c>
      <c r="I14" s="12" t="s">
        <v>21</v>
      </c>
      <c r="J14" s="4"/>
      <c r="K14" s="4"/>
      <c r="L14" s="4"/>
      <c r="M14" s="4"/>
      <c r="N14" s="4"/>
      <c r="O14" s="4"/>
      <c r="P14" s="4"/>
      <c r="S14" s="1"/>
    </row>
    <row r="15" spans="1:19" x14ac:dyDescent="0.4">
      <c r="A15" s="14" t="s">
        <v>24</v>
      </c>
      <c r="B15" s="7">
        <v>1.2302199999999999E-2</v>
      </c>
      <c r="C15" s="7">
        <v>9.1866399999999994E-3</v>
      </c>
      <c r="D15" s="7">
        <v>3.5633599999999998E-3</v>
      </c>
      <c r="E15" s="7">
        <v>2.96841E-4</v>
      </c>
      <c r="F15" s="7">
        <v>2.1211099999999999E-4</v>
      </c>
      <c r="G15" s="7">
        <v>6.3597399999999995E-5</v>
      </c>
      <c r="H15" s="7">
        <v>1.5903700000000002E-5</v>
      </c>
      <c r="I15" s="13">
        <f>SUM(B5:I5,B15:H15)</f>
        <v>360.82662565309994</v>
      </c>
      <c r="J15" s="4"/>
      <c r="K15" s="4"/>
      <c r="L15" s="4"/>
      <c r="M15" s="4"/>
      <c r="N15" s="4"/>
      <c r="O15" s="4"/>
      <c r="P15" s="4"/>
      <c r="S15" s="1"/>
    </row>
    <row r="16" spans="1:19" x14ac:dyDescent="0.4">
      <c r="A16" s="2" t="s">
        <v>25</v>
      </c>
      <c r="B16" s="7">
        <f t="shared" ref="B16:H16" si="7">AVERAGE(J27:J126)</f>
        <v>1.606795217E-2</v>
      </c>
      <c r="C16" s="7">
        <f t="shared" si="7"/>
        <v>1.2093697993999999E-2</v>
      </c>
      <c r="D16" s="7">
        <f t="shared" si="7"/>
        <v>7.7009422086999988E-3</v>
      </c>
      <c r="E16" s="7">
        <f t="shared" si="7"/>
        <v>9.5753053683E-4</v>
      </c>
      <c r="F16" s="7">
        <f t="shared" si="7"/>
        <v>8.4008508549200016E-4</v>
      </c>
      <c r="G16" s="7">
        <f t="shared" si="7"/>
        <v>4.119407507377999E-4</v>
      </c>
      <c r="H16" s="7">
        <f t="shared" si="7"/>
        <v>3.3604721107271981E-4</v>
      </c>
      <c r="I16" s="7">
        <f>AVERAGE(R27:R126)</f>
        <v>445.24521819405692</v>
      </c>
      <c r="J16" s="8"/>
      <c r="K16" s="4"/>
      <c r="L16" s="4"/>
      <c r="M16" s="4"/>
      <c r="N16" s="4"/>
      <c r="O16" s="4"/>
      <c r="P16" s="4"/>
      <c r="S16" s="1"/>
    </row>
    <row r="17" spans="1:20" x14ac:dyDescent="0.4">
      <c r="A17" s="15" t="s">
        <v>31</v>
      </c>
      <c r="B17" s="16">
        <f t="shared" ref="B17:I17" si="8">B16-B15</f>
        <v>3.7657521700000009E-3</v>
      </c>
      <c r="C17" s="16">
        <f t="shared" si="8"/>
        <v>2.9070579939999997E-3</v>
      </c>
      <c r="D17" s="16">
        <f t="shared" si="8"/>
        <v>4.137582208699999E-3</v>
      </c>
      <c r="E17" s="16">
        <f t="shared" si="8"/>
        <v>6.6068953683000005E-4</v>
      </c>
      <c r="F17" s="16">
        <f t="shared" si="8"/>
        <v>6.279740854920002E-4</v>
      </c>
      <c r="G17" s="16">
        <f t="shared" si="8"/>
        <v>3.483433507377999E-4</v>
      </c>
      <c r="H17" s="16">
        <f t="shared" si="8"/>
        <v>3.2014351107271979E-4</v>
      </c>
      <c r="I17" s="16">
        <f t="shared" si="8"/>
        <v>84.418592540956979</v>
      </c>
      <c r="J17" s="8"/>
      <c r="K17" s="4"/>
      <c r="L17" s="4"/>
      <c r="M17" s="4"/>
      <c r="N17" s="4"/>
      <c r="O17" s="4"/>
      <c r="P17" s="4"/>
      <c r="S17" s="1"/>
    </row>
    <row r="18" spans="1:20" x14ac:dyDescent="0.4">
      <c r="A18" s="2" t="s">
        <v>26</v>
      </c>
      <c r="B18" s="7">
        <f t="shared" ref="B18:H18" si="9">STDEV(J27:J126)</f>
        <v>3.9819151666367958E-2</v>
      </c>
      <c r="C18" s="7">
        <f t="shared" si="9"/>
        <v>4.4748928430853402E-2</v>
      </c>
      <c r="D18" s="7">
        <f t="shared" si="9"/>
        <v>4.1332648647625189E-2</v>
      </c>
      <c r="E18" s="7">
        <f t="shared" si="9"/>
        <v>5.4048262997581512E-3</v>
      </c>
      <c r="F18" s="7">
        <f t="shared" si="9"/>
        <v>5.1403106960222324E-3</v>
      </c>
      <c r="G18" s="7">
        <f t="shared" si="9"/>
        <v>2.6605253445170685E-3</v>
      </c>
      <c r="H18" s="7">
        <f t="shared" si="9"/>
        <v>2.352070160630756E-3</v>
      </c>
      <c r="I18" s="7">
        <f>STDEV(R27:R126)</f>
        <v>85.266170142384112</v>
      </c>
      <c r="J18" s="4"/>
      <c r="K18" s="4"/>
      <c r="L18" s="4"/>
      <c r="M18" s="4"/>
      <c r="N18" s="4"/>
      <c r="O18" s="4"/>
      <c r="P18" s="4"/>
      <c r="S18" s="1"/>
    </row>
    <row r="19" spans="1:20" x14ac:dyDescent="0.4">
      <c r="A19" s="2" t="s">
        <v>27</v>
      </c>
      <c r="B19" s="4">
        <f t="shared" ref="B19:I19" si="10">B18/B16</f>
        <v>2.478172155672278</v>
      </c>
      <c r="C19" s="4">
        <f t="shared" si="10"/>
        <v>3.7001857044102242</v>
      </c>
      <c r="D19" s="4">
        <f t="shared" si="10"/>
        <v>5.3672196891609421</v>
      </c>
      <c r="E19" s="4">
        <f t="shared" si="10"/>
        <v>5.6445471886999714</v>
      </c>
      <c r="F19" s="4">
        <f t="shared" si="10"/>
        <v>6.1187977084628073</v>
      </c>
      <c r="G19" s="4">
        <f t="shared" si="10"/>
        <v>6.4585145794679866</v>
      </c>
      <c r="H19" s="4">
        <f t="shared" si="10"/>
        <v>6.9992253562305971</v>
      </c>
      <c r="I19" s="4">
        <f t="shared" si="10"/>
        <v>0.1915038425077964</v>
      </c>
      <c r="J19" s="4"/>
      <c r="K19" s="4"/>
      <c r="L19" s="4"/>
      <c r="M19" s="4"/>
      <c r="N19" s="4"/>
      <c r="O19" s="4"/>
      <c r="P19" s="4"/>
      <c r="S19" s="1"/>
    </row>
    <row r="20" spans="1:20" x14ac:dyDescent="0.4">
      <c r="A20" s="2" t="s">
        <v>28</v>
      </c>
      <c r="B20" s="7">
        <f t="shared" ref="B20:H20" si="11">MEDIAN(J27:J126)</f>
        <v>8.4847099999999995E-3</v>
      </c>
      <c r="C20" s="7">
        <f t="shared" si="11"/>
        <v>4.3465800000000001E-3</v>
      </c>
      <c r="D20" s="7">
        <f t="shared" si="11"/>
        <v>1.4022000000000001E-3</v>
      </c>
      <c r="E20" s="7">
        <f t="shared" si="11"/>
        <v>1.1710400000000001E-4</v>
      </c>
      <c r="F20" s="7">
        <f t="shared" si="11"/>
        <v>4.9900649999999998E-5</v>
      </c>
      <c r="G20" s="7">
        <f t="shared" si="11"/>
        <v>1.265205E-5</v>
      </c>
      <c r="H20" s="7">
        <f t="shared" si="11"/>
        <v>2.3672150000000002E-6</v>
      </c>
      <c r="I20" s="7">
        <f>MEDIAN(R27:R126)</f>
        <v>444.14845969041755</v>
      </c>
      <c r="J20" s="8"/>
      <c r="K20" s="4"/>
      <c r="L20" s="4"/>
      <c r="M20" s="4"/>
      <c r="N20" s="4"/>
      <c r="O20" s="4"/>
      <c r="P20" s="4"/>
      <c r="S20" s="1"/>
    </row>
    <row r="21" spans="1:20" x14ac:dyDescent="0.4">
      <c r="A21" s="2" t="s">
        <v>29</v>
      </c>
      <c r="B21" s="7">
        <f t="shared" ref="B21:H21" si="12">MEDIAN(J128:J227)</f>
        <v>5.3863949999999987E-3</v>
      </c>
      <c r="C21" s="7">
        <f t="shared" si="12"/>
        <v>2.7408250000000001E-3</v>
      </c>
      <c r="D21" s="7">
        <f t="shared" si="12"/>
        <v>1.0670760000000001E-3</v>
      </c>
      <c r="E21" s="7">
        <f t="shared" si="12"/>
        <v>9.9605650000000011E-5</v>
      </c>
      <c r="F21" s="7">
        <f t="shared" si="12"/>
        <v>4.5590964999999995E-5</v>
      </c>
      <c r="G21" s="7">
        <f t="shared" si="12"/>
        <v>1.2001699499999999E-5</v>
      </c>
      <c r="H21" s="7">
        <f t="shared" si="12"/>
        <v>2.3331221500000003E-6</v>
      </c>
      <c r="I21" s="7">
        <f>MEDIAN(R128:R227)</f>
        <v>61.297242321209495</v>
      </c>
      <c r="J21" s="4"/>
      <c r="K21" s="4"/>
      <c r="L21" s="4"/>
      <c r="M21" s="4"/>
      <c r="N21" s="4"/>
      <c r="O21" s="4"/>
      <c r="P21" s="4"/>
      <c r="S21" s="1"/>
    </row>
    <row r="22" spans="1:20" ht="15" thickBot="1" x14ac:dyDescent="0.45">
      <c r="A22" s="11" t="s">
        <v>30</v>
      </c>
      <c r="B22" s="12">
        <f t="shared" ref="B22:I22" si="13">B21/B20</f>
        <v>0.63483548642204612</v>
      </c>
      <c r="C22" s="12">
        <f t="shared" si="13"/>
        <v>0.63057047149713108</v>
      </c>
      <c r="D22" s="12">
        <f t="shared" si="13"/>
        <v>0.76100128369704756</v>
      </c>
      <c r="E22" s="12">
        <f t="shared" si="13"/>
        <v>0.85057427585735756</v>
      </c>
      <c r="F22" s="12">
        <f t="shared" si="13"/>
        <v>0.91363469213326876</v>
      </c>
      <c r="G22" s="12">
        <f t="shared" si="13"/>
        <v>0.94859722337486807</v>
      </c>
      <c r="H22" s="12">
        <f t="shared" si="13"/>
        <v>0.98559790724543406</v>
      </c>
      <c r="I22" s="12">
        <f t="shared" si="13"/>
        <v>0.13801070561842135</v>
      </c>
      <c r="J22" s="4"/>
      <c r="K22" s="4"/>
      <c r="L22" s="4"/>
      <c r="M22" s="4"/>
      <c r="N22" s="4"/>
      <c r="O22" s="4"/>
      <c r="P22" s="4"/>
      <c r="S22" s="1"/>
    </row>
    <row r="23" spans="1:20" x14ac:dyDescent="0.4">
      <c r="A23" s="2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S23" s="1"/>
    </row>
    <row r="24" spans="1:20" x14ac:dyDescent="0.4">
      <c r="A24" s="2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S24" s="1"/>
    </row>
    <row r="25" spans="1:20" x14ac:dyDescent="0.4">
      <c r="A25" s="2"/>
      <c r="B25" s="2"/>
      <c r="S25" s="3"/>
    </row>
    <row r="26" spans="1:20" x14ac:dyDescent="0.4">
      <c r="B26" s="1" t="s">
        <v>0</v>
      </c>
      <c r="C26" s="1" t="s">
        <v>1</v>
      </c>
      <c r="D26" s="1" t="s">
        <v>2</v>
      </c>
      <c r="E26" s="1" t="s">
        <v>3</v>
      </c>
      <c r="F26" s="1" t="s">
        <v>4</v>
      </c>
      <c r="G26" s="1" t="s">
        <v>5</v>
      </c>
      <c r="H26" s="1" t="s">
        <v>6</v>
      </c>
      <c r="I26" s="1" t="s">
        <v>7</v>
      </c>
      <c r="J26" s="1" t="s">
        <v>8</v>
      </c>
      <c r="K26" s="1" t="s">
        <v>9</v>
      </c>
      <c r="L26" s="1" t="s">
        <v>10</v>
      </c>
      <c r="M26" s="1" t="s">
        <v>11</v>
      </c>
      <c r="N26" s="1" t="s">
        <v>12</v>
      </c>
      <c r="O26" s="1" t="s">
        <v>13</v>
      </c>
      <c r="P26" s="1" t="s">
        <v>14</v>
      </c>
      <c r="R26" s="1" t="s">
        <v>18</v>
      </c>
      <c r="S26" s="1" t="s">
        <v>15</v>
      </c>
    </row>
    <row r="27" spans="1:20" x14ac:dyDescent="0.4">
      <c r="B27">
        <v>253.63</v>
      </c>
      <c r="C27">
        <v>125.25700000000001</v>
      </c>
      <c r="D27">
        <v>46.64</v>
      </c>
      <c r="E27">
        <v>8.0898299999999992</v>
      </c>
      <c r="F27">
        <v>2.85683</v>
      </c>
      <c r="G27">
        <v>0.48421399999999998</v>
      </c>
      <c r="H27">
        <v>0.102495</v>
      </c>
      <c r="I27">
        <v>4.8064799999999998E-2</v>
      </c>
      <c r="J27">
        <v>3.0348800000000002E-3</v>
      </c>
      <c r="K27">
        <v>1.51308E-3</v>
      </c>
      <c r="L27">
        <v>3.0526000000000001E-4</v>
      </c>
      <c r="M27" s="5">
        <v>1.6237400000000001E-5</v>
      </c>
      <c r="N27" s="5">
        <v>7.4627300000000001E-6</v>
      </c>
      <c r="O27" s="5">
        <v>1.2698300000000001E-6</v>
      </c>
      <c r="P27" s="5">
        <v>1.78905E-7</v>
      </c>
      <c r="R27" s="3">
        <f>SUM(B27:P27)</f>
        <v>437.11331216886504</v>
      </c>
      <c r="S27" s="3">
        <f>MEDIAN(R27:R126)</f>
        <v>444.14845969041755</v>
      </c>
    </row>
    <row r="28" spans="1:20" x14ac:dyDescent="0.4">
      <c r="B28">
        <v>194.429</v>
      </c>
      <c r="C28">
        <v>100.523</v>
      </c>
      <c r="D28">
        <v>52.439300000000003</v>
      </c>
      <c r="E28">
        <v>10.888</v>
      </c>
      <c r="F28">
        <v>2.7911899999999998</v>
      </c>
      <c r="G28">
        <v>1.1773800000000001</v>
      </c>
      <c r="H28">
        <v>0.177289</v>
      </c>
      <c r="I28">
        <v>0.119184</v>
      </c>
      <c r="J28">
        <v>1.1998399999999999E-2</v>
      </c>
      <c r="K28">
        <v>4.6402800000000001E-3</v>
      </c>
      <c r="L28">
        <v>2.5190799999999999E-3</v>
      </c>
      <c r="M28">
        <v>1.5438999999999999E-4</v>
      </c>
      <c r="N28">
        <v>1.24349E-4</v>
      </c>
      <c r="O28" s="5">
        <v>3.9171400000000002E-5</v>
      </c>
      <c r="P28" s="5">
        <v>8.7740999999999996E-6</v>
      </c>
      <c r="R28" s="3">
        <f t="shared" ref="R28:R91" si="14">SUM(B28:P28)</f>
        <v>362.56382744449991</v>
      </c>
      <c r="S28" s="2" t="s">
        <v>22</v>
      </c>
      <c r="T28" s="2" t="s">
        <v>23</v>
      </c>
    </row>
    <row r="29" spans="1:20" x14ac:dyDescent="0.4">
      <c r="B29">
        <v>217.95699999999999</v>
      </c>
      <c r="C29">
        <v>95.553200000000004</v>
      </c>
      <c r="D29">
        <v>69.458699999999993</v>
      </c>
      <c r="E29">
        <v>13.22</v>
      </c>
      <c r="F29">
        <v>4.8898099999999998</v>
      </c>
      <c r="G29">
        <v>1.82552</v>
      </c>
      <c r="H29">
        <v>0.53262900000000002</v>
      </c>
      <c r="I29">
        <v>0.48405900000000002</v>
      </c>
      <c r="J29">
        <v>3.9891900000000001E-2</v>
      </c>
      <c r="K29">
        <v>3.9162200000000001E-2</v>
      </c>
      <c r="L29">
        <v>1.6659899999999998E-2</v>
      </c>
      <c r="M29">
        <v>2.5781100000000002E-3</v>
      </c>
      <c r="N29">
        <v>1.4644599999999999E-3</v>
      </c>
      <c r="O29">
        <v>5.7153499999999997E-4</v>
      </c>
      <c r="P29">
        <v>2.5170500000000002E-4</v>
      </c>
      <c r="R29" s="3">
        <f t="shared" si="14"/>
        <v>404.02149780999997</v>
      </c>
      <c r="S29" s="7">
        <f>MIN(R27:R126)</f>
        <v>287.86094907384995</v>
      </c>
      <c r="T29" s="7">
        <f>MAX(R27:R126)</f>
        <v>677.79357310000012</v>
      </c>
    </row>
    <row r="30" spans="1:20" x14ac:dyDescent="0.4">
      <c r="B30">
        <v>226.63200000000001</v>
      </c>
      <c r="C30">
        <v>84.591800000000006</v>
      </c>
      <c r="D30">
        <v>52.336300000000001</v>
      </c>
      <c r="E30">
        <v>6.3287899999999997</v>
      </c>
      <c r="F30">
        <v>1.29375</v>
      </c>
      <c r="G30">
        <v>0.29169600000000001</v>
      </c>
      <c r="H30">
        <v>2.7823299999999999E-2</v>
      </c>
      <c r="I30">
        <v>8.24481E-3</v>
      </c>
      <c r="J30">
        <v>2.9238300000000001E-4</v>
      </c>
      <c r="K30" s="5">
        <v>7.0603400000000002E-5</v>
      </c>
      <c r="L30" s="5">
        <v>9.8384700000000004E-6</v>
      </c>
      <c r="M30" s="5">
        <v>3.8795300000000001E-7</v>
      </c>
      <c r="N30" s="5">
        <v>8.3972200000000003E-8</v>
      </c>
      <c r="O30" s="5">
        <v>9.6448799999999995E-9</v>
      </c>
      <c r="P30" s="5">
        <v>5.7923199999999999E-10</v>
      </c>
      <c r="R30" s="3">
        <f t="shared" si="14"/>
        <v>371.51077741701937</v>
      </c>
    </row>
    <row r="31" spans="1:20" x14ac:dyDescent="0.4">
      <c r="B31">
        <v>177.94900000000001</v>
      </c>
      <c r="C31">
        <v>85.445099999999996</v>
      </c>
      <c r="D31">
        <v>49.876199999999997</v>
      </c>
      <c r="E31">
        <v>10.835800000000001</v>
      </c>
      <c r="F31">
        <v>1.7094</v>
      </c>
      <c r="G31">
        <v>0.61554699999999996</v>
      </c>
      <c r="H31">
        <v>7.3930899999999994E-2</v>
      </c>
      <c r="I31">
        <v>2.9203199999999999E-2</v>
      </c>
      <c r="J31">
        <v>1.41979E-3</v>
      </c>
      <c r="K31">
        <v>4.8348199999999998E-4</v>
      </c>
      <c r="L31">
        <v>1.03547E-4</v>
      </c>
      <c r="M31" s="5">
        <v>4.1937500000000003E-6</v>
      </c>
      <c r="N31" s="5">
        <v>1.37517E-6</v>
      </c>
      <c r="O31" s="5">
        <v>2.02182E-7</v>
      </c>
      <c r="P31" s="5">
        <v>1.70003E-8</v>
      </c>
      <c r="R31" s="3">
        <f t="shared" si="14"/>
        <v>326.53619370710214</v>
      </c>
    </row>
    <row r="32" spans="1:20" x14ac:dyDescent="0.4">
      <c r="B32">
        <v>177.94900000000001</v>
      </c>
      <c r="C32">
        <v>85.445099999999996</v>
      </c>
      <c r="D32">
        <v>49.876199999999997</v>
      </c>
      <c r="E32">
        <v>10.835800000000001</v>
      </c>
      <c r="F32">
        <v>1.7094</v>
      </c>
      <c r="G32">
        <v>0.61554699999999996</v>
      </c>
      <c r="H32">
        <v>7.3930899999999994E-2</v>
      </c>
      <c r="I32">
        <v>2.9203199999999999E-2</v>
      </c>
      <c r="J32">
        <v>1.41979E-3</v>
      </c>
      <c r="K32">
        <v>4.8348199999999998E-4</v>
      </c>
      <c r="L32">
        <v>1.03547E-4</v>
      </c>
      <c r="M32" s="5">
        <v>4.1937500000000003E-6</v>
      </c>
      <c r="N32" s="5">
        <v>1.37517E-6</v>
      </c>
      <c r="O32" s="5">
        <v>2.02182E-7</v>
      </c>
      <c r="P32" s="5">
        <v>1.70003E-8</v>
      </c>
      <c r="R32" s="3">
        <f t="shared" si="14"/>
        <v>326.53619370710214</v>
      </c>
    </row>
    <row r="33" spans="2:18" x14ac:dyDescent="0.4">
      <c r="B33">
        <v>265.24799999999999</v>
      </c>
      <c r="C33">
        <v>112.64100000000001</v>
      </c>
      <c r="D33">
        <v>60.445500000000003</v>
      </c>
      <c r="E33">
        <v>12.5169</v>
      </c>
      <c r="F33">
        <v>4.1848000000000001</v>
      </c>
      <c r="G33">
        <v>1.7632399999999999</v>
      </c>
      <c r="H33">
        <v>0.38873999999999997</v>
      </c>
      <c r="I33">
        <v>0.26671400000000001</v>
      </c>
      <c r="J33">
        <v>1.92774E-2</v>
      </c>
      <c r="K33">
        <v>1.73864E-2</v>
      </c>
      <c r="L33">
        <v>5.5763200000000001E-3</v>
      </c>
      <c r="M33">
        <v>7.4350900000000005E-4</v>
      </c>
      <c r="N33">
        <v>3.5574599999999999E-4</v>
      </c>
      <c r="O33">
        <v>1.48455E-4</v>
      </c>
      <c r="P33" s="5">
        <v>3.4862700000000001E-5</v>
      </c>
      <c r="R33" s="3">
        <f t="shared" si="14"/>
        <v>457.4984166927</v>
      </c>
    </row>
    <row r="34" spans="2:18" x14ac:dyDescent="0.4">
      <c r="B34">
        <v>206.47300000000001</v>
      </c>
      <c r="C34">
        <v>84.529799999999994</v>
      </c>
      <c r="D34">
        <v>55.380099999999999</v>
      </c>
      <c r="E34">
        <v>9.2146699999999999</v>
      </c>
      <c r="F34">
        <v>3.1755</v>
      </c>
      <c r="G34">
        <v>1.11914</v>
      </c>
      <c r="H34">
        <v>0.25826399999999999</v>
      </c>
      <c r="I34">
        <v>0.157195</v>
      </c>
      <c r="J34">
        <v>9.5077500000000006E-3</v>
      </c>
      <c r="K34">
        <v>6.1694899999999997E-3</v>
      </c>
      <c r="L34">
        <v>2.4170300000000001E-3</v>
      </c>
      <c r="M34">
        <v>1.32872E-4</v>
      </c>
      <c r="N34">
        <v>1.3143900000000001E-4</v>
      </c>
      <c r="O34" s="5">
        <v>2.9726999999999998E-5</v>
      </c>
      <c r="P34" s="5">
        <v>6.9871200000000001E-6</v>
      </c>
      <c r="R34" s="3">
        <f t="shared" si="14"/>
        <v>360.32606429511998</v>
      </c>
    </row>
    <row r="35" spans="2:18" x14ac:dyDescent="0.4">
      <c r="B35">
        <v>325.33699999999999</v>
      </c>
      <c r="C35">
        <v>140.72399999999999</v>
      </c>
      <c r="D35">
        <v>74.481700000000004</v>
      </c>
      <c r="E35">
        <v>11.7629</v>
      </c>
      <c r="F35">
        <v>3.55436</v>
      </c>
      <c r="G35">
        <v>2.2209699999999999</v>
      </c>
      <c r="H35">
        <v>0.25423899999999999</v>
      </c>
      <c r="I35">
        <v>0.28660000000000002</v>
      </c>
      <c r="J35">
        <v>2.1169500000000001E-2</v>
      </c>
      <c r="K35">
        <v>1.7206699999999998E-2</v>
      </c>
      <c r="L35">
        <v>4.6476699999999996E-3</v>
      </c>
      <c r="M35">
        <v>4.35186E-4</v>
      </c>
      <c r="N35">
        <v>2.36178E-4</v>
      </c>
      <c r="O35" s="5">
        <v>6.5449699999999998E-5</v>
      </c>
      <c r="P35" s="5">
        <v>1.7879600000000001E-5</v>
      </c>
      <c r="R35" s="3">
        <f t="shared" si="14"/>
        <v>558.66554756329992</v>
      </c>
    </row>
    <row r="36" spans="2:18" x14ac:dyDescent="0.4">
      <c r="B36">
        <v>238.261</v>
      </c>
      <c r="C36">
        <v>119.39</v>
      </c>
      <c r="D36">
        <v>57.645099999999999</v>
      </c>
      <c r="E36">
        <v>13.902900000000001</v>
      </c>
      <c r="F36">
        <v>3.9788399999999999</v>
      </c>
      <c r="G36">
        <v>1.4105799999999999</v>
      </c>
      <c r="H36">
        <v>0.21242</v>
      </c>
      <c r="I36">
        <v>0.157829</v>
      </c>
      <c r="J36">
        <v>1.3945900000000001E-2</v>
      </c>
      <c r="K36">
        <v>4.8598900000000004E-3</v>
      </c>
      <c r="L36">
        <v>2.01227E-3</v>
      </c>
      <c r="M36">
        <v>2.0311999999999999E-4</v>
      </c>
      <c r="N36" s="5">
        <v>8.2876199999999998E-5</v>
      </c>
      <c r="O36" s="5">
        <v>2.1580400000000001E-5</v>
      </c>
      <c r="P36" s="5">
        <v>4.21778E-6</v>
      </c>
      <c r="R36" s="3">
        <f t="shared" si="14"/>
        <v>434.97979885437996</v>
      </c>
    </row>
    <row r="37" spans="2:18" x14ac:dyDescent="0.4">
      <c r="B37">
        <v>289.38200000000001</v>
      </c>
      <c r="C37">
        <v>100.825</v>
      </c>
      <c r="D37">
        <v>56.519500000000001</v>
      </c>
      <c r="E37">
        <v>9.1529799999999994</v>
      </c>
      <c r="F37">
        <v>2.7859600000000002</v>
      </c>
      <c r="G37">
        <v>1.34806</v>
      </c>
      <c r="H37">
        <v>0.22534299999999999</v>
      </c>
      <c r="I37">
        <v>0.16705700000000001</v>
      </c>
      <c r="J37">
        <v>1.8930300000000001E-2</v>
      </c>
      <c r="K37">
        <v>5.3570800000000002E-3</v>
      </c>
      <c r="L37">
        <v>2.7744200000000001E-3</v>
      </c>
      <c r="M37">
        <v>3.4890099999999999E-4</v>
      </c>
      <c r="N37">
        <v>1.4374599999999999E-4</v>
      </c>
      <c r="O37" s="5">
        <v>3.7605999999999999E-5</v>
      </c>
      <c r="P37" s="5">
        <v>7.4231699999999999E-6</v>
      </c>
      <c r="R37" s="3">
        <f t="shared" si="14"/>
        <v>460.43349947616997</v>
      </c>
    </row>
    <row r="38" spans="2:18" x14ac:dyDescent="0.4">
      <c r="B38">
        <v>261.42200000000003</v>
      </c>
      <c r="C38">
        <v>134.20500000000001</v>
      </c>
      <c r="D38">
        <v>61.811100000000003</v>
      </c>
      <c r="E38">
        <v>9.9848700000000008</v>
      </c>
      <c r="F38">
        <v>3.7659500000000001</v>
      </c>
      <c r="G38">
        <v>2.1092900000000001</v>
      </c>
      <c r="H38">
        <v>0.347277</v>
      </c>
      <c r="I38">
        <v>0.23688200000000001</v>
      </c>
      <c r="J38">
        <v>2.6455300000000001E-2</v>
      </c>
      <c r="K38">
        <v>1.17982E-2</v>
      </c>
      <c r="L38">
        <v>5.1403300000000002E-3</v>
      </c>
      <c r="M38">
        <v>5.0415099999999999E-4</v>
      </c>
      <c r="N38">
        <v>3.1407700000000001E-4</v>
      </c>
      <c r="O38" s="5">
        <v>7.8670200000000004E-5</v>
      </c>
      <c r="P38" s="5">
        <v>2.1376700000000002E-5</v>
      </c>
      <c r="R38" s="3">
        <f t="shared" si="14"/>
        <v>473.92668110490001</v>
      </c>
    </row>
    <row r="39" spans="2:18" x14ac:dyDescent="0.4">
      <c r="B39">
        <v>173.24299999999999</v>
      </c>
      <c r="C39">
        <v>92.947699999999998</v>
      </c>
      <c r="D39">
        <v>62.151200000000003</v>
      </c>
      <c r="E39">
        <v>11.5524</v>
      </c>
      <c r="F39">
        <v>5.1950099999999999</v>
      </c>
      <c r="G39">
        <v>2.3014600000000001</v>
      </c>
      <c r="H39">
        <v>0.39958199999999999</v>
      </c>
      <c r="I39">
        <v>0.450741</v>
      </c>
      <c r="J39">
        <v>3.2368599999999997E-2</v>
      </c>
      <c r="K39">
        <v>2.4956099999999998E-2</v>
      </c>
      <c r="L39">
        <v>8.2475799999999991E-3</v>
      </c>
      <c r="M39">
        <v>7.7170799999999996E-4</v>
      </c>
      <c r="N39">
        <v>5.1482600000000002E-4</v>
      </c>
      <c r="O39">
        <v>1.25112E-4</v>
      </c>
      <c r="P39" s="5">
        <v>3.9015499999999999E-5</v>
      </c>
      <c r="R39" s="3">
        <f t="shared" si="14"/>
        <v>348.30811594150003</v>
      </c>
    </row>
    <row r="40" spans="2:18" x14ac:dyDescent="0.4">
      <c r="B40">
        <v>406.48700000000002</v>
      </c>
      <c r="C40">
        <v>138.49799999999999</v>
      </c>
      <c r="D40">
        <v>44.025100000000002</v>
      </c>
      <c r="E40">
        <v>13.7797</v>
      </c>
      <c r="F40">
        <v>2.6082100000000001</v>
      </c>
      <c r="G40">
        <v>1.3979200000000001</v>
      </c>
      <c r="H40">
        <v>0.14754900000000001</v>
      </c>
      <c r="I40">
        <v>0.146171</v>
      </c>
      <c r="J40">
        <v>1.1094E-2</v>
      </c>
      <c r="K40">
        <v>6.0487700000000002E-3</v>
      </c>
      <c r="L40">
        <v>2.19586E-3</v>
      </c>
      <c r="M40">
        <v>1.6627600000000001E-4</v>
      </c>
      <c r="N40" s="5">
        <v>9.9522400000000001E-5</v>
      </c>
      <c r="O40" s="5">
        <v>2.5306000000000001E-5</v>
      </c>
      <c r="P40" s="5">
        <v>5.1061000000000001E-6</v>
      </c>
      <c r="R40" s="3">
        <f t="shared" si="14"/>
        <v>607.10928484049998</v>
      </c>
    </row>
    <row r="41" spans="2:18" x14ac:dyDescent="0.4">
      <c r="B41">
        <v>309.149</v>
      </c>
      <c r="C41">
        <v>86.381699999999995</v>
      </c>
      <c r="D41">
        <v>48.658000000000001</v>
      </c>
      <c r="E41">
        <v>9.8551599999999997</v>
      </c>
      <c r="F41">
        <v>2.5478499999999999</v>
      </c>
      <c r="G41">
        <v>0.77744599999999997</v>
      </c>
      <c r="H41">
        <v>0.108306</v>
      </c>
      <c r="I41">
        <v>0.10412100000000001</v>
      </c>
      <c r="J41">
        <v>8.1836400000000007E-3</v>
      </c>
      <c r="K41">
        <v>5.5877899999999996E-3</v>
      </c>
      <c r="L41">
        <v>1.6781700000000001E-3</v>
      </c>
      <c r="M41">
        <v>1.99058E-4</v>
      </c>
      <c r="N41">
        <v>1.40538E-4</v>
      </c>
      <c r="O41" s="5">
        <v>3.98782E-5</v>
      </c>
      <c r="P41" s="5">
        <v>9.5693300000000004E-6</v>
      </c>
      <c r="R41" s="3">
        <f t="shared" si="14"/>
        <v>457.59742164353014</v>
      </c>
    </row>
    <row r="42" spans="2:18" x14ac:dyDescent="0.4">
      <c r="B42">
        <v>313.31299999999999</v>
      </c>
      <c r="C42">
        <v>118.51300000000001</v>
      </c>
      <c r="D42">
        <v>34.198599999999999</v>
      </c>
      <c r="E42">
        <v>8.6028599999999997</v>
      </c>
      <c r="F42">
        <v>1.9458299999999999</v>
      </c>
      <c r="G42">
        <v>0.48208200000000001</v>
      </c>
      <c r="H42">
        <v>5.4932500000000002E-2</v>
      </c>
      <c r="I42">
        <v>3.2245200000000002E-2</v>
      </c>
      <c r="J42">
        <v>1.2494299999999999E-3</v>
      </c>
      <c r="K42">
        <v>3.7580600000000001E-4</v>
      </c>
      <c r="L42" s="5">
        <v>7.9822300000000003E-5</v>
      </c>
      <c r="M42" s="5">
        <v>3.85962E-6</v>
      </c>
      <c r="N42" s="5">
        <v>9.3757399999999995E-7</v>
      </c>
      <c r="O42" s="5">
        <v>1.03345E-7</v>
      </c>
      <c r="P42" s="5">
        <v>8.1357099999999994E-9</v>
      </c>
      <c r="R42" s="3">
        <f t="shared" si="14"/>
        <v>477.14425966697468</v>
      </c>
    </row>
    <row r="43" spans="2:18" x14ac:dyDescent="0.4">
      <c r="B43">
        <v>343.33699999999999</v>
      </c>
      <c r="C43">
        <v>101.52800000000001</v>
      </c>
      <c r="D43">
        <v>55.756999999999998</v>
      </c>
      <c r="E43">
        <v>10.5282</v>
      </c>
      <c r="F43">
        <v>2.68546</v>
      </c>
      <c r="G43">
        <v>1.3051200000000001</v>
      </c>
      <c r="H43">
        <v>0.243816</v>
      </c>
      <c r="I43">
        <v>0.173203</v>
      </c>
      <c r="J43">
        <v>1.48568E-2</v>
      </c>
      <c r="K43">
        <v>8.6357799999999992E-3</v>
      </c>
      <c r="L43">
        <v>3.14446E-3</v>
      </c>
      <c r="M43">
        <v>4.11116E-4</v>
      </c>
      <c r="N43">
        <v>1.9377700000000001E-4</v>
      </c>
      <c r="O43" s="5">
        <v>6.4087100000000005E-5</v>
      </c>
      <c r="P43" s="5">
        <v>1.7618700000000001E-5</v>
      </c>
      <c r="R43" s="3">
        <f t="shared" si="14"/>
        <v>515.58512263880004</v>
      </c>
    </row>
    <row r="44" spans="2:18" x14ac:dyDescent="0.4">
      <c r="B44">
        <v>238.36099999999999</v>
      </c>
      <c r="C44">
        <v>84.157899999999998</v>
      </c>
      <c r="D44">
        <v>41.706699999999998</v>
      </c>
      <c r="E44">
        <v>9.73583</v>
      </c>
      <c r="F44">
        <v>2.8247</v>
      </c>
      <c r="G44">
        <v>1.2084999999999999</v>
      </c>
      <c r="H44">
        <v>0.19403999999999999</v>
      </c>
      <c r="I44">
        <v>0.127439</v>
      </c>
      <c r="J44">
        <v>1.1187300000000001E-2</v>
      </c>
      <c r="K44">
        <v>5.3275099999999997E-3</v>
      </c>
      <c r="L44">
        <v>2.16863E-3</v>
      </c>
      <c r="M44">
        <v>1.5909100000000001E-4</v>
      </c>
      <c r="N44">
        <v>1.11597E-4</v>
      </c>
      <c r="O44" s="5">
        <v>2.7175300000000001E-5</v>
      </c>
      <c r="P44" s="5">
        <v>5.2256000000000004E-6</v>
      </c>
      <c r="R44" s="3">
        <f t="shared" si="14"/>
        <v>378.33509552889996</v>
      </c>
    </row>
    <row r="45" spans="2:18" x14ac:dyDescent="0.4">
      <c r="B45">
        <v>239.84200000000001</v>
      </c>
      <c r="C45">
        <v>80.181600000000003</v>
      </c>
      <c r="D45">
        <v>47.643000000000001</v>
      </c>
      <c r="E45">
        <v>8.7136099999999992</v>
      </c>
      <c r="F45">
        <v>2.2492899999999998</v>
      </c>
      <c r="G45">
        <v>0.59549799999999997</v>
      </c>
      <c r="H45">
        <v>9.9701700000000004E-2</v>
      </c>
      <c r="I45">
        <v>5.8203299999999999E-2</v>
      </c>
      <c r="J45">
        <v>4.2964300000000004E-3</v>
      </c>
      <c r="K45">
        <v>2.6032999999999998E-3</v>
      </c>
      <c r="L45">
        <v>6.8735400000000005E-4</v>
      </c>
      <c r="M45" s="5">
        <v>6.2357100000000006E-5</v>
      </c>
      <c r="N45" s="5">
        <v>2.6393800000000001E-5</v>
      </c>
      <c r="O45" s="5">
        <v>6.63104E-6</v>
      </c>
      <c r="P45" s="5">
        <v>1.3138499999999999E-6</v>
      </c>
      <c r="R45" s="3">
        <f t="shared" si="14"/>
        <v>379.39058677979</v>
      </c>
    </row>
    <row r="46" spans="2:18" x14ac:dyDescent="0.4">
      <c r="B46">
        <v>317.36900000000003</v>
      </c>
      <c r="C46">
        <v>112.651</v>
      </c>
      <c r="D46">
        <v>67.707499999999996</v>
      </c>
      <c r="E46">
        <v>10.563800000000001</v>
      </c>
      <c r="F46">
        <v>5.1875999999999998</v>
      </c>
      <c r="G46">
        <v>2.22993</v>
      </c>
      <c r="H46">
        <v>0.45337899999999998</v>
      </c>
      <c r="I46">
        <v>0.44557600000000003</v>
      </c>
      <c r="J46">
        <v>3.6236200000000003E-2</v>
      </c>
      <c r="K46">
        <v>2.4188299999999999E-2</v>
      </c>
      <c r="L46">
        <v>8.4860400000000002E-3</v>
      </c>
      <c r="M46">
        <v>6.0552100000000003E-4</v>
      </c>
      <c r="N46">
        <v>4.6317899999999998E-4</v>
      </c>
      <c r="O46" s="5">
        <v>9.5397199999999995E-5</v>
      </c>
      <c r="P46" s="5">
        <v>2.55912E-5</v>
      </c>
      <c r="R46" s="3">
        <f t="shared" si="14"/>
        <v>516.67788522839999</v>
      </c>
    </row>
    <row r="47" spans="2:18" x14ac:dyDescent="0.4">
      <c r="B47">
        <v>363.37599999999998</v>
      </c>
      <c r="C47">
        <v>77.947699999999998</v>
      </c>
      <c r="D47">
        <v>52.122300000000003</v>
      </c>
      <c r="E47">
        <v>7.3722599999999998</v>
      </c>
      <c r="F47">
        <v>1.8057799999999999</v>
      </c>
      <c r="G47">
        <v>0.89181100000000002</v>
      </c>
      <c r="H47">
        <v>8.8433600000000001E-2</v>
      </c>
      <c r="I47">
        <v>5.8278099999999999E-2</v>
      </c>
      <c r="J47">
        <v>3.8074599999999999E-3</v>
      </c>
      <c r="K47">
        <v>1.19564E-3</v>
      </c>
      <c r="L47">
        <v>2.9991499999999999E-4</v>
      </c>
      <c r="M47" s="5">
        <v>1.4259200000000001E-5</v>
      </c>
      <c r="N47" s="5">
        <v>6.6061199999999999E-6</v>
      </c>
      <c r="O47" s="5">
        <v>7.1159199999999998E-7</v>
      </c>
      <c r="P47" s="5">
        <v>1.19659E-7</v>
      </c>
      <c r="R47" s="3">
        <f t="shared" si="14"/>
        <v>503.66788741157097</v>
      </c>
    </row>
    <row r="48" spans="2:18" x14ac:dyDescent="0.4">
      <c r="B48">
        <v>230.80199999999999</v>
      </c>
      <c r="C48">
        <v>102.18300000000001</v>
      </c>
      <c r="D48">
        <v>98.574700000000007</v>
      </c>
      <c r="E48">
        <v>22.594799999999999</v>
      </c>
      <c r="F48">
        <v>10.2834</v>
      </c>
      <c r="G48">
        <v>6.4201899999999998</v>
      </c>
      <c r="H48">
        <v>2.2345999999999999</v>
      </c>
      <c r="I48">
        <v>3.3324099999999999</v>
      </c>
      <c r="J48">
        <v>0.32127600000000001</v>
      </c>
      <c r="K48">
        <v>0.37021500000000002</v>
      </c>
      <c r="L48">
        <v>0.36656499999999997</v>
      </c>
      <c r="M48">
        <v>4.6724300000000003E-2</v>
      </c>
      <c r="N48">
        <v>4.1001200000000002E-2</v>
      </c>
      <c r="O48">
        <v>1.8260599999999998E-2</v>
      </c>
      <c r="P48">
        <v>1.99113E-2</v>
      </c>
      <c r="R48" s="3">
        <f t="shared" si="14"/>
        <v>477.60905339999994</v>
      </c>
    </row>
    <row r="49" spans="2:18" x14ac:dyDescent="0.4">
      <c r="B49">
        <v>230.898</v>
      </c>
      <c r="C49">
        <v>83.958799999999997</v>
      </c>
      <c r="D49">
        <v>49.134900000000002</v>
      </c>
      <c r="E49">
        <v>8.4866100000000007</v>
      </c>
      <c r="F49">
        <v>2.6964899999999998</v>
      </c>
      <c r="G49">
        <v>0.78909499999999999</v>
      </c>
      <c r="H49">
        <v>0.10478800000000001</v>
      </c>
      <c r="I49">
        <v>7.1129600000000001E-2</v>
      </c>
      <c r="J49">
        <v>4.84667E-3</v>
      </c>
      <c r="K49">
        <v>2.6060800000000002E-3</v>
      </c>
      <c r="L49">
        <v>5.2272199999999999E-4</v>
      </c>
      <c r="M49" s="5">
        <v>4.2243200000000002E-5</v>
      </c>
      <c r="N49" s="5">
        <v>2.1336100000000001E-5</v>
      </c>
      <c r="O49" s="5">
        <v>3.42898E-6</v>
      </c>
      <c r="P49" s="5">
        <v>6.3590899999999995E-7</v>
      </c>
      <c r="R49" s="3">
        <f t="shared" si="14"/>
        <v>376.14785571618904</v>
      </c>
    </row>
    <row r="50" spans="2:18" x14ac:dyDescent="0.4">
      <c r="B50">
        <v>268.10199999999998</v>
      </c>
      <c r="C50">
        <v>121.79</v>
      </c>
      <c r="D50">
        <v>50.547199999999997</v>
      </c>
      <c r="E50">
        <v>11.345599999999999</v>
      </c>
      <c r="F50">
        <v>2.2048899999999998</v>
      </c>
      <c r="G50">
        <v>0.86183799999999999</v>
      </c>
      <c r="H50">
        <v>0.120087</v>
      </c>
      <c r="I50">
        <v>9.1760099999999997E-2</v>
      </c>
      <c r="J50">
        <v>7.3091299999999996E-3</v>
      </c>
      <c r="K50">
        <v>4.5255599999999997E-3</v>
      </c>
      <c r="L50">
        <v>1.04178E-3</v>
      </c>
      <c r="M50">
        <v>1.2942100000000001E-4</v>
      </c>
      <c r="N50" s="5">
        <v>4.2838900000000001E-5</v>
      </c>
      <c r="O50" s="5">
        <v>1.28792E-5</v>
      </c>
      <c r="P50" s="5">
        <v>1.8614099999999999E-6</v>
      </c>
      <c r="R50" s="3">
        <f t="shared" si="14"/>
        <v>455.07643857050994</v>
      </c>
    </row>
    <row r="51" spans="2:18" x14ac:dyDescent="0.4">
      <c r="B51">
        <v>216.71299999999999</v>
      </c>
      <c r="C51">
        <v>88.369</v>
      </c>
      <c r="D51">
        <v>65.937600000000003</v>
      </c>
      <c r="E51">
        <v>10.7287</v>
      </c>
      <c r="F51">
        <v>2.7181799999999998</v>
      </c>
      <c r="G51">
        <v>0.78351899999999997</v>
      </c>
      <c r="H51">
        <v>0.110232</v>
      </c>
      <c r="I51">
        <v>5.8803099999999997E-2</v>
      </c>
      <c r="J51">
        <v>2.5553500000000001E-3</v>
      </c>
      <c r="K51">
        <v>1.00836E-3</v>
      </c>
      <c r="L51">
        <v>1.9528199999999999E-4</v>
      </c>
      <c r="M51" s="5">
        <v>1.2611300000000001E-5</v>
      </c>
      <c r="N51" s="5">
        <v>3.5955999999999999E-6</v>
      </c>
      <c r="O51" s="5">
        <v>5.8910900000000004E-7</v>
      </c>
      <c r="P51" s="5">
        <v>6.7750499999999995E-8</v>
      </c>
      <c r="R51" s="3">
        <f t="shared" si="14"/>
        <v>385.42280995575948</v>
      </c>
    </row>
    <row r="52" spans="2:18" x14ac:dyDescent="0.4">
      <c r="B52">
        <v>252.03</v>
      </c>
      <c r="C52">
        <v>103.63</v>
      </c>
      <c r="D52">
        <v>49.3185</v>
      </c>
      <c r="E52">
        <v>10.403700000000001</v>
      </c>
      <c r="F52">
        <v>2.9524499999999998</v>
      </c>
      <c r="G52">
        <v>1.11209</v>
      </c>
      <c r="H52">
        <v>0.25973800000000002</v>
      </c>
      <c r="I52">
        <v>0.151417</v>
      </c>
      <c r="J52">
        <v>1.39924E-2</v>
      </c>
      <c r="K52">
        <v>7.8356499999999996E-3</v>
      </c>
      <c r="L52">
        <v>3.5163099999999999E-3</v>
      </c>
      <c r="M52">
        <v>2.5877000000000002E-4</v>
      </c>
      <c r="N52">
        <v>1.85763E-4</v>
      </c>
      <c r="O52" s="5">
        <v>4.7085400000000002E-5</v>
      </c>
      <c r="P52" s="5">
        <v>1.3379399999999999E-5</v>
      </c>
      <c r="R52" s="3">
        <f t="shared" si="14"/>
        <v>419.88374435780003</v>
      </c>
    </row>
    <row r="53" spans="2:18" x14ac:dyDescent="0.4">
      <c r="B53">
        <v>409.50799999999998</v>
      </c>
      <c r="C53">
        <v>84.4422</v>
      </c>
      <c r="D53">
        <v>48.3643</v>
      </c>
      <c r="E53">
        <v>8.2557500000000008</v>
      </c>
      <c r="F53">
        <v>2.3006199999999999</v>
      </c>
      <c r="G53">
        <v>0.68376499999999996</v>
      </c>
      <c r="H53">
        <v>9.8031599999999997E-2</v>
      </c>
      <c r="I53">
        <v>4.9960299999999999E-2</v>
      </c>
      <c r="J53">
        <v>3.5296300000000002E-3</v>
      </c>
      <c r="K53">
        <v>1.1906499999999999E-3</v>
      </c>
      <c r="L53">
        <v>3.7118999999999997E-4</v>
      </c>
      <c r="M53" s="5">
        <v>1.51166E-5</v>
      </c>
      <c r="N53" s="5">
        <v>9.0678499999999999E-6</v>
      </c>
      <c r="O53" s="5">
        <v>1.36209E-6</v>
      </c>
      <c r="P53" s="5">
        <v>2.0186399999999999E-7</v>
      </c>
      <c r="R53" s="3">
        <f t="shared" si="14"/>
        <v>553.70774411840398</v>
      </c>
    </row>
    <row r="54" spans="2:18" x14ac:dyDescent="0.4">
      <c r="B54">
        <v>157.934</v>
      </c>
      <c r="C54">
        <v>91.022000000000006</v>
      </c>
      <c r="D54">
        <v>47.938099999999999</v>
      </c>
      <c r="E54">
        <v>8.7052200000000006</v>
      </c>
      <c r="F54">
        <v>2.6818200000000001</v>
      </c>
      <c r="G54">
        <v>0.97308300000000003</v>
      </c>
      <c r="H54">
        <v>0.15693799999999999</v>
      </c>
      <c r="I54">
        <v>0.121821</v>
      </c>
      <c r="J54">
        <v>9.2755100000000007E-3</v>
      </c>
      <c r="K54">
        <v>4.8053899999999997E-3</v>
      </c>
      <c r="L54">
        <v>1.76418E-3</v>
      </c>
      <c r="M54">
        <v>1.60335E-4</v>
      </c>
      <c r="N54" s="5">
        <v>7.5383700000000001E-5</v>
      </c>
      <c r="O54" s="5">
        <v>2.6840400000000001E-5</v>
      </c>
      <c r="P54" s="5">
        <v>5.5498699999999996E-6</v>
      </c>
      <c r="R54" s="3">
        <f t="shared" si="14"/>
        <v>309.54909518897006</v>
      </c>
    </row>
    <row r="55" spans="2:18" x14ac:dyDescent="0.4">
      <c r="B55">
        <v>320.96499999999997</v>
      </c>
      <c r="C55">
        <v>107.895</v>
      </c>
      <c r="D55">
        <v>52.983199999999997</v>
      </c>
      <c r="E55">
        <v>8.5431299999999997</v>
      </c>
      <c r="F55">
        <v>2.1565599999999998</v>
      </c>
      <c r="G55">
        <v>0.75910100000000003</v>
      </c>
      <c r="H55">
        <v>9.6815300000000007E-2</v>
      </c>
      <c r="I55">
        <v>5.8307100000000001E-2</v>
      </c>
      <c r="J55">
        <v>2.8212300000000001E-3</v>
      </c>
      <c r="K55">
        <v>9.8425399999999994E-4</v>
      </c>
      <c r="L55">
        <v>2.4592599999999999E-4</v>
      </c>
      <c r="M55" s="5">
        <v>1.34355E-5</v>
      </c>
      <c r="N55" s="5">
        <v>5.6780700000000003E-6</v>
      </c>
      <c r="O55" s="5">
        <v>8.8104700000000004E-7</v>
      </c>
      <c r="P55" s="5">
        <v>1.07898E-7</v>
      </c>
      <c r="R55" s="3">
        <f t="shared" si="14"/>
        <v>493.46118491251502</v>
      </c>
    </row>
    <row r="56" spans="2:18" x14ac:dyDescent="0.4">
      <c r="B56">
        <v>319.93799999999999</v>
      </c>
      <c r="C56">
        <v>94.535200000000003</v>
      </c>
      <c r="D56">
        <v>53.106400000000001</v>
      </c>
      <c r="E56">
        <v>9.5116499999999995</v>
      </c>
      <c r="F56">
        <v>1.7337199999999999</v>
      </c>
      <c r="G56">
        <v>0.60239600000000004</v>
      </c>
      <c r="H56">
        <v>0.112332</v>
      </c>
      <c r="I56">
        <v>5.76961E-2</v>
      </c>
      <c r="J56">
        <v>3.1417400000000001E-3</v>
      </c>
      <c r="K56">
        <v>1.5648999999999999E-3</v>
      </c>
      <c r="L56">
        <v>3.3478199999999999E-4</v>
      </c>
      <c r="M56" s="5">
        <v>1.7765799999999999E-5</v>
      </c>
      <c r="N56" s="5">
        <v>6.19695E-6</v>
      </c>
      <c r="O56" s="5">
        <v>1.0295099999999999E-6</v>
      </c>
      <c r="P56" s="5">
        <v>1.4820299999999999E-7</v>
      </c>
      <c r="R56" s="3">
        <f t="shared" si="14"/>
        <v>479.60246066246293</v>
      </c>
    </row>
    <row r="57" spans="2:18" x14ac:dyDescent="0.4">
      <c r="B57">
        <v>219.50800000000001</v>
      </c>
      <c r="C57">
        <v>85.088099999999997</v>
      </c>
      <c r="D57">
        <v>43.517699999999998</v>
      </c>
      <c r="E57">
        <v>10.511900000000001</v>
      </c>
      <c r="F57">
        <v>1.3107800000000001</v>
      </c>
      <c r="G57">
        <v>0.64795999999999998</v>
      </c>
      <c r="H57">
        <v>9.4700699999999999E-2</v>
      </c>
      <c r="I57">
        <v>4.9274699999999998E-2</v>
      </c>
      <c r="J57">
        <v>1.55101E-3</v>
      </c>
      <c r="K57">
        <v>1.32069E-3</v>
      </c>
      <c r="L57">
        <v>2.7689000000000001E-4</v>
      </c>
      <c r="M57" s="5">
        <v>1.8983699999999999E-5</v>
      </c>
      <c r="N57" s="5">
        <v>5.3340500000000002E-6</v>
      </c>
      <c r="O57" s="5">
        <v>8.7289799999999999E-7</v>
      </c>
      <c r="P57" s="5">
        <v>1.32287E-7</v>
      </c>
      <c r="R57" s="3">
        <f t="shared" si="14"/>
        <v>360.73158931293506</v>
      </c>
    </row>
    <row r="58" spans="2:18" x14ac:dyDescent="0.4">
      <c r="B58">
        <v>271.35399999999998</v>
      </c>
      <c r="C58">
        <v>120.289</v>
      </c>
      <c r="D58">
        <v>64.036299999999997</v>
      </c>
      <c r="E58">
        <v>8.3822299999999998</v>
      </c>
      <c r="F58">
        <v>2.4500299999999999</v>
      </c>
      <c r="G58">
        <v>0.66307000000000005</v>
      </c>
      <c r="H58">
        <v>6.2308299999999997E-2</v>
      </c>
      <c r="I58">
        <v>3.8393299999999998E-2</v>
      </c>
      <c r="J58">
        <v>1.71087E-3</v>
      </c>
      <c r="K58">
        <v>5.6646699999999997E-4</v>
      </c>
      <c r="L58" s="5">
        <v>7.7869700000000004E-5</v>
      </c>
      <c r="M58" s="5">
        <v>3.6531400000000001E-6</v>
      </c>
      <c r="N58" s="5">
        <v>9.3127999999999996E-7</v>
      </c>
      <c r="O58" s="5">
        <v>1.48864E-7</v>
      </c>
      <c r="P58" s="5">
        <v>1.06465E-8</v>
      </c>
      <c r="R58" s="3">
        <f t="shared" si="14"/>
        <v>467.27769155063049</v>
      </c>
    </row>
    <row r="59" spans="2:18" x14ac:dyDescent="0.4">
      <c r="B59">
        <v>381.601</v>
      </c>
      <c r="C59">
        <v>164.11</v>
      </c>
      <c r="D59">
        <v>55.409300000000002</v>
      </c>
      <c r="E59">
        <v>13.2317</v>
      </c>
      <c r="F59">
        <v>4.4191900000000004</v>
      </c>
      <c r="G59">
        <v>1.65964</v>
      </c>
      <c r="H59">
        <v>0.24832599999999999</v>
      </c>
      <c r="I59">
        <v>0.20946500000000001</v>
      </c>
      <c r="J59">
        <v>1.9503599999999999E-2</v>
      </c>
      <c r="K59">
        <v>7.5648299999999998E-3</v>
      </c>
      <c r="L59">
        <v>3.48147E-3</v>
      </c>
      <c r="M59">
        <v>2.1850299999999999E-4</v>
      </c>
      <c r="N59">
        <v>1.60008E-4</v>
      </c>
      <c r="O59" s="5">
        <v>2.5995100000000001E-5</v>
      </c>
      <c r="P59" s="5">
        <v>6.8219300000000003E-6</v>
      </c>
      <c r="R59" s="3">
        <f t="shared" si="14"/>
        <v>620.91958222803009</v>
      </c>
    </row>
    <row r="60" spans="2:18" x14ac:dyDescent="0.4">
      <c r="B60">
        <v>328.85700000000003</v>
      </c>
      <c r="C60">
        <v>102.211</v>
      </c>
      <c r="D60">
        <v>47.727699999999999</v>
      </c>
      <c r="E60">
        <v>9.9212399999999992</v>
      </c>
      <c r="F60">
        <v>2.6739000000000002</v>
      </c>
      <c r="G60">
        <v>0.77823699999999996</v>
      </c>
      <c r="H60">
        <v>0.17463500000000001</v>
      </c>
      <c r="I60">
        <v>0.120772</v>
      </c>
      <c r="J60">
        <v>9.8168400000000003E-3</v>
      </c>
      <c r="K60">
        <v>4.45657E-3</v>
      </c>
      <c r="L60">
        <v>1.40303E-3</v>
      </c>
      <c r="M60">
        <v>1.4347599999999999E-4</v>
      </c>
      <c r="N60" s="5">
        <v>5.2546000000000001E-5</v>
      </c>
      <c r="O60" s="5">
        <v>1.86798E-5</v>
      </c>
      <c r="P60" s="5">
        <v>3.0570600000000001E-6</v>
      </c>
      <c r="R60" s="3">
        <f t="shared" si="14"/>
        <v>492.48037819886002</v>
      </c>
    </row>
    <row r="61" spans="2:18" x14ac:dyDescent="0.4">
      <c r="B61">
        <v>192.85400000000001</v>
      </c>
      <c r="C61">
        <v>125.34699999999999</v>
      </c>
      <c r="D61">
        <v>47.021500000000003</v>
      </c>
      <c r="E61">
        <v>8.3368599999999997</v>
      </c>
      <c r="F61">
        <v>2.0893899999999999</v>
      </c>
      <c r="G61">
        <v>0.57426699999999997</v>
      </c>
      <c r="H61">
        <v>5.7045199999999997E-2</v>
      </c>
      <c r="I61">
        <v>4.03583E-2</v>
      </c>
      <c r="J61">
        <v>2.0100999999999999E-3</v>
      </c>
      <c r="K61">
        <v>8.3476899999999996E-4</v>
      </c>
      <c r="L61">
        <v>2.0628399999999999E-4</v>
      </c>
      <c r="M61" s="5">
        <v>1.2470799999999999E-5</v>
      </c>
      <c r="N61" s="5">
        <v>3.1447999999999999E-6</v>
      </c>
      <c r="O61" s="5">
        <v>5.5290300000000001E-7</v>
      </c>
      <c r="P61" s="5">
        <v>6.3533399999999999E-8</v>
      </c>
      <c r="R61" s="3">
        <f t="shared" si="14"/>
        <v>376.3234878850364</v>
      </c>
    </row>
    <row r="62" spans="2:18" x14ac:dyDescent="0.4">
      <c r="B62">
        <v>198.80699999999999</v>
      </c>
      <c r="C62">
        <v>99.983400000000003</v>
      </c>
      <c r="D62">
        <v>46.634599999999999</v>
      </c>
      <c r="E62">
        <v>8.8354400000000002</v>
      </c>
      <c r="F62">
        <v>2.11172</v>
      </c>
      <c r="G62">
        <v>0.68504699999999996</v>
      </c>
      <c r="H62">
        <v>0.131853</v>
      </c>
      <c r="I62">
        <v>9.7966300000000006E-2</v>
      </c>
      <c r="J62">
        <v>9.1819999999999992E-3</v>
      </c>
      <c r="K62">
        <v>3.5895200000000001E-3</v>
      </c>
      <c r="L62">
        <v>9.0885E-4</v>
      </c>
      <c r="M62" s="5">
        <v>7.07506E-5</v>
      </c>
      <c r="N62" s="5">
        <v>3.0491700000000001E-5</v>
      </c>
      <c r="O62" s="5">
        <v>8.3763300000000001E-6</v>
      </c>
      <c r="P62" s="5">
        <v>1.30714E-6</v>
      </c>
      <c r="R62" s="3">
        <f t="shared" si="14"/>
        <v>357.3008175957699</v>
      </c>
    </row>
    <row r="63" spans="2:18" x14ac:dyDescent="0.4">
      <c r="B63">
        <v>182.126</v>
      </c>
      <c r="C63">
        <v>144.82599999999999</v>
      </c>
      <c r="D63">
        <v>61.862400000000001</v>
      </c>
      <c r="E63">
        <v>11.060700000000001</v>
      </c>
      <c r="F63">
        <v>2.0013200000000002</v>
      </c>
      <c r="G63">
        <v>0.69359199999999999</v>
      </c>
      <c r="H63">
        <v>7.7925900000000006E-2</v>
      </c>
      <c r="I63">
        <v>2.9848099999999999E-2</v>
      </c>
      <c r="J63">
        <v>1.0557800000000001E-3</v>
      </c>
      <c r="K63">
        <v>3.2244499999999998E-4</v>
      </c>
      <c r="L63" s="5">
        <v>4.2378900000000002E-5</v>
      </c>
      <c r="M63" s="5">
        <v>1.5081499999999999E-6</v>
      </c>
      <c r="N63" s="5">
        <v>3.8019799999999997E-7</v>
      </c>
      <c r="O63" s="5">
        <v>3.6824300000000002E-8</v>
      </c>
      <c r="P63" s="5">
        <v>2.2711300000000002E-9</v>
      </c>
      <c r="R63" s="3">
        <f t="shared" si="14"/>
        <v>402.67920853134342</v>
      </c>
    </row>
    <row r="64" spans="2:18" x14ac:dyDescent="0.4">
      <c r="B64">
        <v>464.92500000000001</v>
      </c>
      <c r="C64">
        <v>127.184</v>
      </c>
      <c r="D64">
        <v>55.951500000000003</v>
      </c>
      <c r="E64">
        <v>11.775499999999999</v>
      </c>
      <c r="F64">
        <v>2.2191900000000002</v>
      </c>
      <c r="G64">
        <v>0.79763200000000001</v>
      </c>
      <c r="H64">
        <v>8.8242100000000004E-2</v>
      </c>
      <c r="I64">
        <v>4.8109399999999997E-2</v>
      </c>
      <c r="J64">
        <v>2.1925500000000001E-3</v>
      </c>
      <c r="K64">
        <v>8.0693099999999999E-4</v>
      </c>
      <c r="L64">
        <v>1.2569E-4</v>
      </c>
      <c r="M64" s="5">
        <v>6.6682300000000004E-6</v>
      </c>
      <c r="N64" s="5">
        <v>1.62278E-6</v>
      </c>
      <c r="O64" s="5">
        <v>1.59059E-7</v>
      </c>
      <c r="P64" s="5">
        <v>1.60728E-8</v>
      </c>
      <c r="R64" s="3">
        <f t="shared" si="14"/>
        <v>662.99230713714201</v>
      </c>
    </row>
    <row r="65" spans="2:18" x14ac:dyDescent="0.4">
      <c r="B65">
        <v>261.46699999999998</v>
      </c>
      <c r="C65">
        <v>148.43899999999999</v>
      </c>
      <c r="D65">
        <v>67.3245</v>
      </c>
      <c r="E65">
        <v>10.972099999999999</v>
      </c>
      <c r="F65">
        <v>2.88043</v>
      </c>
      <c r="G65">
        <v>1.1043400000000001</v>
      </c>
      <c r="H65">
        <v>0.21662400000000001</v>
      </c>
      <c r="I65">
        <v>0.16824700000000001</v>
      </c>
      <c r="J65">
        <v>1.4399500000000001E-2</v>
      </c>
      <c r="K65">
        <v>6.1829500000000004E-3</v>
      </c>
      <c r="L65">
        <v>2.1947300000000002E-3</v>
      </c>
      <c r="M65">
        <v>1.4171100000000001E-4</v>
      </c>
      <c r="N65" s="5">
        <v>9.6813799999999998E-5</v>
      </c>
      <c r="O65" s="5">
        <v>2.4339099999999999E-5</v>
      </c>
      <c r="P65" s="5">
        <v>5.1465200000000003E-6</v>
      </c>
      <c r="R65" s="3">
        <f t="shared" si="14"/>
        <v>492.59528619041993</v>
      </c>
    </row>
    <row r="66" spans="2:18" x14ac:dyDescent="0.4">
      <c r="B66">
        <v>245.46700000000001</v>
      </c>
      <c r="C66">
        <v>104.544</v>
      </c>
      <c r="D66">
        <v>56.070099999999996</v>
      </c>
      <c r="E66">
        <v>7.3712099999999996</v>
      </c>
      <c r="F66">
        <v>2.9322599999999999</v>
      </c>
      <c r="G66">
        <v>1.2061500000000001</v>
      </c>
      <c r="H66">
        <v>0.17844099999999999</v>
      </c>
      <c r="I66">
        <v>0.164158</v>
      </c>
      <c r="J66">
        <v>1.60438E-2</v>
      </c>
      <c r="K66">
        <v>6.9128000000000002E-3</v>
      </c>
      <c r="L66">
        <v>3.1647099999999998E-3</v>
      </c>
      <c r="M66">
        <v>3.1375199999999999E-4</v>
      </c>
      <c r="N66">
        <v>1.91168E-4</v>
      </c>
      <c r="O66" s="5">
        <v>7.1858499999999996E-5</v>
      </c>
      <c r="P66" s="5">
        <v>1.5194100000000001E-5</v>
      </c>
      <c r="R66" s="3">
        <f t="shared" si="14"/>
        <v>417.96003228260003</v>
      </c>
    </row>
    <row r="67" spans="2:18" x14ac:dyDescent="0.4">
      <c r="B67">
        <v>210.911</v>
      </c>
      <c r="C67">
        <v>89.765699999999995</v>
      </c>
      <c r="D67">
        <v>51.602800000000002</v>
      </c>
      <c r="E67">
        <v>7.1928599999999996</v>
      </c>
      <c r="F67">
        <v>1.6030800000000001</v>
      </c>
      <c r="G67">
        <v>0.634965</v>
      </c>
      <c r="H67">
        <v>9.48045E-2</v>
      </c>
      <c r="I67">
        <v>3.9554899999999997E-2</v>
      </c>
      <c r="J67">
        <v>2.1600399999999998E-3</v>
      </c>
      <c r="K67">
        <v>1.0947299999999999E-3</v>
      </c>
      <c r="L67">
        <v>2.35281E-4</v>
      </c>
      <c r="M67" s="5">
        <v>1.2498500000000001E-5</v>
      </c>
      <c r="N67" s="5">
        <v>6.96042E-6</v>
      </c>
      <c r="O67" s="5">
        <v>1.2394599999999999E-6</v>
      </c>
      <c r="P67" s="5">
        <v>2.11448E-7</v>
      </c>
      <c r="R67" s="3">
        <f t="shared" si="14"/>
        <v>361.84827536082798</v>
      </c>
    </row>
    <row r="68" spans="2:18" x14ac:dyDescent="0.4">
      <c r="B68">
        <v>395.33</v>
      </c>
      <c r="C68">
        <v>123.499</v>
      </c>
      <c r="D68">
        <v>56.667400000000001</v>
      </c>
      <c r="E68">
        <v>12.138299999999999</v>
      </c>
      <c r="F68">
        <v>4.2092499999999999</v>
      </c>
      <c r="G68">
        <v>1.7725500000000001</v>
      </c>
      <c r="H68">
        <v>0.316409</v>
      </c>
      <c r="I68">
        <v>0.253639</v>
      </c>
      <c r="J68">
        <v>2.0076699999999999E-2</v>
      </c>
      <c r="K68">
        <v>1.3219699999999999E-2</v>
      </c>
      <c r="L68">
        <v>3.9617699999999999E-3</v>
      </c>
      <c r="M68">
        <v>6.0706200000000001E-4</v>
      </c>
      <c r="N68">
        <v>1.8139999999999999E-4</v>
      </c>
      <c r="O68" s="5">
        <v>5.859E-5</v>
      </c>
      <c r="P68" s="5">
        <v>1.2590500000000001E-5</v>
      </c>
      <c r="R68" s="3">
        <f t="shared" si="14"/>
        <v>594.22466581250001</v>
      </c>
    </row>
    <row r="69" spans="2:18" x14ac:dyDescent="0.4">
      <c r="B69">
        <v>244.97399999999999</v>
      </c>
      <c r="C69">
        <v>119.34699999999999</v>
      </c>
      <c r="D69">
        <v>57.465499999999999</v>
      </c>
      <c r="E69">
        <v>10.222099999999999</v>
      </c>
      <c r="F69">
        <v>1.96191</v>
      </c>
      <c r="G69">
        <v>0.45828999999999998</v>
      </c>
      <c r="H69">
        <v>7.0291999999999993E-2</v>
      </c>
      <c r="I69">
        <v>3.1895699999999999E-2</v>
      </c>
      <c r="J69">
        <v>3.04557E-3</v>
      </c>
      <c r="K69">
        <v>6.9905399999999995E-4</v>
      </c>
      <c r="L69">
        <v>1.8093300000000001E-4</v>
      </c>
      <c r="M69" s="5">
        <v>8.3360100000000002E-6</v>
      </c>
      <c r="N69" s="5">
        <v>2.47733E-6</v>
      </c>
      <c r="O69" s="5">
        <v>3.8897000000000002E-7</v>
      </c>
      <c r="P69" s="5">
        <v>3.9028800000000001E-8</v>
      </c>
      <c r="R69" s="3">
        <f t="shared" si="14"/>
        <v>434.5349244983388</v>
      </c>
    </row>
    <row r="70" spans="2:18" x14ac:dyDescent="0.4">
      <c r="B70">
        <v>231.56899999999999</v>
      </c>
      <c r="C70">
        <v>91.664400000000001</v>
      </c>
      <c r="D70">
        <v>49.893900000000002</v>
      </c>
      <c r="E70">
        <v>11.012600000000001</v>
      </c>
      <c r="F70">
        <v>1.5074799999999999</v>
      </c>
      <c r="G70">
        <v>0.71810300000000005</v>
      </c>
      <c r="H70">
        <v>0.103377</v>
      </c>
      <c r="I70">
        <v>4.3794300000000001E-2</v>
      </c>
      <c r="J70">
        <v>3.0548900000000002E-3</v>
      </c>
      <c r="K70">
        <v>7.5735199999999998E-4</v>
      </c>
      <c r="L70">
        <v>1.91564E-4</v>
      </c>
      <c r="M70" s="5">
        <v>8.7386899999999992E-6</v>
      </c>
      <c r="N70" s="5">
        <v>3.1581400000000001E-6</v>
      </c>
      <c r="O70" s="5">
        <v>3.7958499999999999E-7</v>
      </c>
      <c r="P70" s="5">
        <v>4.1828899999999998E-8</v>
      </c>
      <c r="R70" s="3">
        <f t="shared" si="14"/>
        <v>386.51667042424384</v>
      </c>
    </row>
    <row r="71" spans="2:18" x14ac:dyDescent="0.4">
      <c r="B71">
        <v>322.46899999999999</v>
      </c>
      <c r="C71">
        <v>80.861999999999995</v>
      </c>
      <c r="D71">
        <v>60.710500000000003</v>
      </c>
      <c r="E71">
        <v>9.3779599999999999</v>
      </c>
      <c r="F71">
        <v>2.42089</v>
      </c>
      <c r="G71">
        <v>0.75989499999999999</v>
      </c>
      <c r="H71">
        <v>7.9785099999999998E-2</v>
      </c>
      <c r="I71">
        <v>4.0393199999999997E-2</v>
      </c>
      <c r="J71">
        <v>2.8166900000000002E-3</v>
      </c>
      <c r="K71">
        <v>7.3212699999999995E-4</v>
      </c>
      <c r="L71">
        <v>1.65945E-4</v>
      </c>
      <c r="M71" s="5">
        <v>9.37213E-6</v>
      </c>
      <c r="N71" s="5">
        <v>2.0061499999999998E-6</v>
      </c>
      <c r="O71" s="5">
        <v>3.09672E-7</v>
      </c>
      <c r="P71" s="5">
        <v>3.1243200000000001E-8</v>
      </c>
      <c r="R71" s="3">
        <f t="shared" si="14"/>
        <v>476.72414978119508</v>
      </c>
    </row>
    <row r="72" spans="2:18" x14ac:dyDescent="0.4">
      <c r="B72">
        <v>201.79900000000001</v>
      </c>
      <c r="C72">
        <v>123.622</v>
      </c>
      <c r="D72">
        <v>58.061</v>
      </c>
      <c r="E72">
        <v>7.8023999999999996</v>
      </c>
      <c r="F72">
        <v>3.0615600000000001</v>
      </c>
      <c r="G72">
        <v>1.28714</v>
      </c>
      <c r="H72">
        <v>0.17821100000000001</v>
      </c>
      <c r="I72">
        <v>0.12906400000000001</v>
      </c>
      <c r="J72">
        <v>1.04355E-2</v>
      </c>
      <c r="K72">
        <v>5.7523399999999999E-3</v>
      </c>
      <c r="L72">
        <v>1.8095400000000001E-3</v>
      </c>
      <c r="M72">
        <v>1.31338E-4</v>
      </c>
      <c r="N72" s="5">
        <v>8.1057799999999995E-5</v>
      </c>
      <c r="O72" s="5">
        <v>1.93702E-5</v>
      </c>
      <c r="P72" s="5">
        <v>4.3355700000000001E-6</v>
      </c>
      <c r="R72" s="3">
        <f t="shared" si="14"/>
        <v>395.95860848157002</v>
      </c>
    </row>
    <row r="73" spans="2:18" x14ac:dyDescent="0.4">
      <c r="B73">
        <v>304.37900000000002</v>
      </c>
      <c r="C73">
        <v>78.715100000000007</v>
      </c>
      <c r="D73">
        <v>52.789099999999998</v>
      </c>
      <c r="E73">
        <v>10.188800000000001</v>
      </c>
      <c r="F73">
        <v>3.0040200000000001</v>
      </c>
      <c r="G73">
        <v>0.94641299999999995</v>
      </c>
      <c r="H73">
        <v>0.115552</v>
      </c>
      <c r="I73">
        <v>0.109139</v>
      </c>
      <c r="J73">
        <v>8.3120199999999998E-3</v>
      </c>
      <c r="K73">
        <v>3.3239699999999999E-3</v>
      </c>
      <c r="L73">
        <v>1.33012E-3</v>
      </c>
      <c r="M73" s="5">
        <v>9.32081E-5</v>
      </c>
      <c r="N73" s="5">
        <v>4.0099099999999997E-5</v>
      </c>
      <c r="O73" s="5">
        <v>1.0717600000000001E-5</v>
      </c>
      <c r="P73" s="5">
        <v>1.7630600000000001E-6</v>
      </c>
      <c r="R73" s="3">
        <f t="shared" si="14"/>
        <v>450.26023589786007</v>
      </c>
    </row>
    <row r="74" spans="2:18" x14ac:dyDescent="0.4">
      <c r="B74">
        <v>293.589</v>
      </c>
      <c r="C74">
        <v>136.148</v>
      </c>
      <c r="D74">
        <v>65.863900000000001</v>
      </c>
      <c r="E74">
        <v>10.3339</v>
      </c>
      <c r="F74">
        <v>2.9294600000000002</v>
      </c>
      <c r="G74">
        <v>0.96998099999999998</v>
      </c>
      <c r="H74">
        <v>0.104994</v>
      </c>
      <c r="I74">
        <v>8.6588499999999999E-2</v>
      </c>
      <c r="J74">
        <v>4.8242500000000004E-3</v>
      </c>
      <c r="K74">
        <v>1.69086E-3</v>
      </c>
      <c r="L74">
        <v>4.2513400000000003E-4</v>
      </c>
      <c r="M74" s="5">
        <v>2.9413000000000001E-5</v>
      </c>
      <c r="N74" s="5">
        <v>9.5981799999999993E-6</v>
      </c>
      <c r="O74" s="5">
        <v>1.41441E-6</v>
      </c>
      <c r="P74" s="5">
        <v>1.5333599999999999E-7</v>
      </c>
      <c r="R74" s="3">
        <f t="shared" si="14"/>
        <v>510.03280432292598</v>
      </c>
    </row>
    <row r="75" spans="2:18" x14ac:dyDescent="0.4">
      <c r="B75">
        <v>322.85399999999998</v>
      </c>
      <c r="C75">
        <v>79.697400000000002</v>
      </c>
      <c r="D75">
        <v>47.936199999999999</v>
      </c>
      <c r="E75">
        <v>10.217000000000001</v>
      </c>
      <c r="F75">
        <v>2.7825799999999998</v>
      </c>
      <c r="G75">
        <v>0.955094</v>
      </c>
      <c r="H75">
        <v>0.16598399999999999</v>
      </c>
      <c r="I75">
        <v>0.13484099999999999</v>
      </c>
      <c r="J75">
        <v>1.03836E-2</v>
      </c>
      <c r="K75">
        <v>6.0063800000000004E-3</v>
      </c>
      <c r="L75">
        <v>1.8217800000000001E-3</v>
      </c>
      <c r="M75">
        <v>1.3028700000000001E-4</v>
      </c>
      <c r="N75" s="5">
        <v>5.3598799999999999E-5</v>
      </c>
      <c r="O75" s="5">
        <v>1.84033E-5</v>
      </c>
      <c r="P75" s="5">
        <v>4.0245500000000003E-6</v>
      </c>
      <c r="R75" s="3">
        <f t="shared" si="14"/>
        <v>464.76151707364983</v>
      </c>
    </row>
    <row r="76" spans="2:18" x14ac:dyDescent="0.4">
      <c r="B76">
        <v>360.45499999999998</v>
      </c>
      <c r="C76">
        <v>102.733</v>
      </c>
      <c r="D76">
        <v>56.167999999999999</v>
      </c>
      <c r="E76">
        <v>7.6590600000000002</v>
      </c>
      <c r="F76">
        <v>2.31541</v>
      </c>
      <c r="G76">
        <v>0.67229499999999998</v>
      </c>
      <c r="H76">
        <v>0.11545</v>
      </c>
      <c r="I76">
        <v>7.4038800000000002E-2</v>
      </c>
      <c r="J76">
        <v>4.9762499999999998E-3</v>
      </c>
      <c r="K76">
        <v>3.0470100000000002E-3</v>
      </c>
      <c r="L76">
        <v>9.0975300000000002E-4</v>
      </c>
      <c r="M76" s="5">
        <v>7.6907899999999996E-5</v>
      </c>
      <c r="N76" s="5">
        <v>3.6551599999999997E-5</v>
      </c>
      <c r="O76" s="5">
        <v>6.2684500000000001E-6</v>
      </c>
      <c r="P76" s="5">
        <v>1.12275E-6</v>
      </c>
      <c r="R76" s="3">
        <f t="shared" si="14"/>
        <v>530.20130766370005</v>
      </c>
    </row>
    <row r="77" spans="2:18" x14ac:dyDescent="0.4">
      <c r="B77">
        <v>294.61399999999998</v>
      </c>
      <c r="C77">
        <v>106.396</v>
      </c>
      <c r="D77">
        <v>50.033000000000001</v>
      </c>
      <c r="E77">
        <v>12.1287</v>
      </c>
      <c r="F77">
        <v>2.3692199999999999</v>
      </c>
      <c r="G77">
        <v>0.879606</v>
      </c>
      <c r="H77">
        <v>0.10381600000000001</v>
      </c>
      <c r="I77">
        <v>5.8411400000000002E-2</v>
      </c>
      <c r="J77">
        <v>2.18074E-3</v>
      </c>
      <c r="K77">
        <v>1.0753799999999999E-3</v>
      </c>
      <c r="L77">
        <v>1.9857499999999999E-4</v>
      </c>
      <c r="M77" s="5">
        <v>8.9846700000000002E-6</v>
      </c>
      <c r="N77" s="5">
        <v>2.9998500000000002E-6</v>
      </c>
      <c r="O77" s="5">
        <v>3.5189499999999999E-7</v>
      </c>
      <c r="P77" s="5">
        <v>3.6942500000000001E-8</v>
      </c>
      <c r="R77" s="3">
        <f t="shared" si="14"/>
        <v>466.5862204683574</v>
      </c>
    </row>
    <row r="78" spans="2:18" x14ac:dyDescent="0.4">
      <c r="B78">
        <v>399.04599999999999</v>
      </c>
      <c r="C78">
        <v>82.683999999999997</v>
      </c>
      <c r="D78">
        <v>48.914900000000003</v>
      </c>
      <c r="E78">
        <v>7.6987899999999998</v>
      </c>
      <c r="F78">
        <v>1.8508</v>
      </c>
      <c r="G78">
        <v>0.60985800000000001</v>
      </c>
      <c r="H78">
        <v>8.8967000000000004E-2</v>
      </c>
      <c r="I78">
        <v>6.6226300000000002E-2</v>
      </c>
      <c r="J78">
        <v>3.6313199999999999E-3</v>
      </c>
      <c r="K78">
        <v>1.97986E-3</v>
      </c>
      <c r="L78">
        <v>6.4888700000000001E-4</v>
      </c>
      <c r="M78" s="5">
        <v>4.4793499999999997E-5</v>
      </c>
      <c r="N78" s="5">
        <v>3.34966E-5</v>
      </c>
      <c r="O78" s="5">
        <v>7.97327E-6</v>
      </c>
      <c r="P78" s="5">
        <v>2.0028699999999999E-6</v>
      </c>
      <c r="R78" s="3">
        <f t="shared" si="14"/>
        <v>540.96588963324029</v>
      </c>
    </row>
    <row r="79" spans="2:18" x14ac:dyDescent="0.4">
      <c r="B79">
        <v>311.66899999999998</v>
      </c>
      <c r="C79">
        <v>102.71899999999999</v>
      </c>
      <c r="D79">
        <v>42.529000000000003</v>
      </c>
      <c r="E79">
        <v>8.1203299999999992</v>
      </c>
      <c r="F79">
        <v>2.8934600000000001</v>
      </c>
      <c r="G79">
        <v>0.87987000000000004</v>
      </c>
      <c r="H79">
        <v>0.143707</v>
      </c>
      <c r="I79">
        <v>0.10192900000000001</v>
      </c>
      <c r="J79">
        <v>6.61138E-3</v>
      </c>
      <c r="K79">
        <v>4.0962799999999999E-3</v>
      </c>
      <c r="L79">
        <v>1.54138E-3</v>
      </c>
      <c r="M79">
        <v>1.1634E-4</v>
      </c>
      <c r="N79" s="5">
        <v>8.3732200000000004E-5</v>
      </c>
      <c r="O79" s="5">
        <v>2.5681999999999999E-5</v>
      </c>
      <c r="P79" s="5">
        <v>5.2418499999999996E-6</v>
      </c>
      <c r="R79" s="3">
        <f t="shared" si="14"/>
        <v>469.06877603604988</v>
      </c>
    </row>
    <row r="80" spans="2:18" x14ac:dyDescent="0.4">
      <c r="B80">
        <v>427.98</v>
      </c>
      <c r="C80">
        <v>119.565</v>
      </c>
      <c r="D80">
        <v>55.488100000000003</v>
      </c>
      <c r="E80">
        <v>9.1024700000000003</v>
      </c>
      <c r="F80">
        <v>3.3151600000000001</v>
      </c>
      <c r="G80">
        <v>0.85147300000000004</v>
      </c>
      <c r="H80">
        <v>0.143041</v>
      </c>
      <c r="I80">
        <v>9.7793500000000005E-2</v>
      </c>
      <c r="J80">
        <v>5.6965899999999996E-3</v>
      </c>
      <c r="K80">
        <v>3.6013400000000002E-3</v>
      </c>
      <c r="L80">
        <v>8.7036399999999999E-4</v>
      </c>
      <c r="M80" s="5">
        <v>5.7928199999999999E-5</v>
      </c>
      <c r="N80" s="5">
        <v>2.5880700000000001E-5</v>
      </c>
      <c r="O80" s="5">
        <v>6.7115500000000001E-6</v>
      </c>
      <c r="P80" s="5">
        <v>9.9239099999999998E-7</v>
      </c>
      <c r="R80" s="3">
        <f t="shared" si="14"/>
        <v>616.55329730684127</v>
      </c>
    </row>
    <row r="81" spans="2:18" x14ac:dyDescent="0.4">
      <c r="B81">
        <v>184.83199999999999</v>
      </c>
      <c r="C81">
        <v>91.8673</v>
      </c>
      <c r="D81">
        <v>41.346600000000002</v>
      </c>
      <c r="E81">
        <v>8.5905299999999993</v>
      </c>
      <c r="F81">
        <v>2.2440799999999999</v>
      </c>
      <c r="G81">
        <v>0.90015500000000004</v>
      </c>
      <c r="H81">
        <v>0.13597300000000001</v>
      </c>
      <c r="I81">
        <v>0.111069</v>
      </c>
      <c r="J81">
        <v>9.5351199999999994E-3</v>
      </c>
      <c r="K81">
        <v>4.3118499999999999E-3</v>
      </c>
      <c r="L81">
        <v>1.5887399999999999E-3</v>
      </c>
      <c r="M81">
        <v>1.4730799999999999E-4</v>
      </c>
      <c r="N81" s="5">
        <v>9.9925899999999998E-5</v>
      </c>
      <c r="O81" s="5">
        <v>2.1197999999999999E-5</v>
      </c>
      <c r="P81" s="5">
        <v>5.5877400000000001E-6</v>
      </c>
      <c r="R81" s="3">
        <f t="shared" si="14"/>
        <v>330.04341672964</v>
      </c>
    </row>
    <row r="82" spans="2:18" x14ac:dyDescent="0.4">
      <c r="B82">
        <v>217.27699999999999</v>
      </c>
      <c r="C82">
        <v>97.812100000000001</v>
      </c>
      <c r="D82">
        <v>55.849800000000002</v>
      </c>
      <c r="E82">
        <v>7.8543799999999999</v>
      </c>
      <c r="F82">
        <v>2.9119299999999999</v>
      </c>
      <c r="G82">
        <v>0.74478900000000003</v>
      </c>
      <c r="H82">
        <v>0.11315600000000001</v>
      </c>
      <c r="I82">
        <v>6.7095799999999997E-2</v>
      </c>
      <c r="J82">
        <v>4.3122600000000001E-3</v>
      </c>
      <c r="K82">
        <v>1.9754899999999999E-3</v>
      </c>
      <c r="L82">
        <v>4.7676400000000002E-4</v>
      </c>
      <c r="M82" s="5">
        <v>3.4090200000000001E-5</v>
      </c>
      <c r="N82" s="5">
        <v>1.1087899999999999E-5</v>
      </c>
      <c r="O82" s="5">
        <v>1.9367099999999999E-6</v>
      </c>
      <c r="P82" s="5">
        <v>2.5795099999999998E-7</v>
      </c>
      <c r="R82" s="3">
        <f t="shared" si="14"/>
        <v>382.63706268676106</v>
      </c>
    </row>
    <row r="83" spans="2:18" x14ac:dyDescent="0.4">
      <c r="B83">
        <v>200.99199999999999</v>
      </c>
      <c r="C83">
        <v>65.923199999999994</v>
      </c>
      <c r="D83">
        <v>38.441200000000002</v>
      </c>
      <c r="E83">
        <v>5.7700100000000001</v>
      </c>
      <c r="F83">
        <v>1.84673</v>
      </c>
      <c r="G83">
        <v>0.63830600000000004</v>
      </c>
      <c r="H83">
        <v>6.1373400000000002E-2</v>
      </c>
      <c r="I83">
        <v>6.12112E-2</v>
      </c>
      <c r="J83">
        <v>2.6949399999999998E-3</v>
      </c>
      <c r="K83">
        <v>1.7701500000000001E-3</v>
      </c>
      <c r="L83">
        <v>3.7500100000000002E-4</v>
      </c>
      <c r="M83" s="5">
        <v>2.67241E-5</v>
      </c>
      <c r="N83" s="5">
        <v>1.25384E-5</v>
      </c>
      <c r="O83" s="5">
        <v>2.8700200000000002E-6</v>
      </c>
      <c r="P83" s="5">
        <v>4.99464E-7</v>
      </c>
      <c r="R83" s="3">
        <f t="shared" si="14"/>
        <v>313.73891332298399</v>
      </c>
    </row>
    <row r="84" spans="2:18" x14ac:dyDescent="0.4">
      <c r="B84">
        <v>259.42</v>
      </c>
      <c r="C84">
        <v>101.58199999999999</v>
      </c>
      <c r="D84">
        <v>51.150700000000001</v>
      </c>
      <c r="E84">
        <v>9.2021999999999995</v>
      </c>
      <c r="F84">
        <v>2.6177000000000001</v>
      </c>
      <c r="G84">
        <v>1.0648200000000001</v>
      </c>
      <c r="H84">
        <v>0.10767400000000001</v>
      </c>
      <c r="I84">
        <v>8.9827400000000002E-2</v>
      </c>
      <c r="J84">
        <v>5.9368700000000003E-3</v>
      </c>
      <c r="K84">
        <v>2.6362500000000001E-3</v>
      </c>
      <c r="L84">
        <v>7.8614199999999998E-4</v>
      </c>
      <c r="M84" s="5">
        <v>4.0256400000000003E-5</v>
      </c>
      <c r="N84" s="5">
        <v>1.9604599999999999E-5</v>
      </c>
      <c r="O84" s="5">
        <v>4.8930100000000003E-6</v>
      </c>
      <c r="P84" s="5">
        <v>8.3351299999999998E-7</v>
      </c>
      <c r="R84" s="3">
        <f t="shared" si="14"/>
        <v>425.24434624952301</v>
      </c>
    </row>
    <row r="85" spans="2:18" x14ac:dyDescent="0.4">
      <c r="B85">
        <v>274.81700000000001</v>
      </c>
      <c r="C85">
        <v>111.09399999999999</v>
      </c>
      <c r="D85">
        <v>53.197899999999997</v>
      </c>
      <c r="E85">
        <v>9.2303200000000007</v>
      </c>
      <c r="F85">
        <v>3.1163400000000001</v>
      </c>
      <c r="G85">
        <v>0.97134600000000004</v>
      </c>
      <c r="H85">
        <v>0.16367300000000001</v>
      </c>
      <c r="I85">
        <v>0.107018</v>
      </c>
      <c r="J85">
        <v>1.0096900000000001E-2</v>
      </c>
      <c r="K85">
        <v>4.6926499999999996E-3</v>
      </c>
      <c r="L85">
        <v>1.1608E-3</v>
      </c>
      <c r="M85">
        <v>1.11285E-4</v>
      </c>
      <c r="N85" s="5">
        <v>4.7255300000000001E-5</v>
      </c>
      <c r="O85" s="5">
        <v>1.48462E-5</v>
      </c>
      <c r="P85" s="5">
        <v>3.0229599999999999E-6</v>
      </c>
      <c r="R85" s="3">
        <f t="shared" si="14"/>
        <v>452.71372375945992</v>
      </c>
    </row>
    <row r="86" spans="2:18" x14ac:dyDescent="0.4">
      <c r="B86">
        <v>175.09</v>
      </c>
      <c r="C86">
        <v>76.721500000000006</v>
      </c>
      <c r="D86">
        <v>44.575099999999999</v>
      </c>
      <c r="E86">
        <v>5.0221499999999999</v>
      </c>
      <c r="F86">
        <v>2.7036799999999999</v>
      </c>
      <c r="G86">
        <v>0.74237200000000003</v>
      </c>
      <c r="H86">
        <v>0.161187</v>
      </c>
      <c r="I86">
        <v>0.10741000000000001</v>
      </c>
      <c r="J86">
        <v>8.4361799999999997E-3</v>
      </c>
      <c r="K86">
        <v>5.3232000000000002E-3</v>
      </c>
      <c r="L86">
        <v>2.8280699999999998E-3</v>
      </c>
      <c r="M86">
        <v>3.0362500000000002E-4</v>
      </c>
      <c r="N86">
        <v>2.0333300000000001E-4</v>
      </c>
      <c r="O86" s="5">
        <v>5.1362400000000001E-5</v>
      </c>
      <c r="P86" s="5">
        <v>1.5440599999999999E-5</v>
      </c>
      <c r="R86" s="3">
        <f t="shared" si="14"/>
        <v>305.14056021100009</v>
      </c>
    </row>
    <row r="87" spans="2:18" x14ac:dyDescent="0.4">
      <c r="B87">
        <v>225.64699999999999</v>
      </c>
      <c r="C87">
        <v>90.868899999999996</v>
      </c>
      <c r="D87">
        <v>37.661000000000001</v>
      </c>
      <c r="E87">
        <v>7.7262599999999999</v>
      </c>
      <c r="F87">
        <v>1.46092</v>
      </c>
      <c r="G87">
        <v>0.73880599999999996</v>
      </c>
      <c r="H87">
        <v>9.6628400000000003E-2</v>
      </c>
      <c r="I87">
        <v>9.0588699999999994E-2</v>
      </c>
      <c r="J87">
        <v>5.3051699999999997E-3</v>
      </c>
      <c r="K87">
        <v>3.8923400000000002E-3</v>
      </c>
      <c r="L87">
        <v>1.1822899999999999E-3</v>
      </c>
      <c r="M87">
        <v>1.3713700000000001E-4</v>
      </c>
      <c r="N87" s="5">
        <v>6.1353599999999995E-5</v>
      </c>
      <c r="O87" s="5">
        <v>1.27872E-5</v>
      </c>
      <c r="P87" s="5">
        <v>2.92887E-6</v>
      </c>
      <c r="R87" s="3">
        <f t="shared" si="14"/>
        <v>364.30069710666999</v>
      </c>
    </row>
    <row r="88" spans="2:18" x14ac:dyDescent="0.4">
      <c r="B88">
        <v>254.774</v>
      </c>
      <c r="C88">
        <v>121.39400000000001</v>
      </c>
      <c r="D88">
        <v>52.891100000000002</v>
      </c>
      <c r="E88">
        <v>11.678100000000001</v>
      </c>
      <c r="F88">
        <v>2.2984</v>
      </c>
      <c r="G88">
        <v>1.0672999999999999</v>
      </c>
      <c r="H88">
        <v>0.12953300000000001</v>
      </c>
      <c r="I88">
        <v>8.4206500000000004E-2</v>
      </c>
      <c r="J88">
        <v>6.2593400000000004E-3</v>
      </c>
      <c r="K88">
        <v>3.1848200000000001E-3</v>
      </c>
      <c r="L88">
        <v>7.4463700000000003E-4</v>
      </c>
      <c r="M88" s="5">
        <v>7.0222799999999995E-5</v>
      </c>
      <c r="N88" s="5">
        <v>2.4494999999999998E-5</v>
      </c>
      <c r="O88" s="5">
        <v>4.9231999999999997E-6</v>
      </c>
      <c r="P88" s="5">
        <v>7.4823600000000003E-7</v>
      </c>
      <c r="R88" s="3">
        <f t="shared" si="14"/>
        <v>444.32692868623599</v>
      </c>
    </row>
    <row r="89" spans="2:18" x14ac:dyDescent="0.4">
      <c r="B89">
        <v>395.33699999999999</v>
      </c>
      <c r="C89">
        <v>127.711</v>
      </c>
      <c r="D89">
        <v>60.156700000000001</v>
      </c>
      <c r="E89">
        <v>9.2137399999999996</v>
      </c>
      <c r="F89">
        <v>2.6119400000000002</v>
      </c>
      <c r="G89">
        <v>0.83074700000000001</v>
      </c>
      <c r="H89">
        <v>0.11833200000000001</v>
      </c>
      <c r="I89">
        <v>5.9641800000000002E-2</v>
      </c>
      <c r="J89">
        <v>3.5150899999999998E-3</v>
      </c>
      <c r="K89">
        <v>1.51212E-3</v>
      </c>
      <c r="L89">
        <v>4.3911800000000001E-4</v>
      </c>
      <c r="M89" s="5">
        <v>2.8522099999999999E-5</v>
      </c>
      <c r="N89" s="5">
        <v>1.22179E-5</v>
      </c>
      <c r="O89" s="5">
        <v>2.0984600000000001E-6</v>
      </c>
      <c r="P89" s="5">
        <v>3.25383E-7</v>
      </c>
      <c r="R89" s="3">
        <f t="shared" si="14"/>
        <v>596.04461029184301</v>
      </c>
    </row>
    <row r="90" spans="2:18" x14ac:dyDescent="0.4">
      <c r="B90">
        <v>315.75099999999998</v>
      </c>
      <c r="C90">
        <v>95.844099999999997</v>
      </c>
      <c r="D90">
        <v>55.089700000000001</v>
      </c>
      <c r="E90">
        <v>10.051399999999999</v>
      </c>
      <c r="F90">
        <v>2.4323000000000001</v>
      </c>
      <c r="G90">
        <v>0.96922699999999995</v>
      </c>
      <c r="H90">
        <v>0.12274</v>
      </c>
      <c r="I90">
        <v>0.109163</v>
      </c>
      <c r="J90">
        <v>5.7135900000000002E-3</v>
      </c>
      <c r="K90">
        <v>2.6966300000000002E-3</v>
      </c>
      <c r="L90">
        <v>6.6993300000000005E-4</v>
      </c>
      <c r="M90" s="5">
        <v>5.3434099999999997E-5</v>
      </c>
      <c r="N90" s="5">
        <v>1.3409E-5</v>
      </c>
      <c r="O90" s="5">
        <v>3.2994300000000001E-6</v>
      </c>
      <c r="P90" s="5">
        <v>3.0284100000000001E-7</v>
      </c>
      <c r="R90" s="3">
        <f t="shared" si="14"/>
        <v>480.37878059837101</v>
      </c>
    </row>
    <row r="91" spans="2:18" x14ac:dyDescent="0.4">
      <c r="B91">
        <v>249.21700000000001</v>
      </c>
      <c r="C91">
        <v>92.175799999999995</v>
      </c>
      <c r="D91">
        <v>46.230899999999998</v>
      </c>
      <c r="E91">
        <v>9.3169900000000005</v>
      </c>
      <c r="F91">
        <v>2.51824</v>
      </c>
      <c r="G91">
        <v>1.1715500000000001</v>
      </c>
      <c r="H91">
        <v>0.19522200000000001</v>
      </c>
      <c r="I91">
        <v>0.12542400000000001</v>
      </c>
      <c r="J91">
        <v>1.22633E-2</v>
      </c>
      <c r="K91">
        <v>4.3813100000000002E-3</v>
      </c>
      <c r="L91">
        <v>1.7109200000000001E-3</v>
      </c>
      <c r="M91">
        <v>1.10128E-4</v>
      </c>
      <c r="N91" s="5">
        <v>7.7846600000000001E-5</v>
      </c>
      <c r="O91" s="5">
        <v>1.97335E-5</v>
      </c>
      <c r="P91" s="5">
        <v>4.95138E-6</v>
      </c>
      <c r="R91" s="3">
        <f t="shared" si="14"/>
        <v>400.96969418947998</v>
      </c>
    </row>
    <row r="92" spans="2:18" x14ac:dyDescent="0.4">
      <c r="B92">
        <v>291.089</v>
      </c>
      <c r="C92">
        <v>109.19499999999999</v>
      </c>
      <c r="D92">
        <v>44.826999999999998</v>
      </c>
      <c r="E92">
        <v>7.49186</v>
      </c>
      <c r="F92">
        <v>1.6500999999999999</v>
      </c>
      <c r="G92">
        <v>0.51692700000000003</v>
      </c>
      <c r="H92">
        <v>0.100382</v>
      </c>
      <c r="I92">
        <v>3.7016500000000001E-2</v>
      </c>
      <c r="J92">
        <v>2.07508E-3</v>
      </c>
      <c r="K92">
        <v>8.8736200000000005E-4</v>
      </c>
      <c r="L92">
        <v>1.8893800000000001E-4</v>
      </c>
      <c r="M92" s="5">
        <v>1.1964600000000001E-5</v>
      </c>
      <c r="N92" s="5">
        <v>5.0237699999999997E-6</v>
      </c>
      <c r="O92" s="5">
        <v>8.3835900000000002E-7</v>
      </c>
      <c r="P92" s="5">
        <v>1.5106600000000001E-7</v>
      </c>
      <c r="R92" s="3">
        <f t="shared" ref="R92:R126" si="15">SUM(B92:P92)</f>
        <v>454.91045485779495</v>
      </c>
    </row>
    <row r="93" spans="2:18" x14ac:dyDescent="0.4">
      <c r="B93">
        <v>287.97699999999998</v>
      </c>
      <c r="C93">
        <v>109.029</v>
      </c>
      <c r="D93">
        <v>49.142299999999999</v>
      </c>
      <c r="E93">
        <v>8.4572000000000003</v>
      </c>
      <c r="F93">
        <v>3.1712799999999999</v>
      </c>
      <c r="G93">
        <v>0.84920399999999996</v>
      </c>
      <c r="H93">
        <v>0.12673400000000001</v>
      </c>
      <c r="I93">
        <v>7.7051900000000006E-2</v>
      </c>
      <c r="J93">
        <v>4.9806099999999999E-3</v>
      </c>
      <c r="K93">
        <v>2.4830999999999998E-3</v>
      </c>
      <c r="L93">
        <v>9.2187300000000003E-4</v>
      </c>
      <c r="M93">
        <v>1.09014E-4</v>
      </c>
      <c r="N93" s="5">
        <v>3.5803599999999997E-5</v>
      </c>
      <c r="O93" s="5">
        <v>1.00365E-5</v>
      </c>
      <c r="P93" s="5">
        <v>2.4032799999999998E-6</v>
      </c>
      <c r="R93" s="3">
        <f t="shared" si="15"/>
        <v>458.83831274037993</v>
      </c>
    </row>
    <row r="94" spans="2:18" x14ac:dyDescent="0.4">
      <c r="B94">
        <v>309.11900000000003</v>
      </c>
      <c r="C94">
        <v>111.649</v>
      </c>
      <c r="D94">
        <v>49.638599999999997</v>
      </c>
      <c r="E94">
        <v>6.782</v>
      </c>
      <c r="F94">
        <v>2.3067700000000002</v>
      </c>
      <c r="G94">
        <v>0.78003199999999995</v>
      </c>
      <c r="H94">
        <v>0.11182400000000001</v>
      </c>
      <c r="I94">
        <v>9.0150400000000006E-2</v>
      </c>
      <c r="J94">
        <v>5.8352999999999999E-3</v>
      </c>
      <c r="K94">
        <v>2.9960299999999998E-3</v>
      </c>
      <c r="L94">
        <v>8.9241899999999998E-4</v>
      </c>
      <c r="M94" s="5">
        <v>9.1060199999999999E-5</v>
      </c>
      <c r="N94" s="5">
        <v>4.1629399999999998E-5</v>
      </c>
      <c r="O94" s="5">
        <v>9.6282899999999999E-6</v>
      </c>
      <c r="P94" s="5">
        <v>1.68896E-6</v>
      </c>
      <c r="R94" s="3">
        <f t="shared" si="15"/>
        <v>480.48724415585014</v>
      </c>
    </row>
    <row r="95" spans="2:18" x14ac:dyDescent="0.4">
      <c r="B95">
        <v>173.185</v>
      </c>
      <c r="C95">
        <v>100.312</v>
      </c>
      <c r="D95">
        <v>66.914599999999993</v>
      </c>
      <c r="E95">
        <v>8.8129200000000001</v>
      </c>
      <c r="F95">
        <v>2.2279900000000001</v>
      </c>
      <c r="G95">
        <v>0.60548199999999996</v>
      </c>
      <c r="H95">
        <v>5.7726800000000002E-2</v>
      </c>
      <c r="I95">
        <v>2.5272599999999999E-2</v>
      </c>
      <c r="J95">
        <v>9.1014399999999999E-4</v>
      </c>
      <c r="K95">
        <v>2.2539399999999999E-4</v>
      </c>
      <c r="L95" s="5">
        <v>3.3039500000000001E-5</v>
      </c>
      <c r="M95" s="5">
        <v>1.1605500000000001E-6</v>
      </c>
      <c r="N95" s="5">
        <v>2.26575E-7</v>
      </c>
      <c r="O95" s="5">
        <v>2.63006E-8</v>
      </c>
      <c r="P95" s="5">
        <v>1.2178999999999999E-9</v>
      </c>
      <c r="R95" s="3">
        <f t="shared" si="15"/>
        <v>352.14216139214358</v>
      </c>
    </row>
    <row r="96" spans="2:18" x14ac:dyDescent="0.4">
      <c r="B96">
        <v>267.26400000000001</v>
      </c>
      <c r="C96">
        <v>81.569999999999993</v>
      </c>
      <c r="D96">
        <v>45.534399999999998</v>
      </c>
      <c r="E96">
        <v>9.4466999999999999</v>
      </c>
      <c r="F96">
        <v>2.5107300000000001</v>
      </c>
      <c r="G96">
        <v>0.96488200000000002</v>
      </c>
      <c r="H96">
        <v>0.177505</v>
      </c>
      <c r="I96">
        <v>0.151666</v>
      </c>
      <c r="J96">
        <v>9.7452700000000003E-3</v>
      </c>
      <c r="K96">
        <v>5.88581E-3</v>
      </c>
      <c r="L96">
        <v>1.9401100000000001E-3</v>
      </c>
      <c r="M96">
        <v>1.6912000000000001E-4</v>
      </c>
      <c r="N96" s="5">
        <v>6.6323599999999996E-5</v>
      </c>
      <c r="O96" s="5">
        <v>1.25169E-5</v>
      </c>
      <c r="P96" s="5">
        <v>2.3311500000000001E-6</v>
      </c>
      <c r="R96" s="3">
        <f t="shared" si="15"/>
        <v>407.63770448164996</v>
      </c>
    </row>
    <row r="97" spans="2:18" x14ac:dyDescent="0.4">
      <c r="B97">
        <v>260.87400000000002</v>
      </c>
      <c r="C97">
        <v>112.792</v>
      </c>
      <c r="D97">
        <v>61.5137</v>
      </c>
      <c r="E97">
        <v>10.531499999999999</v>
      </c>
      <c r="F97">
        <v>4.0380700000000003</v>
      </c>
      <c r="G97">
        <v>1.1538200000000001</v>
      </c>
      <c r="H97">
        <v>0.22612199999999999</v>
      </c>
      <c r="I97">
        <v>0.16913</v>
      </c>
      <c r="J97">
        <v>1.2886699999999999E-2</v>
      </c>
      <c r="K97">
        <v>6.38486E-3</v>
      </c>
      <c r="L97">
        <v>2.3816800000000002E-3</v>
      </c>
      <c r="M97">
        <v>2.1477000000000001E-4</v>
      </c>
      <c r="N97">
        <v>1.0173E-4</v>
      </c>
      <c r="O97" s="5">
        <v>2.9603100000000001E-5</v>
      </c>
      <c r="P97" s="5">
        <v>6.7584999999999998E-6</v>
      </c>
      <c r="R97" s="3">
        <f t="shared" si="15"/>
        <v>451.32034810160002</v>
      </c>
    </row>
    <row r="98" spans="2:18" x14ac:dyDescent="0.4">
      <c r="B98">
        <v>310.95600000000002</v>
      </c>
      <c r="C98">
        <v>83.339500000000001</v>
      </c>
      <c r="D98">
        <v>64.220500000000001</v>
      </c>
      <c r="E98">
        <v>9.83155</v>
      </c>
      <c r="F98">
        <v>2.2627899999999999</v>
      </c>
      <c r="G98">
        <v>0.97732399999999997</v>
      </c>
      <c r="H98">
        <v>0.172456</v>
      </c>
      <c r="I98">
        <v>7.8795599999999993E-2</v>
      </c>
      <c r="J98">
        <v>7.4222899999999998E-3</v>
      </c>
      <c r="K98">
        <v>3.61817E-3</v>
      </c>
      <c r="L98">
        <v>9.8523600000000001E-4</v>
      </c>
      <c r="M98" s="5">
        <v>9.2579100000000003E-5</v>
      </c>
      <c r="N98" s="5">
        <v>3.7354200000000002E-5</v>
      </c>
      <c r="O98" s="5">
        <v>1.0348300000000001E-5</v>
      </c>
      <c r="P98" s="5">
        <v>2.1383200000000001E-6</v>
      </c>
      <c r="R98" s="3">
        <f t="shared" si="15"/>
        <v>471.85108371592003</v>
      </c>
    </row>
    <row r="99" spans="2:18" x14ac:dyDescent="0.4">
      <c r="B99">
        <v>334.80399999999997</v>
      </c>
      <c r="C99">
        <v>80.831599999999995</v>
      </c>
      <c r="D99">
        <v>74.628200000000007</v>
      </c>
      <c r="E99">
        <v>9.0872899999999994</v>
      </c>
      <c r="F99">
        <v>4.2458200000000001</v>
      </c>
      <c r="G99">
        <v>1.22865</v>
      </c>
      <c r="H99">
        <v>0.21889700000000001</v>
      </c>
      <c r="I99">
        <v>0.16696</v>
      </c>
      <c r="J99">
        <v>1.29666E-2</v>
      </c>
      <c r="K99">
        <v>5.2950000000000002E-3</v>
      </c>
      <c r="L99">
        <v>1.6672799999999999E-3</v>
      </c>
      <c r="M99">
        <v>1.31509E-4</v>
      </c>
      <c r="N99" s="5">
        <v>5.64671E-5</v>
      </c>
      <c r="O99" s="5">
        <v>1.134E-5</v>
      </c>
      <c r="P99" s="5">
        <v>2.1330799999999998E-6</v>
      </c>
      <c r="R99" s="3">
        <f t="shared" si="15"/>
        <v>505.23154732918005</v>
      </c>
    </row>
    <row r="100" spans="2:18" x14ac:dyDescent="0.4">
      <c r="B100">
        <v>197.358</v>
      </c>
      <c r="C100">
        <v>106.24299999999999</v>
      </c>
      <c r="D100">
        <v>61.720100000000002</v>
      </c>
      <c r="E100">
        <v>9.4231999999999996</v>
      </c>
      <c r="F100">
        <v>2.8323999999999998</v>
      </c>
      <c r="G100">
        <v>1.1571800000000001</v>
      </c>
      <c r="H100">
        <v>0.19785700000000001</v>
      </c>
      <c r="I100">
        <v>0.13236400000000001</v>
      </c>
      <c r="J100">
        <v>1.20903E-2</v>
      </c>
      <c r="K100">
        <v>6.3282499999999997E-3</v>
      </c>
      <c r="L100">
        <v>2.66388E-3</v>
      </c>
      <c r="M100">
        <v>2.9429800000000002E-4</v>
      </c>
      <c r="N100">
        <v>1.77171E-4</v>
      </c>
      <c r="O100" s="5">
        <v>4.9218899999999997E-5</v>
      </c>
      <c r="P100" s="5">
        <v>1.1728E-5</v>
      </c>
      <c r="R100" s="3">
        <f t="shared" si="15"/>
        <v>379.08571584590004</v>
      </c>
    </row>
    <row r="101" spans="2:18" x14ac:dyDescent="0.4">
      <c r="B101">
        <v>260.37</v>
      </c>
      <c r="C101">
        <v>112.819</v>
      </c>
      <c r="D101">
        <v>47.9255</v>
      </c>
      <c r="E101">
        <v>10.677099999999999</v>
      </c>
      <c r="F101">
        <v>2.8940199999999998</v>
      </c>
      <c r="G101">
        <v>1.22163</v>
      </c>
      <c r="H101">
        <v>0.24149899999999999</v>
      </c>
      <c r="I101">
        <v>0.21804399999999999</v>
      </c>
      <c r="J101">
        <v>1.43629E-2</v>
      </c>
      <c r="K101">
        <v>1.0626999999999999E-2</v>
      </c>
      <c r="L101">
        <v>5.7100800000000002E-3</v>
      </c>
      <c r="M101">
        <v>6.55593E-4</v>
      </c>
      <c r="N101">
        <v>4.0726E-4</v>
      </c>
      <c r="O101">
        <v>1.15837E-4</v>
      </c>
      <c r="P101" s="5">
        <v>3.2218899999999997E-5</v>
      </c>
      <c r="R101" s="3">
        <f t="shared" si="15"/>
        <v>436.39870388889995</v>
      </c>
    </row>
    <row r="102" spans="2:18" x14ac:dyDescent="0.4">
      <c r="B102">
        <v>267.81400000000002</v>
      </c>
      <c r="C102">
        <v>93.8626</v>
      </c>
      <c r="D102">
        <v>47.714399999999998</v>
      </c>
      <c r="E102">
        <v>9.3335600000000003</v>
      </c>
      <c r="F102">
        <v>3.9140299999999999</v>
      </c>
      <c r="G102">
        <v>1.1373599999999999</v>
      </c>
      <c r="H102">
        <v>0.31012699999999999</v>
      </c>
      <c r="I102">
        <v>0.234149</v>
      </c>
      <c r="J102">
        <v>2.4258800000000001E-2</v>
      </c>
      <c r="K102">
        <v>1.31393E-2</v>
      </c>
      <c r="L102">
        <v>4.78255E-3</v>
      </c>
      <c r="M102">
        <v>3.7958700000000002E-4</v>
      </c>
      <c r="N102">
        <v>2.6854299999999999E-4</v>
      </c>
      <c r="O102" s="5">
        <v>6.00951E-5</v>
      </c>
      <c r="P102" s="5">
        <v>2.0831300000000002E-5</v>
      </c>
      <c r="R102" s="3">
        <f t="shared" si="15"/>
        <v>424.36313570640004</v>
      </c>
    </row>
    <row r="103" spans="2:18" x14ac:dyDescent="0.4">
      <c r="B103">
        <v>178.08099999999999</v>
      </c>
      <c r="C103">
        <v>101.11499999999999</v>
      </c>
      <c r="D103">
        <v>84.833500000000001</v>
      </c>
      <c r="E103">
        <v>10.246</v>
      </c>
      <c r="F103">
        <v>3.3197299999999998</v>
      </c>
      <c r="G103">
        <v>1.1890499999999999</v>
      </c>
      <c r="H103">
        <v>0.275173</v>
      </c>
      <c r="I103">
        <v>0.166048</v>
      </c>
      <c r="J103">
        <v>1.50943E-2</v>
      </c>
      <c r="K103">
        <v>5.7951900000000004E-3</v>
      </c>
      <c r="L103">
        <v>1.5344600000000001E-3</v>
      </c>
      <c r="M103">
        <v>1.17868E-4</v>
      </c>
      <c r="N103" s="5">
        <v>5.6399800000000002E-5</v>
      </c>
      <c r="O103" s="5">
        <v>8.1388700000000006E-6</v>
      </c>
      <c r="P103" s="5">
        <v>1.4571100000000001E-6</v>
      </c>
      <c r="R103" s="3">
        <f t="shared" si="15"/>
        <v>379.24810881377994</v>
      </c>
    </row>
    <row r="104" spans="2:18" x14ac:dyDescent="0.4">
      <c r="B104">
        <v>385.62900000000002</v>
      </c>
      <c r="C104">
        <v>86.364400000000003</v>
      </c>
      <c r="D104">
        <v>78.424400000000006</v>
      </c>
      <c r="E104">
        <v>14.0136</v>
      </c>
      <c r="F104">
        <v>4.78294</v>
      </c>
      <c r="G104">
        <v>1.6584099999999999</v>
      </c>
      <c r="H104">
        <v>0.33673500000000001</v>
      </c>
      <c r="I104">
        <v>0.34226000000000001</v>
      </c>
      <c r="J104">
        <v>3.3357699999999997E-2</v>
      </c>
      <c r="K104">
        <v>2.1492500000000001E-2</v>
      </c>
      <c r="L104">
        <v>7.2347499999999999E-3</v>
      </c>
      <c r="M104">
        <v>1.0135999999999999E-3</v>
      </c>
      <c r="N104">
        <v>5.28555E-4</v>
      </c>
      <c r="O104">
        <v>1.9170799999999999E-4</v>
      </c>
      <c r="P104" s="5">
        <v>5.2985500000000003E-5</v>
      </c>
      <c r="R104" s="3">
        <f t="shared" si="15"/>
        <v>571.61561679850001</v>
      </c>
    </row>
    <row r="105" spans="2:18" x14ac:dyDescent="0.4">
      <c r="B105">
        <v>271.21100000000001</v>
      </c>
      <c r="C105">
        <v>139.95599999999999</v>
      </c>
      <c r="D105">
        <v>59.1678</v>
      </c>
      <c r="E105">
        <v>7.4630400000000003</v>
      </c>
      <c r="F105">
        <v>2.3998300000000001</v>
      </c>
      <c r="G105">
        <v>0.63063899999999995</v>
      </c>
      <c r="H105">
        <v>0.130415</v>
      </c>
      <c r="I105">
        <v>5.2501899999999997E-2</v>
      </c>
      <c r="J105">
        <v>3.9669500000000003E-3</v>
      </c>
      <c r="K105">
        <v>1.45527E-3</v>
      </c>
      <c r="L105">
        <v>4.18095E-4</v>
      </c>
      <c r="M105" s="5">
        <v>1.7478699999999999E-5</v>
      </c>
      <c r="N105" s="5">
        <v>8.4581600000000003E-6</v>
      </c>
      <c r="O105" s="5">
        <v>1.30952E-6</v>
      </c>
      <c r="P105" s="5">
        <v>1.6489099999999999E-7</v>
      </c>
      <c r="R105" s="3">
        <f t="shared" si="15"/>
        <v>481.01709362627093</v>
      </c>
    </row>
    <row r="106" spans="2:18" x14ac:dyDescent="0.4">
      <c r="B106">
        <v>483.31599999999997</v>
      </c>
      <c r="C106">
        <v>93.437100000000001</v>
      </c>
      <c r="D106">
        <v>43.368499999999997</v>
      </c>
      <c r="E106">
        <v>9.8306100000000001</v>
      </c>
      <c r="F106">
        <v>2.1446900000000002</v>
      </c>
      <c r="G106">
        <v>0.83823000000000003</v>
      </c>
      <c r="H106">
        <v>0.175091</v>
      </c>
      <c r="I106">
        <v>0.113216</v>
      </c>
      <c r="J106">
        <v>8.5332399999999992E-3</v>
      </c>
      <c r="K106">
        <v>3.89209E-3</v>
      </c>
      <c r="L106">
        <v>1.6005399999999999E-3</v>
      </c>
      <c r="M106">
        <v>1.4972999999999999E-4</v>
      </c>
      <c r="N106" s="5">
        <v>6.8206200000000004E-5</v>
      </c>
      <c r="O106" s="5">
        <v>2.1583700000000001E-5</v>
      </c>
      <c r="P106" s="5">
        <v>3.89201E-6</v>
      </c>
      <c r="R106" s="3">
        <f t="shared" si="15"/>
        <v>633.23770628190994</v>
      </c>
    </row>
    <row r="107" spans="2:18" x14ac:dyDescent="0.4">
      <c r="B107">
        <v>198.23599999999999</v>
      </c>
      <c r="C107">
        <v>94.760099999999994</v>
      </c>
      <c r="D107">
        <v>58.384300000000003</v>
      </c>
      <c r="E107">
        <v>9.1702899999999996</v>
      </c>
      <c r="F107">
        <v>3.8412700000000002</v>
      </c>
      <c r="G107">
        <v>1.47716</v>
      </c>
      <c r="H107">
        <v>0.20901</v>
      </c>
      <c r="I107">
        <v>0.18660399999999999</v>
      </c>
      <c r="J107">
        <v>1.5632500000000001E-2</v>
      </c>
      <c r="K107">
        <v>8.6611599999999993E-3</v>
      </c>
      <c r="L107">
        <v>2.7727799999999999E-3</v>
      </c>
      <c r="M107">
        <v>3.93385E-4</v>
      </c>
      <c r="N107">
        <v>1.5951499999999999E-4</v>
      </c>
      <c r="O107" s="5">
        <v>5.6249599999999998E-5</v>
      </c>
      <c r="P107" s="5">
        <v>1.4304800000000001E-5</v>
      </c>
      <c r="R107" s="3">
        <f t="shared" si="15"/>
        <v>366.29242389439992</v>
      </c>
    </row>
    <row r="108" spans="2:18" x14ac:dyDescent="0.4">
      <c r="B108">
        <v>213.404</v>
      </c>
      <c r="C108">
        <v>87.375699999999995</v>
      </c>
      <c r="D108">
        <v>46.8277</v>
      </c>
      <c r="E108">
        <v>7.8172600000000001</v>
      </c>
      <c r="F108">
        <v>2.4009800000000001</v>
      </c>
      <c r="G108">
        <v>0.67605800000000005</v>
      </c>
      <c r="H108">
        <v>0.14186499999999999</v>
      </c>
      <c r="I108">
        <v>8.5021799999999995E-2</v>
      </c>
      <c r="J108">
        <v>8.1737500000000005E-3</v>
      </c>
      <c r="K108">
        <v>3.11451E-3</v>
      </c>
      <c r="L108">
        <v>1.15131E-3</v>
      </c>
      <c r="M108" s="5">
        <v>6.2829099999999998E-5</v>
      </c>
      <c r="N108" s="5">
        <v>4.5775400000000002E-5</v>
      </c>
      <c r="O108" s="5">
        <v>8.8497499999999994E-6</v>
      </c>
      <c r="P108" s="5">
        <v>1.72444E-6</v>
      </c>
      <c r="R108" s="3">
        <f t="shared" si="15"/>
        <v>358.74114354868993</v>
      </c>
    </row>
    <row r="109" spans="2:18" x14ac:dyDescent="0.4">
      <c r="B109">
        <v>247.62299999999999</v>
      </c>
      <c r="C109">
        <v>104.982</v>
      </c>
      <c r="D109">
        <v>60.915500000000002</v>
      </c>
      <c r="E109">
        <v>11.4735</v>
      </c>
      <c r="F109">
        <v>4.4672000000000001</v>
      </c>
      <c r="G109">
        <v>1.71835</v>
      </c>
      <c r="H109">
        <v>0.36155599999999999</v>
      </c>
      <c r="I109">
        <v>0.25754100000000002</v>
      </c>
      <c r="J109">
        <v>1.8497300000000001E-2</v>
      </c>
      <c r="K109">
        <v>1.27584E-2</v>
      </c>
      <c r="L109">
        <v>4.6212800000000002E-3</v>
      </c>
      <c r="M109">
        <v>5.3224900000000005E-4</v>
      </c>
      <c r="N109">
        <v>2.7120300000000003E-4</v>
      </c>
      <c r="O109" s="5">
        <v>6.5730999999999998E-5</v>
      </c>
      <c r="P109" s="5">
        <v>1.9897800000000001E-5</v>
      </c>
      <c r="R109" s="3">
        <f t="shared" si="15"/>
        <v>431.83541306079997</v>
      </c>
    </row>
    <row r="110" spans="2:18" x14ac:dyDescent="0.4">
      <c r="B110">
        <v>140.23699999999999</v>
      </c>
      <c r="C110">
        <v>82.245599999999996</v>
      </c>
      <c r="D110">
        <v>57.558700000000002</v>
      </c>
      <c r="E110">
        <v>4.4701000000000004</v>
      </c>
      <c r="F110">
        <v>2.4696400000000001</v>
      </c>
      <c r="G110">
        <v>0.679871</v>
      </c>
      <c r="H110">
        <v>0.100034</v>
      </c>
      <c r="I110">
        <v>8.80441E-2</v>
      </c>
      <c r="J110">
        <v>7.6304900000000002E-3</v>
      </c>
      <c r="K110">
        <v>3.2947900000000001E-3</v>
      </c>
      <c r="L110">
        <v>9.1362799999999999E-4</v>
      </c>
      <c r="M110" s="5">
        <v>7.1234299999999997E-5</v>
      </c>
      <c r="N110" s="5">
        <v>3.88614E-5</v>
      </c>
      <c r="O110" s="5">
        <v>9.2575099999999997E-6</v>
      </c>
      <c r="P110" s="5">
        <v>1.71264E-6</v>
      </c>
      <c r="R110" s="3">
        <f t="shared" si="15"/>
        <v>287.86094907384995</v>
      </c>
    </row>
    <row r="111" spans="2:18" x14ac:dyDescent="0.4">
      <c r="B111">
        <v>361.83699999999999</v>
      </c>
      <c r="C111">
        <v>89.108999999999995</v>
      </c>
      <c r="D111">
        <v>50.684899999999999</v>
      </c>
      <c r="E111">
        <v>6.5788099999999998</v>
      </c>
      <c r="F111">
        <v>2.7733300000000001</v>
      </c>
      <c r="G111">
        <v>0.968171</v>
      </c>
      <c r="H111">
        <v>0.20979300000000001</v>
      </c>
      <c r="I111">
        <v>0.165912</v>
      </c>
      <c r="J111">
        <v>1.7310200000000001E-2</v>
      </c>
      <c r="K111">
        <v>1.0183899999999999E-2</v>
      </c>
      <c r="L111">
        <v>3.3321399999999999E-3</v>
      </c>
      <c r="M111">
        <v>3.1956399999999999E-4</v>
      </c>
      <c r="N111">
        <v>2.2617500000000001E-4</v>
      </c>
      <c r="O111" s="5">
        <v>5.33767E-5</v>
      </c>
      <c r="P111" s="5">
        <v>1.7121499999999999E-5</v>
      </c>
      <c r="R111" s="3">
        <f t="shared" si="15"/>
        <v>512.3583584772</v>
      </c>
    </row>
    <row r="112" spans="2:18" x14ac:dyDescent="0.4">
      <c r="B112">
        <v>194.02</v>
      </c>
      <c r="C112">
        <v>94.182100000000005</v>
      </c>
      <c r="D112">
        <v>51.2273</v>
      </c>
      <c r="E112">
        <v>9.5543499999999995</v>
      </c>
      <c r="F112">
        <v>2.29406</v>
      </c>
      <c r="G112">
        <v>0.97570400000000002</v>
      </c>
      <c r="H112">
        <v>0.192443</v>
      </c>
      <c r="I112">
        <v>9.3523599999999998E-2</v>
      </c>
      <c r="J112">
        <v>7.1342999999999997E-3</v>
      </c>
      <c r="K112">
        <v>2.36915E-3</v>
      </c>
      <c r="L112">
        <v>8.3497900000000002E-4</v>
      </c>
      <c r="M112" s="5">
        <v>5.9077399999999998E-5</v>
      </c>
      <c r="N112" s="5">
        <v>3.0604300000000001E-5</v>
      </c>
      <c r="O112" s="5">
        <v>7.33087E-6</v>
      </c>
      <c r="P112" s="5">
        <v>1.5287300000000001E-6</v>
      </c>
      <c r="R112" s="3">
        <f t="shared" si="15"/>
        <v>352.54991757030012</v>
      </c>
    </row>
    <row r="113" spans="2:18" x14ac:dyDescent="0.4">
      <c r="B113">
        <v>361.54199999999997</v>
      </c>
      <c r="C113">
        <v>107.43300000000001</v>
      </c>
      <c r="D113">
        <v>72.672799999999995</v>
      </c>
      <c r="E113">
        <v>17.030799999999999</v>
      </c>
      <c r="F113">
        <v>6.2586399999999998</v>
      </c>
      <c r="G113">
        <v>2.1765400000000001</v>
      </c>
      <c r="H113">
        <v>0.53647299999999998</v>
      </c>
      <c r="I113">
        <v>0.54622599999999999</v>
      </c>
      <c r="J113">
        <v>7.5767399999999999E-2</v>
      </c>
      <c r="K113">
        <v>3.1985300000000001E-2</v>
      </c>
      <c r="L113">
        <v>1.6136899999999999E-2</v>
      </c>
      <c r="M113">
        <v>1.7615899999999999E-3</v>
      </c>
      <c r="N113">
        <v>1.13645E-3</v>
      </c>
      <c r="O113">
        <v>3.4209900000000001E-4</v>
      </c>
      <c r="P113" s="5">
        <v>9.0470000000000006E-5</v>
      </c>
      <c r="R113" s="3">
        <f t="shared" si="15"/>
        <v>568.3236992090001</v>
      </c>
    </row>
    <row r="114" spans="2:18" x14ac:dyDescent="0.4">
      <c r="B114">
        <v>306.95</v>
      </c>
      <c r="C114">
        <v>111.161</v>
      </c>
      <c r="D114">
        <v>55.584000000000003</v>
      </c>
      <c r="E114">
        <v>8.9974900000000009</v>
      </c>
      <c r="F114">
        <v>3.7151100000000001</v>
      </c>
      <c r="G114">
        <v>0.98836199999999996</v>
      </c>
      <c r="H114">
        <v>0.226524</v>
      </c>
      <c r="I114">
        <v>0.127993</v>
      </c>
      <c r="J114">
        <v>9.9057399999999997E-3</v>
      </c>
      <c r="K114">
        <v>4.5482200000000004E-3</v>
      </c>
      <c r="L114">
        <v>1.5153499999999999E-3</v>
      </c>
      <c r="M114">
        <v>1.6168000000000001E-4</v>
      </c>
      <c r="N114" s="5">
        <v>4.4993200000000001E-5</v>
      </c>
      <c r="O114" s="5">
        <v>1.86922E-5</v>
      </c>
      <c r="P114" s="5">
        <v>4.9242899999999997E-6</v>
      </c>
      <c r="R114" s="3">
        <f t="shared" si="15"/>
        <v>487.76667859969001</v>
      </c>
    </row>
    <row r="115" spans="2:18" x14ac:dyDescent="0.4">
      <c r="B115">
        <v>189.18299999999999</v>
      </c>
      <c r="C115">
        <v>83.612899999999996</v>
      </c>
      <c r="D115">
        <v>56.657400000000003</v>
      </c>
      <c r="E115">
        <v>10.7112</v>
      </c>
      <c r="F115">
        <v>3.48047</v>
      </c>
      <c r="G115">
        <v>1.3513500000000001</v>
      </c>
      <c r="H115">
        <v>0.24814600000000001</v>
      </c>
      <c r="I115">
        <v>0.203708</v>
      </c>
      <c r="J115">
        <v>2.2269299999999999E-2</v>
      </c>
      <c r="K115">
        <v>1.12093E-2</v>
      </c>
      <c r="L115">
        <v>3.9367200000000003E-3</v>
      </c>
      <c r="M115">
        <v>4.7892799999999999E-4</v>
      </c>
      <c r="N115">
        <v>2.08495E-4</v>
      </c>
      <c r="O115" s="5">
        <v>6.7982499999999995E-5</v>
      </c>
      <c r="P115" s="5">
        <v>1.6109699999999999E-5</v>
      </c>
      <c r="R115" s="3">
        <f t="shared" si="15"/>
        <v>345.48636083520012</v>
      </c>
    </row>
    <row r="116" spans="2:18" x14ac:dyDescent="0.4">
      <c r="B116">
        <v>229.68700000000001</v>
      </c>
      <c r="C116">
        <v>108.91200000000001</v>
      </c>
      <c r="D116">
        <v>54.6633</v>
      </c>
      <c r="E116">
        <v>10.4125</v>
      </c>
      <c r="F116">
        <v>3.1277300000000001</v>
      </c>
      <c r="G116">
        <v>1.18963</v>
      </c>
      <c r="H116">
        <v>0.22899800000000001</v>
      </c>
      <c r="I116">
        <v>0.18853800000000001</v>
      </c>
      <c r="J116">
        <v>1.52981E-2</v>
      </c>
      <c r="K116">
        <v>9.9068300000000001E-3</v>
      </c>
      <c r="L116">
        <v>3.24829E-3</v>
      </c>
      <c r="M116">
        <v>4.7529000000000001E-4</v>
      </c>
      <c r="N116">
        <v>1.9453E-4</v>
      </c>
      <c r="O116" s="5">
        <v>6.3652199999999993E-5</v>
      </c>
      <c r="P116" s="5">
        <v>1.8501699999999999E-5</v>
      </c>
      <c r="R116" s="3">
        <f t="shared" si="15"/>
        <v>408.43890119390005</v>
      </c>
    </row>
    <row r="117" spans="2:18" x14ac:dyDescent="0.4">
      <c r="B117">
        <v>426.108</v>
      </c>
      <c r="C117">
        <v>83.983900000000006</v>
      </c>
      <c r="D117">
        <v>73.955100000000002</v>
      </c>
      <c r="E117">
        <v>12.207700000000001</v>
      </c>
      <c r="F117">
        <v>2.5848300000000002</v>
      </c>
      <c r="G117">
        <v>1.8785700000000001</v>
      </c>
      <c r="H117">
        <v>0.27584700000000001</v>
      </c>
      <c r="I117">
        <v>0.23147200000000001</v>
      </c>
      <c r="J117">
        <v>1.6671499999999999E-2</v>
      </c>
      <c r="K117">
        <v>1.4291399999999999E-2</v>
      </c>
      <c r="L117">
        <v>3.7209299999999999E-3</v>
      </c>
      <c r="M117">
        <v>4.48524E-4</v>
      </c>
      <c r="N117">
        <v>1.6025100000000001E-4</v>
      </c>
      <c r="O117" s="5">
        <v>4.9483600000000002E-5</v>
      </c>
      <c r="P117" s="5">
        <v>1.15433E-5</v>
      </c>
      <c r="R117" s="3">
        <f t="shared" si="15"/>
        <v>601.26077263190029</v>
      </c>
    </row>
    <row r="118" spans="2:18" x14ac:dyDescent="0.4">
      <c r="B118">
        <v>293.72500000000002</v>
      </c>
      <c r="C118">
        <v>98.858900000000006</v>
      </c>
      <c r="D118">
        <v>42.735799999999998</v>
      </c>
      <c r="E118">
        <v>6.3118100000000004</v>
      </c>
      <c r="F118">
        <v>1.72597</v>
      </c>
      <c r="G118">
        <v>0.52046700000000001</v>
      </c>
      <c r="H118">
        <v>6.2366600000000001E-2</v>
      </c>
      <c r="I118">
        <v>2.6628700000000002E-2</v>
      </c>
      <c r="J118">
        <v>2.2391099999999999E-3</v>
      </c>
      <c r="K118">
        <v>6.6547199999999996E-4</v>
      </c>
      <c r="L118">
        <v>1.3380799999999999E-4</v>
      </c>
      <c r="M118" s="5">
        <v>7.67674E-6</v>
      </c>
      <c r="N118" s="5">
        <v>1.9983999999999998E-6</v>
      </c>
      <c r="O118" s="5">
        <v>3.0466199999999998E-7</v>
      </c>
      <c r="P118" s="5">
        <v>2.4797099999999999E-8</v>
      </c>
      <c r="R118" s="3">
        <f t="shared" si="15"/>
        <v>443.96999069459912</v>
      </c>
    </row>
    <row r="119" spans="2:18" x14ac:dyDescent="0.4">
      <c r="B119">
        <v>273.74799999999999</v>
      </c>
      <c r="C119">
        <v>112.524</v>
      </c>
      <c r="D119">
        <v>58.002899999999997</v>
      </c>
      <c r="E119">
        <v>11.2057</v>
      </c>
      <c r="F119">
        <v>3.26946</v>
      </c>
      <c r="G119">
        <v>1.9133100000000001</v>
      </c>
      <c r="H119">
        <v>0.197856</v>
      </c>
      <c r="I119">
        <v>0.14360999999999999</v>
      </c>
      <c r="J119">
        <v>1.23509E-2</v>
      </c>
      <c r="K119">
        <v>4.3092399999999998E-3</v>
      </c>
      <c r="L119">
        <v>1.4013700000000001E-3</v>
      </c>
      <c r="M119">
        <v>1.1572499999999999E-4</v>
      </c>
      <c r="N119" s="5">
        <v>2.90909E-5</v>
      </c>
      <c r="O119" s="5">
        <v>7.1199299999999998E-6</v>
      </c>
      <c r="P119" s="5">
        <v>1.1873799999999999E-6</v>
      </c>
      <c r="R119" s="3">
        <f t="shared" si="15"/>
        <v>461.02305063321</v>
      </c>
    </row>
    <row r="120" spans="2:18" x14ac:dyDescent="0.4">
      <c r="B120">
        <v>204.392</v>
      </c>
      <c r="C120">
        <v>93.974699999999999</v>
      </c>
      <c r="D120">
        <v>57.772399999999998</v>
      </c>
      <c r="E120">
        <v>7.90313</v>
      </c>
      <c r="F120">
        <v>3.79861</v>
      </c>
      <c r="G120">
        <v>1.099</v>
      </c>
      <c r="H120">
        <v>0.22905800000000001</v>
      </c>
      <c r="I120">
        <v>0.14657200000000001</v>
      </c>
      <c r="J120">
        <v>1.3247E-2</v>
      </c>
      <c r="K120">
        <v>7.0465500000000004E-3</v>
      </c>
      <c r="L120">
        <v>2.09662E-3</v>
      </c>
      <c r="M120">
        <v>2.0949299999999999E-4</v>
      </c>
      <c r="N120" s="5">
        <v>8.2347000000000003E-5</v>
      </c>
      <c r="O120" s="5">
        <v>1.8725100000000001E-5</v>
      </c>
      <c r="P120" s="5">
        <v>4.7415999999999996E-6</v>
      </c>
      <c r="R120" s="3">
        <f t="shared" si="15"/>
        <v>369.33817547669986</v>
      </c>
    </row>
    <row r="121" spans="2:18" x14ac:dyDescent="0.4">
      <c r="B121">
        <v>251.33099999999999</v>
      </c>
      <c r="C121">
        <v>59.417200000000001</v>
      </c>
      <c r="D121">
        <v>35.827500000000001</v>
      </c>
      <c r="E121">
        <v>6.6211200000000003</v>
      </c>
      <c r="F121">
        <v>1.7345999999999999</v>
      </c>
      <c r="G121">
        <v>0.401146</v>
      </c>
      <c r="H121">
        <v>5.8448699999999999E-2</v>
      </c>
      <c r="I121">
        <v>3.4233199999999998E-2</v>
      </c>
      <c r="J121">
        <v>2.3534599999999999E-3</v>
      </c>
      <c r="K121">
        <v>8.9190899999999997E-4</v>
      </c>
      <c r="L121">
        <v>3.3546599999999998E-4</v>
      </c>
      <c r="M121" s="5">
        <v>1.7518000000000001E-5</v>
      </c>
      <c r="N121" s="5">
        <v>7.8409600000000006E-6</v>
      </c>
      <c r="O121" s="5">
        <v>1.57165E-6</v>
      </c>
      <c r="P121" s="5">
        <v>2.4015399999999999E-7</v>
      </c>
      <c r="R121" s="3">
        <f t="shared" si="15"/>
        <v>355.42885590576401</v>
      </c>
    </row>
    <row r="122" spans="2:18" x14ac:dyDescent="0.4">
      <c r="B122">
        <v>200.05699999999999</v>
      </c>
      <c r="C122">
        <v>58.938899999999997</v>
      </c>
      <c r="D122">
        <v>57.422400000000003</v>
      </c>
      <c r="E122">
        <v>8.2808600000000006</v>
      </c>
      <c r="F122">
        <v>2.6959599999999999</v>
      </c>
      <c r="G122">
        <v>0.89457600000000004</v>
      </c>
      <c r="H122">
        <v>0.20179</v>
      </c>
      <c r="I122">
        <v>0.12443</v>
      </c>
      <c r="J122">
        <v>8.1878999999999997E-3</v>
      </c>
      <c r="K122">
        <v>5.0368100000000001E-3</v>
      </c>
      <c r="L122">
        <v>1.86221E-3</v>
      </c>
      <c r="M122">
        <v>1.60285E-4</v>
      </c>
      <c r="N122" s="5">
        <v>8.7354099999999998E-5</v>
      </c>
      <c r="O122" s="5">
        <v>1.7521E-5</v>
      </c>
      <c r="P122" s="5">
        <v>3.5620500000000001E-6</v>
      </c>
      <c r="R122" s="3">
        <f t="shared" si="15"/>
        <v>328.63127164215001</v>
      </c>
    </row>
    <row r="123" spans="2:18" x14ac:dyDescent="0.4">
      <c r="B123">
        <v>236.38800000000001</v>
      </c>
      <c r="C123">
        <v>81.613100000000003</v>
      </c>
      <c r="D123">
        <v>65.147400000000005</v>
      </c>
      <c r="E123">
        <v>9.6673600000000004</v>
      </c>
      <c r="F123">
        <v>2.4448400000000001</v>
      </c>
      <c r="G123">
        <v>1.2342200000000001</v>
      </c>
      <c r="H123">
        <v>0.20638899999999999</v>
      </c>
      <c r="I123">
        <v>0.14982899999999999</v>
      </c>
      <c r="J123">
        <v>9.20202E-3</v>
      </c>
      <c r="K123">
        <v>5.2513100000000004E-3</v>
      </c>
      <c r="L123">
        <v>1.2729E-3</v>
      </c>
      <c r="M123" s="5">
        <v>7.8427800000000002E-5</v>
      </c>
      <c r="N123" s="5">
        <v>4.4078400000000001E-5</v>
      </c>
      <c r="O123" s="5">
        <v>9.37644E-6</v>
      </c>
      <c r="P123" s="5">
        <v>1.5124699999999999E-6</v>
      </c>
      <c r="R123" s="3">
        <f t="shared" si="15"/>
        <v>396.86699762511</v>
      </c>
    </row>
    <row r="124" spans="2:18" x14ac:dyDescent="0.4">
      <c r="B124">
        <v>222.172</v>
      </c>
      <c r="C124">
        <v>101.767</v>
      </c>
      <c r="D124">
        <v>65.427700000000002</v>
      </c>
      <c r="E124">
        <v>14.1022</v>
      </c>
      <c r="F124">
        <v>3.4336199999999999</v>
      </c>
      <c r="G124">
        <v>1.3974800000000001</v>
      </c>
      <c r="H124">
        <v>0.21775700000000001</v>
      </c>
      <c r="I124">
        <v>0.17385700000000001</v>
      </c>
      <c r="J124">
        <v>1.08612E-2</v>
      </c>
      <c r="K124">
        <v>7.4895300000000003E-3</v>
      </c>
      <c r="L124">
        <v>2.0140399999999999E-3</v>
      </c>
      <c r="M124">
        <v>2.29707E-4</v>
      </c>
      <c r="N124" s="5">
        <v>6.0206099999999999E-5</v>
      </c>
      <c r="O124" s="5">
        <v>1.7161899999999999E-5</v>
      </c>
      <c r="P124" s="5">
        <v>2.5993700000000001E-6</v>
      </c>
      <c r="R124" s="3">
        <f t="shared" si="15"/>
        <v>408.71228844437002</v>
      </c>
    </row>
    <row r="125" spans="2:18" x14ac:dyDescent="0.4">
      <c r="B125">
        <v>350.80099999999999</v>
      </c>
      <c r="C125">
        <v>90.346900000000005</v>
      </c>
      <c r="D125">
        <v>59.203200000000002</v>
      </c>
      <c r="E125">
        <v>14.045999999999999</v>
      </c>
      <c r="F125">
        <v>4.15937</v>
      </c>
      <c r="G125">
        <v>1.82341</v>
      </c>
      <c r="H125">
        <v>0.28605999999999998</v>
      </c>
      <c r="I125">
        <v>0.319494</v>
      </c>
      <c r="J125">
        <v>2.6219699999999999E-2</v>
      </c>
      <c r="K125">
        <v>1.6193800000000001E-2</v>
      </c>
      <c r="L125">
        <v>5.0640099999999999E-3</v>
      </c>
      <c r="M125">
        <v>4.9922499999999995E-4</v>
      </c>
      <c r="N125">
        <v>2.3925800000000001E-4</v>
      </c>
      <c r="O125" s="5">
        <v>7.8316699999999995E-5</v>
      </c>
      <c r="P125" s="5">
        <v>1.7433200000000001E-5</v>
      </c>
      <c r="R125" s="3">
        <f t="shared" si="15"/>
        <v>521.03374574289978</v>
      </c>
    </row>
    <row r="126" spans="2:18" x14ac:dyDescent="0.4">
      <c r="B126">
        <v>452.15600000000001</v>
      </c>
      <c r="C126">
        <v>105.565</v>
      </c>
      <c r="D126">
        <v>82.633300000000006</v>
      </c>
      <c r="E126">
        <v>20.605399999999999</v>
      </c>
      <c r="F126">
        <v>7.4994699999999996</v>
      </c>
      <c r="G126">
        <v>5.0518099999999997</v>
      </c>
      <c r="H126">
        <v>1.30494</v>
      </c>
      <c r="I126">
        <v>2.1857700000000002</v>
      </c>
      <c r="J126">
        <v>0.24024599999999999</v>
      </c>
      <c r="K126">
        <v>0.26085999999999998</v>
      </c>
      <c r="L126">
        <v>0.198825</v>
      </c>
      <c r="M126">
        <v>2.7999400000000001E-2</v>
      </c>
      <c r="N126">
        <v>3.1620200000000001E-2</v>
      </c>
      <c r="O126">
        <v>1.9587299999999998E-2</v>
      </c>
      <c r="P126">
        <v>1.27452E-2</v>
      </c>
      <c r="R126" s="3">
        <f t="shared" si="15"/>
        <v>677.79357310000012</v>
      </c>
    </row>
    <row r="128" spans="2:18" x14ac:dyDescent="0.4">
      <c r="B128">
        <f>ABS(B27-B$10)</f>
        <v>7.5180000000000291</v>
      </c>
      <c r="C128">
        <f t="shared" ref="C128:I128" si="16">ABS(C27-C$10)</f>
        <v>24.839500000000015</v>
      </c>
      <c r="D128">
        <f t="shared" si="16"/>
        <v>8.2364999999999995</v>
      </c>
      <c r="E128">
        <f t="shared" si="16"/>
        <v>1.4431700000000003</v>
      </c>
      <c r="F128">
        <f t="shared" si="16"/>
        <v>0.16611999999999982</v>
      </c>
      <c r="G128">
        <f t="shared" si="16"/>
        <v>0.48231250000000009</v>
      </c>
      <c r="H128">
        <f t="shared" si="16"/>
        <v>5.6567499999999993E-2</v>
      </c>
      <c r="I128">
        <f t="shared" si="16"/>
        <v>6.10862E-2</v>
      </c>
      <c r="J128">
        <f t="shared" ref="J128:P143" si="17">ABS(J27-B$20)</f>
        <v>5.4498299999999993E-3</v>
      </c>
      <c r="K128">
        <f t="shared" si="17"/>
        <v>2.8335000000000001E-3</v>
      </c>
      <c r="L128">
        <f t="shared" si="17"/>
        <v>1.0969400000000002E-3</v>
      </c>
      <c r="M128">
        <f t="shared" si="17"/>
        <v>1.0086660000000001E-4</v>
      </c>
      <c r="N128">
        <f t="shared" si="17"/>
        <v>4.2437919999999997E-5</v>
      </c>
      <c r="O128">
        <f t="shared" si="17"/>
        <v>1.1382220000000001E-5</v>
      </c>
      <c r="P128">
        <f t="shared" si="17"/>
        <v>2.1883100000000001E-6</v>
      </c>
      <c r="R128">
        <f>ABS(R27-I$20)</f>
        <v>7.035147521552517</v>
      </c>
    </row>
    <row r="129" spans="2:18" x14ac:dyDescent="0.4">
      <c r="B129">
        <f t="shared" ref="B129:I144" si="18">ABS(B28-B$10)</f>
        <v>66.719000000000023</v>
      </c>
      <c r="C129">
        <f t="shared" si="18"/>
        <v>0.10550000000000637</v>
      </c>
      <c r="D129">
        <f t="shared" si="18"/>
        <v>2.4371999999999971</v>
      </c>
      <c r="E129">
        <f t="shared" si="18"/>
        <v>1.3550000000000004</v>
      </c>
      <c r="F129">
        <f t="shared" si="18"/>
        <v>0.10047999999999968</v>
      </c>
      <c r="G129">
        <f t="shared" si="18"/>
        <v>0.21085350000000003</v>
      </c>
      <c r="H129">
        <f t="shared" si="18"/>
        <v>1.8226500000000007E-2</v>
      </c>
      <c r="I129">
        <f t="shared" si="18"/>
        <v>1.0033E-2</v>
      </c>
      <c r="J129">
        <f t="shared" si="17"/>
        <v>3.5136899999999999E-3</v>
      </c>
      <c r="K129">
        <f t="shared" si="17"/>
        <v>2.9370000000000004E-4</v>
      </c>
      <c r="L129">
        <f t="shared" si="17"/>
        <v>1.1168799999999998E-3</v>
      </c>
      <c r="M129">
        <f t="shared" si="17"/>
        <v>3.7285999999999981E-5</v>
      </c>
      <c r="N129">
        <f t="shared" si="17"/>
        <v>7.444835E-5</v>
      </c>
      <c r="O129">
        <f t="shared" si="17"/>
        <v>2.6519350000000002E-5</v>
      </c>
      <c r="P129">
        <f t="shared" si="17"/>
        <v>6.4068849999999994E-6</v>
      </c>
      <c r="R129">
        <f t="shared" ref="R129:R192" si="19">ABS(R28-I$20)</f>
        <v>81.584632245917646</v>
      </c>
    </row>
    <row r="130" spans="2:18" x14ac:dyDescent="0.4">
      <c r="B130">
        <f t="shared" si="18"/>
        <v>43.191000000000031</v>
      </c>
      <c r="C130">
        <f t="shared" si="18"/>
        <v>4.8642999999999859</v>
      </c>
      <c r="D130">
        <f t="shared" si="18"/>
        <v>14.582199999999993</v>
      </c>
      <c r="E130">
        <f t="shared" si="18"/>
        <v>3.6870000000000012</v>
      </c>
      <c r="F130">
        <f t="shared" si="18"/>
        <v>2.1990999999999996</v>
      </c>
      <c r="G130">
        <f t="shared" si="18"/>
        <v>0.85899349999999997</v>
      </c>
      <c r="H130">
        <f t="shared" si="18"/>
        <v>0.37356650000000002</v>
      </c>
      <c r="I130">
        <f t="shared" si="18"/>
        <v>0.37490800000000002</v>
      </c>
      <c r="J130">
        <f t="shared" si="17"/>
        <v>3.1407190000000001E-2</v>
      </c>
      <c r="K130">
        <f t="shared" si="17"/>
        <v>3.4815619999999999E-2</v>
      </c>
      <c r="L130">
        <f t="shared" si="17"/>
        <v>1.5257699999999999E-2</v>
      </c>
      <c r="M130">
        <f t="shared" si="17"/>
        <v>2.4610060000000004E-3</v>
      </c>
      <c r="N130">
        <f t="shared" si="17"/>
        <v>1.4145593499999998E-3</v>
      </c>
      <c r="O130">
        <f t="shared" si="17"/>
        <v>5.5888295000000002E-4</v>
      </c>
      <c r="P130">
        <f t="shared" si="17"/>
        <v>2.4933778500000004E-4</v>
      </c>
      <c r="R130">
        <f t="shared" si="19"/>
        <v>40.126961880417582</v>
      </c>
    </row>
    <row r="131" spans="2:18" x14ac:dyDescent="0.4">
      <c r="B131">
        <f t="shared" si="18"/>
        <v>34.51600000000002</v>
      </c>
      <c r="C131">
        <f t="shared" si="18"/>
        <v>15.825699999999983</v>
      </c>
      <c r="D131">
        <f t="shared" si="18"/>
        <v>2.5401999999999987</v>
      </c>
      <c r="E131">
        <f t="shared" si="18"/>
        <v>3.2042099999999998</v>
      </c>
      <c r="F131">
        <f t="shared" si="18"/>
        <v>1.3969600000000002</v>
      </c>
      <c r="G131">
        <f t="shared" si="18"/>
        <v>0.67483050000000011</v>
      </c>
      <c r="H131">
        <f t="shared" si="18"/>
        <v>0.1312392</v>
      </c>
      <c r="I131">
        <f t="shared" si="18"/>
        <v>0.10090618999999999</v>
      </c>
      <c r="J131">
        <f t="shared" si="17"/>
        <v>8.1923269999999992E-3</v>
      </c>
      <c r="K131">
        <f t="shared" si="17"/>
        <v>4.2759766000000001E-3</v>
      </c>
      <c r="L131">
        <f t="shared" si="17"/>
        <v>1.3923615300000002E-3</v>
      </c>
      <c r="M131">
        <f t="shared" si="17"/>
        <v>1.1671604700000001E-4</v>
      </c>
      <c r="N131">
        <f t="shared" si="17"/>
        <v>4.9816677799999997E-5</v>
      </c>
      <c r="O131">
        <f t="shared" si="17"/>
        <v>1.2642405120000001E-5</v>
      </c>
      <c r="P131">
        <f t="shared" si="17"/>
        <v>2.3666357680000001E-6</v>
      </c>
      <c r="R131">
        <f t="shared" si="19"/>
        <v>72.637682273398184</v>
      </c>
    </row>
    <row r="132" spans="2:18" x14ac:dyDescent="0.4">
      <c r="B132">
        <f t="shared" si="18"/>
        <v>83.199000000000012</v>
      </c>
      <c r="C132">
        <f t="shared" si="18"/>
        <v>14.972399999999993</v>
      </c>
      <c r="D132">
        <f t="shared" si="18"/>
        <v>5.0003000000000029</v>
      </c>
      <c r="E132">
        <f t="shared" si="18"/>
        <v>1.3028000000000013</v>
      </c>
      <c r="F132">
        <f t="shared" si="18"/>
        <v>0.98131000000000013</v>
      </c>
      <c r="G132">
        <f t="shared" si="18"/>
        <v>0.35097950000000011</v>
      </c>
      <c r="H132">
        <f t="shared" si="18"/>
        <v>8.5131600000000002E-2</v>
      </c>
      <c r="I132">
        <f t="shared" si="18"/>
        <v>7.9947799999999999E-2</v>
      </c>
      <c r="J132">
        <f t="shared" si="17"/>
        <v>7.0649199999999997E-3</v>
      </c>
      <c r="K132">
        <f t="shared" si="17"/>
        <v>3.8630980000000001E-3</v>
      </c>
      <c r="L132">
        <f t="shared" si="17"/>
        <v>1.2986530000000001E-3</v>
      </c>
      <c r="M132">
        <f t="shared" si="17"/>
        <v>1.1291025000000001E-4</v>
      </c>
      <c r="N132">
        <f t="shared" si="17"/>
        <v>4.852548E-5</v>
      </c>
      <c r="O132">
        <f t="shared" si="17"/>
        <v>1.2449868E-5</v>
      </c>
      <c r="P132">
        <f t="shared" si="17"/>
        <v>2.3502147000000003E-6</v>
      </c>
      <c r="R132">
        <f t="shared" si="19"/>
        <v>117.61226598331541</v>
      </c>
    </row>
    <row r="133" spans="2:18" x14ac:dyDescent="0.4">
      <c r="B133">
        <f t="shared" si="18"/>
        <v>83.199000000000012</v>
      </c>
      <c r="C133">
        <f t="shared" si="18"/>
        <v>14.972399999999993</v>
      </c>
      <c r="D133">
        <f t="shared" si="18"/>
        <v>5.0003000000000029</v>
      </c>
      <c r="E133">
        <f t="shared" si="18"/>
        <v>1.3028000000000013</v>
      </c>
      <c r="F133">
        <f t="shared" si="18"/>
        <v>0.98131000000000013</v>
      </c>
      <c r="G133">
        <f t="shared" si="18"/>
        <v>0.35097950000000011</v>
      </c>
      <c r="H133">
        <f t="shared" si="18"/>
        <v>8.5131600000000002E-2</v>
      </c>
      <c r="I133">
        <f t="shared" si="18"/>
        <v>7.9947799999999999E-2</v>
      </c>
      <c r="J133">
        <f t="shared" si="17"/>
        <v>7.0649199999999997E-3</v>
      </c>
      <c r="K133">
        <f t="shared" si="17"/>
        <v>3.8630980000000001E-3</v>
      </c>
      <c r="L133">
        <f t="shared" si="17"/>
        <v>1.2986530000000001E-3</v>
      </c>
      <c r="M133">
        <f t="shared" si="17"/>
        <v>1.1291025000000001E-4</v>
      </c>
      <c r="N133">
        <f t="shared" si="17"/>
        <v>4.852548E-5</v>
      </c>
      <c r="O133">
        <f t="shared" si="17"/>
        <v>1.2449868E-5</v>
      </c>
      <c r="P133">
        <f t="shared" si="17"/>
        <v>2.3502147000000003E-6</v>
      </c>
      <c r="R133">
        <f t="shared" si="19"/>
        <v>117.61226598331541</v>
      </c>
    </row>
    <row r="134" spans="2:18" x14ac:dyDescent="0.4">
      <c r="B134">
        <f t="shared" si="18"/>
        <v>4.0999999999999659</v>
      </c>
      <c r="C134">
        <f t="shared" si="18"/>
        <v>12.223500000000016</v>
      </c>
      <c r="D134">
        <f t="shared" si="18"/>
        <v>5.5690000000000026</v>
      </c>
      <c r="E134">
        <f t="shared" si="18"/>
        <v>2.9839000000000002</v>
      </c>
      <c r="F134">
        <f t="shared" si="18"/>
        <v>1.4940899999999999</v>
      </c>
      <c r="G134">
        <f t="shared" si="18"/>
        <v>0.79671349999999985</v>
      </c>
      <c r="H134">
        <f t="shared" si="18"/>
        <v>0.22967749999999998</v>
      </c>
      <c r="I134">
        <f t="shared" si="18"/>
        <v>0.15756300000000001</v>
      </c>
      <c r="J134">
        <f t="shared" si="17"/>
        <v>1.0792690000000001E-2</v>
      </c>
      <c r="K134">
        <f t="shared" si="17"/>
        <v>1.3039820000000001E-2</v>
      </c>
      <c r="L134">
        <f t="shared" si="17"/>
        <v>4.1741199999999999E-3</v>
      </c>
      <c r="M134">
        <f t="shared" si="17"/>
        <v>6.2640500000000002E-4</v>
      </c>
      <c r="N134">
        <f t="shared" si="17"/>
        <v>3.0584535000000002E-4</v>
      </c>
      <c r="O134">
        <f t="shared" si="17"/>
        <v>1.3580295E-4</v>
      </c>
      <c r="P134">
        <f t="shared" si="17"/>
        <v>3.2495485E-5</v>
      </c>
      <c r="R134">
        <f t="shared" si="19"/>
        <v>13.349957002282451</v>
      </c>
    </row>
    <row r="135" spans="2:18" x14ac:dyDescent="0.4">
      <c r="B135">
        <f t="shared" si="18"/>
        <v>54.675000000000011</v>
      </c>
      <c r="C135">
        <f t="shared" si="18"/>
        <v>15.887699999999995</v>
      </c>
      <c r="D135">
        <f t="shared" si="18"/>
        <v>0.50359999999999872</v>
      </c>
      <c r="E135">
        <f t="shared" si="18"/>
        <v>0.31832999999999956</v>
      </c>
      <c r="F135">
        <f t="shared" si="18"/>
        <v>0.48478999999999983</v>
      </c>
      <c r="G135">
        <f t="shared" si="18"/>
        <v>0.15261349999999996</v>
      </c>
      <c r="H135">
        <f t="shared" si="18"/>
        <v>9.9201499999999998E-2</v>
      </c>
      <c r="I135">
        <f t="shared" si="18"/>
        <v>4.8044000000000003E-2</v>
      </c>
      <c r="J135">
        <f t="shared" si="17"/>
        <v>1.0230400000000011E-3</v>
      </c>
      <c r="K135">
        <f t="shared" si="17"/>
        <v>1.8229099999999996E-3</v>
      </c>
      <c r="L135">
        <f t="shared" si="17"/>
        <v>1.01483E-3</v>
      </c>
      <c r="M135">
        <f t="shared" si="17"/>
        <v>1.5767999999999989E-5</v>
      </c>
      <c r="N135">
        <f t="shared" si="17"/>
        <v>8.1538350000000015E-5</v>
      </c>
      <c r="O135">
        <f t="shared" si="17"/>
        <v>1.7074949999999998E-5</v>
      </c>
      <c r="P135">
        <f t="shared" si="17"/>
        <v>4.6199049999999999E-6</v>
      </c>
      <c r="R135">
        <f t="shared" si="19"/>
        <v>83.822395395297576</v>
      </c>
    </row>
    <row r="136" spans="2:18" x14ac:dyDescent="0.4">
      <c r="B136">
        <f t="shared" si="18"/>
        <v>64.188999999999965</v>
      </c>
      <c r="C136">
        <f t="shared" si="18"/>
        <v>40.3065</v>
      </c>
      <c r="D136">
        <f t="shared" si="18"/>
        <v>19.605200000000004</v>
      </c>
      <c r="E136">
        <f t="shared" si="18"/>
        <v>2.2299000000000007</v>
      </c>
      <c r="F136">
        <f t="shared" si="18"/>
        <v>0.86364999999999981</v>
      </c>
      <c r="G136">
        <f t="shared" si="18"/>
        <v>1.2544434999999998</v>
      </c>
      <c r="H136">
        <f t="shared" si="18"/>
        <v>9.5176499999999997E-2</v>
      </c>
      <c r="I136">
        <f t="shared" si="18"/>
        <v>0.17744900000000002</v>
      </c>
      <c r="J136">
        <f t="shared" si="17"/>
        <v>1.2684790000000001E-2</v>
      </c>
      <c r="K136">
        <f t="shared" si="17"/>
        <v>1.2860119999999999E-2</v>
      </c>
      <c r="L136">
        <f t="shared" si="17"/>
        <v>3.2454699999999994E-3</v>
      </c>
      <c r="M136">
        <f t="shared" si="17"/>
        <v>3.1808200000000002E-4</v>
      </c>
      <c r="N136">
        <f t="shared" si="17"/>
        <v>1.8627735E-4</v>
      </c>
      <c r="O136">
        <f t="shared" si="17"/>
        <v>5.2797649999999994E-5</v>
      </c>
      <c r="P136">
        <f t="shared" si="17"/>
        <v>1.5512385E-5</v>
      </c>
      <c r="R136">
        <f t="shared" si="19"/>
        <v>114.51708787288237</v>
      </c>
    </row>
    <row r="137" spans="2:18" x14ac:dyDescent="0.4">
      <c r="B137">
        <f t="shared" si="18"/>
        <v>22.887000000000029</v>
      </c>
      <c r="C137">
        <f t="shared" si="18"/>
        <v>18.972500000000011</v>
      </c>
      <c r="D137">
        <f t="shared" si="18"/>
        <v>2.7685999999999993</v>
      </c>
      <c r="E137">
        <f t="shared" si="18"/>
        <v>4.3699000000000012</v>
      </c>
      <c r="F137">
        <f t="shared" si="18"/>
        <v>1.2881299999999998</v>
      </c>
      <c r="G137">
        <f t="shared" si="18"/>
        <v>0.44405349999999988</v>
      </c>
      <c r="H137">
        <f t="shared" si="18"/>
        <v>5.3357500000000002E-2</v>
      </c>
      <c r="I137">
        <f t="shared" si="18"/>
        <v>4.8677999999999999E-2</v>
      </c>
      <c r="J137">
        <f t="shared" si="17"/>
        <v>5.4611900000000012E-3</v>
      </c>
      <c r="K137">
        <f t="shared" si="17"/>
        <v>5.1331000000000033E-4</v>
      </c>
      <c r="L137">
        <f t="shared" si="17"/>
        <v>6.1006999999999988E-4</v>
      </c>
      <c r="M137">
        <f t="shared" si="17"/>
        <v>8.6015999999999984E-5</v>
      </c>
      <c r="N137">
        <f t="shared" si="17"/>
        <v>3.297555E-5</v>
      </c>
      <c r="O137">
        <f t="shared" si="17"/>
        <v>8.9283500000000007E-6</v>
      </c>
      <c r="P137">
        <f t="shared" si="17"/>
        <v>1.8505649999999998E-6</v>
      </c>
      <c r="R137">
        <f t="shared" si="19"/>
        <v>9.1686608360375885</v>
      </c>
    </row>
    <row r="138" spans="2:18" x14ac:dyDescent="0.4">
      <c r="B138">
        <f t="shared" si="18"/>
        <v>28.23399999999998</v>
      </c>
      <c r="C138">
        <f t="shared" si="18"/>
        <v>0.40750000000001307</v>
      </c>
      <c r="D138">
        <f t="shared" si="18"/>
        <v>1.6430000000000007</v>
      </c>
      <c r="E138">
        <f t="shared" si="18"/>
        <v>0.38002000000000002</v>
      </c>
      <c r="F138">
        <f t="shared" si="18"/>
        <v>9.5250000000000057E-2</v>
      </c>
      <c r="G138">
        <f t="shared" si="18"/>
        <v>0.38153349999999997</v>
      </c>
      <c r="H138">
        <f t="shared" si="18"/>
        <v>6.6280499999999992E-2</v>
      </c>
      <c r="I138">
        <f t="shared" si="18"/>
        <v>5.7906000000000013E-2</v>
      </c>
      <c r="J138">
        <f t="shared" si="17"/>
        <v>1.0445590000000001E-2</v>
      </c>
      <c r="K138">
        <f t="shared" si="17"/>
        <v>1.0105000000000001E-3</v>
      </c>
      <c r="L138">
        <f t="shared" si="17"/>
        <v>1.37222E-3</v>
      </c>
      <c r="M138">
        <f t="shared" si="17"/>
        <v>2.3179699999999998E-4</v>
      </c>
      <c r="N138">
        <f t="shared" si="17"/>
        <v>9.3845349999999991E-5</v>
      </c>
      <c r="O138">
        <f t="shared" si="17"/>
        <v>2.4953949999999998E-5</v>
      </c>
      <c r="P138">
        <f t="shared" si="17"/>
        <v>5.0559549999999998E-6</v>
      </c>
      <c r="R138">
        <f t="shared" si="19"/>
        <v>16.285039785752417</v>
      </c>
    </row>
    <row r="139" spans="2:18" x14ac:dyDescent="0.4">
      <c r="B139">
        <f t="shared" si="18"/>
        <v>0.27400000000000091</v>
      </c>
      <c r="C139">
        <f t="shared" si="18"/>
        <v>33.787500000000023</v>
      </c>
      <c r="D139">
        <f t="shared" si="18"/>
        <v>6.9346000000000032</v>
      </c>
      <c r="E139">
        <f t="shared" si="18"/>
        <v>0.45187000000000133</v>
      </c>
      <c r="F139">
        <f t="shared" si="18"/>
        <v>1.07524</v>
      </c>
      <c r="G139">
        <f t="shared" si="18"/>
        <v>1.1427635</v>
      </c>
      <c r="H139">
        <f t="shared" si="18"/>
        <v>0.18821450000000001</v>
      </c>
      <c r="I139">
        <f t="shared" si="18"/>
        <v>0.12773100000000001</v>
      </c>
      <c r="J139">
        <f t="shared" si="17"/>
        <v>1.7970590000000002E-2</v>
      </c>
      <c r="K139">
        <f t="shared" si="17"/>
        <v>7.4516199999999999E-3</v>
      </c>
      <c r="L139">
        <f t="shared" si="17"/>
        <v>3.7381300000000001E-3</v>
      </c>
      <c r="M139">
        <f t="shared" si="17"/>
        <v>3.8704699999999996E-4</v>
      </c>
      <c r="N139">
        <f t="shared" si="17"/>
        <v>2.6417634999999998E-4</v>
      </c>
      <c r="O139">
        <f t="shared" si="17"/>
        <v>6.6018150000000001E-5</v>
      </c>
      <c r="P139">
        <f t="shared" si="17"/>
        <v>1.9009485E-5</v>
      </c>
      <c r="R139">
        <f t="shared" si="19"/>
        <v>29.778221414482459</v>
      </c>
    </row>
    <row r="140" spans="2:18" x14ac:dyDescent="0.4">
      <c r="B140">
        <f t="shared" si="18"/>
        <v>87.90500000000003</v>
      </c>
      <c r="C140">
        <f t="shared" si="18"/>
        <v>7.4697999999999922</v>
      </c>
      <c r="D140">
        <f t="shared" si="18"/>
        <v>7.2747000000000028</v>
      </c>
      <c r="E140">
        <f t="shared" si="18"/>
        <v>2.019400000000001</v>
      </c>
      <c r="F140">
        <f t="shared" si="18"/>
        <v>2.5042999999999997</v>
      </c>
      <c r="G140">
        <f t="shared" si="18"/>
        <v>1.3349335</v>
      </c>
      <c r="H140">
        <f t="shared" si="18"/>
        <v>0.2405195</v>
      </c>
      <c r="I140">
        <f t="shared" si="18"/>
        <v>0.34159</v>
      </c>
      <c r="J140">
        <f t="shared" si="17"/>
        <v>2.3883889999999998E-2</v>
      </c>
      <c r="K140">
        <f t="shared" si="17"/>
        <v>2.0609519999999999E-2</v>
      </c>
      <c r="L140">
        <f t="shared" si="17"/>
        <v>6.845379999999999E-3</v>
      </c>
      <c r="M140">
        <f t="shared" si="17"/>
        <v>6.5460399999999993E-4</v>
      </c>
      <c r="N140">
        <f t="shared" si="17"/>
        <v>4.6492535000000005E-4</v>
      </c>
      <c r="O140">
        <f t="shared" si="17"/>
        <v>1.1245995E-4</v>
      </c>
      <c r="P140">
        <f t="shared" si="17"/>
        <v>3.6648284999999998E-5</v>
      </c>
      <c r="R140">
        <f t="shared" si="19"/>
        <v>95.840343748917519</v>
      </c>
    </row>
    <row r="141" spans="2:18" x14ac:dyDescent="0.4">
      <c r="B141">
        <f t="shared" si="18"/>
        <v>145.339</v>
      </c>
      <c r="C141">
        <f t="shared" si="18"/>
        <v>38.080500000000001</v>
      </c>
      <c r="D141">
        <f t="shared" si="18"/>
        <v>10.851399999999998</v>
      </c>
      <c r="E141">
        <f t="shared" si="18"/>
        <v>4.2467000000000006</v>
      </c>
      <c r="F141">
        <f t="shared" si="18"/>
        <v>8.2500000000000018E-2</v>
      </c>
      <c r="G141">
        <f t="shared" si="18"/>
        <v>0.43139349999999999</v>
      </c>
      <c r="H141">
        <f t="shared" si="18"/>
        <v>1.1513499999999982E-2</v>
      </c>
      <c r="I141">
        <f t="shared" si="18"/>
        <v>3.7019999999999997E-2</v>
      </c>
      <c r="J141">
        <f t="shared" si="17"/>
        <v>2.6092900000000002E-3</v>
      </c>
      <c r="K141">
        <f t="shared" si="17"/>
        <v>1.7021900000000001E-3</v>
      </c>
      <c r="L141">
        <f t="shared" si="17"/>
        <v>7.9365999999999985E-4</v>
      </c>
      <c r="M141">
        <f t="shared" si="17"/>
        <v>4.9171999999999996E-5</v>
      </c>
      <c r="N141">
        <f t="shared" si="17"/>
        <v>4.9621750000000003E-5</v>
      </c>
      <c r="O141">
        <f t="shared" si="17"/>
        <v>1.2653950000000001E-5</v>
      </c>
      <c r="P141">
        <f t="shared" si="17"/>
        <v>2.738885E-6</v>
      </c>
      <c r="R141">
        <f t="shared" si="19"/>
        <v>162.96082515008243</v>
      </c>
    </row>
    <row r="142" spans="2:18" x14ac:dyDescent="0.4">
      <c r="B142">
        <f t="shared" si="18"/>
        <v>48.000999999999976</v>
      </c>
      <c r="C142">
        <f t="shared" si="18"/>
        <v>14.035799999999995</v>
      </c>
      <c r="D142">
        <f t="shared" si="18"/>
        <v>6.2184999999999988</v>
      </c>
      <c r="E142">
        <f t="shared" si="18"/>
        <v>0.32216000000000022</v>
      </c>
      <c r="F142">
        <f t="shared" si="18"/>
        <v>0.14286000000000021</v>
      </c>
      <c r="G142">
        <f t="shared" si="18"/>
        <v>0.1890805000000001</v>
      </c>
      <c r="H142">
        <f t="shared" si="18"/>
        <v>5.0756499999999996E-2</v>
      </c>
      <c r="I142">
        <f t="shared" si="18"/>
        <v>5.0299999999999928E-3</v>
      </c>
      <c r="J142">
        <f t="shared" si="17"/>
        <v>3.0106999999999877E-4</v>
      </c>
      <c r="K142">
        <f t="shared" si="17"/>
        <v>1.2412099999999995E-3</v>
      </c>
      <c r="L142">
        <f t="shared" si="17"/>
        <v>2.7596999999999995E-4</v>
      </c>
      <c r="M142">
        <f t="shared" si="17"/>
        <v>8.1953999999999995E-5</v>
      </c>
      <c r="N142">
        <f t="shared" si="17"/>
        <v>9.0637350000000004E-5</v>
      </c>
      <c r="O142">
        <f t="shared" si="17"/>
        <v>2.722615E-5</v>
      </c>
      <c r="P142">
        <f t="shared" si="17"/>
        <v>7.2021150000000002E-6</v>
      </c>
      <c r="R142">
        <f t="shared" si="19"/>
        <v>13.448961953112587</v>
      </c>
    </row>
    <row r="143" spans="2:18" x14ac:dyDescent="0.4">
      <c r="B143">
        <f t="shared" si="18"/>
        <v>52.164999999999964</v>
      </c>
      <c r="C143">
        <f t="shared" si="18"/>
        <v>18.095500000000015</v>
      </c>
      <c r="D143">
        <f t="shared" si="18"/>
        <v>20.677900000000001</v>
      </c>
      <c r="E143">
        <f t="shared" si="18"/>
        <v>0.93013999999999974</v>
      </c>
      <c r="F143">
        <f t="shared" si="18"/>
        <v>0.74488000000000021</v>
      </c>
      <c r="G143">
        <f t="shared" si="18"/>
        <v>0.48444450000000006</v>
      </c>
      <c r="H143">
        <f t="shared" si="18"/>
        <v>0.10413</v>
      </c>
      <c r="I143">
        <f t="shared" si="18"/>
        <v>7.6905799999999996E-2</v>
      </c>
      <c r="J143">
        <f t="shared" si="17"/>
        <v>7.2352799999999993E-3</v>
      </c>
      <c r="K143">
        <f t="shared" si="17"/>
        <v>3.9707739999999998E-3</v>
      </c>
      <c r="L143">
        <f t="shared" si="17"/>
        <v>1.3223777000000003E-3</v>
      </c>
      <c r="M143">
        <f t="shared" si="17"/>
        <v>1.1324438000000002E-4</v>
      </c>
      <c r="N143">
        <f t="shared" si="17"/>
        <v>4.8963076E-5</v>
      </c>
      <c r="O143">
        <f t="shared" si="17"/>
        <v>1.2548705000000001E-5</v>
      </c>
      <c r="P143">
        <f t="shared" si="17"/>
        <v>2.35907929E-6</v>
      </c>
      <c r="R143">
        <f t="shared" si="19"/>
        <v>32.995799976557123</v>
      </c>
    </row>
    <row r="144" spans="2:18" x14ac:dyDescent="0.4">
      <c r="B144">
        <f t="shared" si="18"/>
        <v>82.188999999999965</v>
      </c>
      <c r="C144">
        <f t="shared" si="18"/>
        <v>1.110500000000016</v>
      </c>
      <c r="D144">
        <f t="shared" si="18"/>
        <v>0.88049999999999784</v>
      </c>
      <c r="E144">
        <f t="shared" si="18"/>
        <v>0.99520000000000053</v>
      </c>
      <c r="F144">
        <f t="shared" si="18"/>
        <v>5.250000000000199E-3</v>
      </c>
      <c r="G144">
        <f t="shared" si="18"/>
        <v>0.33859349999999999</v>
      </c>
      <c r="H144">
        <f t="shared" si="18"/>
        <v>8.4753500000000009E-2</v>
      </c>
      <c r="I144">
        <f t="shared" si="18"/>
        <v>6.4051999999999998E-2</v>
      </c>
      <c r="J144">
        <f t="shared" ref="J144:P159" si="20">ABS(J43-B$20)</f>
        <v>6.3720900000000004E-3</v>
      </c>
      <c r="K144">
        <f t="shared" si="20"/>
        <v>4.2891999999999991E-3</v>
      </c>
      <c r="L144">
        <f t="shared" si="20"/>
        <v>1.7422599999999998E-3</v>
      </c>
      <c r="M144">
        <f t="shared" si="20"/>
        <v>2.9401199999999996E-4</v>
      </c>
      <c r="N144">
        <f t="shared" si="20"/>
        <v>1.4387635000000001E-4</v>
      </c>
      <c r="O144">
        <f t="shared" si="20"/>
        <v>5.1435050000000001E-5</v>
      </c>
      <c r="P144">
        <f t="shared" si="20"/>
        <v>1.5251485E-5</v>
      </c>
      <c r="R144">
        <f t="shared" si="19"/>
        <v>71.436662948382491</v>
      </c>
    </row>
    <row r="145" spans="2:18" x14ac:dyDescent="0.4">
      <c r="B145">
        <f t="shared" ref="B145:I160" si="21">ABS(B44-B$10)</f>
        <v>22.787000000000035</v>
      </c>
      <c r="C145">
        <f t="shared" si="21"/>
        <v>16.259599999999992</v>
      </c>
      <c r="D145">
        <f t="shared" si="21"/>
        <v>13.169800000000002</v>
      </c>
      <c r="E145">
        <f t="shared" si="21"/>
        <v>0.20283000000000051</v>
      </c>
      <c r="F145">
        <f t="shared" si="21"/>
        <v>0.13398999999999983</v>
      </c>
      <c r="G145">
        <f t="shared" si="21"/>
        <v>0.24197349999999984</v>
      </c>
      <c r="H145">
        <f t="shared" si="21"/>
        <v>3.4977499999999995E-2</v>
      </c>
      <c r="I145">
        <f t="shared" si="21"/>
        <v>1.8287999999999999E-2</v>
      </c>
      <c r="J145">
        <f t="shared" si="20"/>
        <v>2.7025900000000012E-3</v>
      </c>
      <c r="K145">
        <f t="shared" si="20"/>
        <v>9.8092999999999965E-4</v>
      </c>
      <c r="L145">
        <f t="shared" si="20"/>
        <v>7.664299999999998E-4</v>
      </c>
      <c r="M145">
        <f t="shared" si="20"/>
        <v>4.1987000000000003E-5</v>
      </c>
      <c r="N145">
        <f t="shared" si="20"/>
        <v>6.1696349999999998E-5</v>
      </c>
      <c r="O145">
        <f t="shared" si="20"/>
        <v>1.452325E-5</v>
      </c>
      <c r="P145">
        <f t="shared" si="20"/>
        <v>2.8583850000000002E-6</v>
      </c>
      <c r="R145">
        <f t="shared" si="19"/>
        <v>65.813364161517597</v>
      </c>
    </row>
    <row r="146" spans="2:18" x14ac:dyDescent="0.4">
      <c r="B146">
        <f t="shared" si="21"/>
        <v>21.306000000000012</v>
      </c>
      <c r="C146">
        <f t="shared" si="21"/>
        <v>20.235899999999987</v>
      </c>
      <c r="D146">
        <f t="shared" si="21"/>
        <v>7.2334999999999994</v>
      </c>
      <c r="E146">
        <f t="shared" si="21"/>
        <v>0.81939000000000028</v>
      </c>
      <c r="F146">
        <f t="shared" si="21"/>
        <v>0.44142000000000037</v>
      </c>
      <c r="G146">
        <f t="shared" si="21"/>
        <v>0.37102850000000009</v>
      </c>
      <c r="H146">
        <f t="shared" si="21"/>
        <v>5.9360799999999991E-2</v>
      </c>
      <c r="I146">
        <f t="shared" si="21"/>
        <v>5.0947699999999999E-2</v>
      </c>
      <c r="J146">
        <f t="shared" si="20"/>
        <v>4.1882799999999991E-3</v>
      </c>
      <c r="K146">
        <f t="shared" si="20"/>
        <v>1.7432800000000003E-3</v>
      </c>
      <c r="L146">
        <f t="shared" si="20"/>
        <v>7.148460000000001E-4</v>
      </c>
      <c r="M146">
        <f t="shared" si="20"/>
        <v>5.4746900000000003E-5</v>
      </c>
      <c r="N146">
        <f t="shared" si="20"/>
        <v>2.3506849999999997E-5</v>
      </c>
      <c r="O146">
        <f t="shared" si="20"/>
        <v>6.0210100000000003E-6</v>
      </c>
      <c r="P146">
        <f t="shared" si="20"/>
        <v>1.0533650000000002E-6</v>
      </c>
      <c r="R146">
        <f t="shared" si="19"/>
        <v>64.757872910627555</v>
      </c>
    </row>
    <row r="147" spans="2:18" x14ac:dyDescent="0.4">
      <c r="B147">
        <f t="shared" si="21"/>
        <v>56.221000000000004</v>
      </c>
      <c r="C147">
        <f t="shared" si="21"/>
        <v>12.233500000000006</v>
      </c>
      <c r="D147">
        <f t="shared" si="21"/>
        <v>12.830999999999996</v>
      </c>
      <c r="E147">
        <f t="shared" si="21"/>
        <v>1.030800000000001</v>
      </c>
      <c r="F147">
        <f t="shared" si="21"/>
        <v>2.4968899999999996</v>
      </c>
      <c r="G147">
        <f t="shared" si="21"/>
        <v>1.2634034999999999</v>
      </c>
      <c r="H147">
        <f t="shared" si="21"/>
        <v>0.29431649999999998</v>
      </c>
      <c r="I147">
        <f t="shared" si="21"/>
        <v>0.33642500000000003</v>
      </c>
      <c r="J147">
        <f t="shared" si="20"/>
        <v>2.7751490000000004E-2</v>
      </c>
      <c r="K147">
        <f t="shared" si="20"/>
        <v>1.984172E-2</v>
      </c>
      <c r="L147">
        <f t="shared" si="20"/>
        <v>7.0838400000000001E-3</v>
      </c>
      <c r="M147">
        <f t="shared" si="20"/>
        <v>4.88417E-4</v>
      </c>
      <c r="N147">
        <f t="shared" si="20"/>
        <v>4.1327835000000001E-4</v>
      </c>
      <c r="O147">
        <f t="shared" si="20"/>
        <v>8.2745149999999992E-5</v>
      </c>
      <c r="P147">
        <f t="shared" si="20"/>
        <v>2.3223984999999999E-5</v>
      </c>
      <c r="R147">
        <f t="shared" si="19"/>
        <v>72.529425537982434</v>
      </c>
    </row>
    <row r="148" spans="2:18" x14ac:dyDescent="0.4">
      <c r="B148">
        <f t="shared" si="21"/>
        <v>102.22799999999995</v>
      </c>
      <c r="C148">
        <f t="shared" si="21"/>
        <v>22.469799999999992</v>
      </c>
      <c r="D148">
        <f t="shared" si="21"/>
        <v>2.7541999999999973</v>
      </c>
      <c r="E148">
        <f t="shared" si="21"/>
        <v>2.1607399999999997</v>
      </c>
      <c r="F148">
        <f t="shared" si="21"/>
        <v>0.88493000000000022</v>
      </c>
      <c r="G148">
        <f t="shared" si="21"/>
        <v>7.4715500000000046E-2</v>
      </c>
      <c r="H148">
        <f t="shared" si="21"/>
        <v>7.0628899999999994E-2</v>
      </c>
      <c r="I148">
        <f t="shared" si="21"/>
        <v>5.0872899999999999E-2</v>
      </c>
      <c r="J148">
        <f t="shared" si="20"/>
        <v>4.6772499999999991E-3</v>
      </c>
      <c r="K148">
        <f t="shared" si="20"/>
        <v>3.1509400000000001E-3</v>
      </c>
      <c r="L148">
        <f t="shared" si="20"/>
        <v>1.1022850000000002E-3</v>
      </c>
      <c r="M148">
        <f t="shared" si="20"/>
        <v>1.0284480000000001E-4</v>
      </c>
      <c r="N148">
        <f t="shared" si="20"/>
        <v>4.3294529999999999E-5</v>
      </c>
      <c r="O148">
        <f t="shared" si="20"/>
        <v>1.1940458E-5</v>
      </c>
      <c r="P148">
        <f t="shared" si="20"/>
        <v>2.2475560000000004E-6</v>
      </c>
      <c r="R148">
        <f t="shared" si="19"/>
        <v>59.51942772115342</v>
      </c>
    </row>
    <row r="149" spans="2:18" x14ac:dyDescent="0.4">
      <c r="B149">
        <f t="shared" si="21"/>
        <v>30.346000000000032</v>
      </c>
      <c r="C149">
        <f t="shared" si="21"/>
        <v>1.7655000000000172</v>
      </c>
      <c r="D149">
        <f t="shared" si="21"/>
        <v>43.698200000000007</v>
      </c>
      <c r="E149">
        <f t="shared" si="21"/>
        <v>13.0618</v>
      </c>
      <c r="F149">
        <f t="shared" si="21"/>
        <v>7.5926900000000002</v>
      </c>
      <c r="G149">
        <f t="shared" si="21"/>
        <v>5.4536634999999993</v>
      </c>
      <c r="H149">
        <f t="shared" si="21"/>
        <v>2.0755374999999998</v>
      </c>
      <c r="I149">
        <f t="shared" si="21"/>
        <v>3.2232589999999997</v>
      </c>
      <c r="J149">
        <f t="shared" si="20"/>
        <v>0.31279129</v>
      </c>
      <c r="K149">
        <f t="shared" si="20"/>
        <v>0.36586842000000003</v>
      </c>
      <c r="L149">
        <f t="shared" si="20"/>
        <v>0.36516279999999995</v>
      </c>
      <c r="M149">
        <f t="shared" si="20"/>
        <v>4.6607196000000004E-2</v>
      </c>
      <c r="N149">
        <f t="shared" si="20"/>
        <v>4.0951299350000005E-2</v>
      </c>
      <c r="O149">
        <f t="shared" si="20"/>
        <v>1.8247947949999999E-2</v>
      </c>
      <c r="P149">
        <f t="shared" si="20"/>
        <v>1.9908932785E-2</v>
      </c>
      <c r="R149">
        <f t="shared" si="19"/>
        <v>33.460593709582383</v>
      </c>
    </row>
    <row r="150" spans="2:18" x14ac:dyDescent="0.4">
      <c r="B150">
        <f t="shared" si="21"/>
        <v>30.250000000000028</v>
      </c>
      <c r="C150">
        <f t="shared" si="21"/>
        <v>16.458699999999993</v>
      </c>
      <c r="D150">
        <f t="shared" si="21"/>
        <v>5.7415999999999983</v>
      </c>
      <c r="E150">
        <f t="shared" si="21"/>
        <v>1.0463899999999988</v>
      </c>
      <c r="F150">
        <f t="shared" si="21"/>
        <v>5.7799999999996743E-3</v>
      </c>
      <c r="G150">
        <f t="shared" si="21"/>
        <v>0.17743150000000008</v>
      </c>
      <c r="H150">
        <f t="shared" si="21"/>
        <v>5.4274499999999989E-2</v>
      </c>
      <c r="I150">
        <f t="shared" si="21"/>
        <v>3.8021399999999997E-2</v>
      </c>
      <c r="J150">
        <f t="shared" si="20"/>
        <v>3.6380399999999995E-3</v>
      </c>
      <c r="K150">
        <f t="shared" si="20"/>
        <v>1.7404999999999999E-3</v>
      </c>
      <c r="L150">
        <f t="shared" si="20"/>
        <v>8.7947800000000016E-4</v>
      </c>
      <c r="M150">
        <f t="shared" si="20"/>
        <v>7.48608E-5</v>
      </c>
      <c r="N150">
        <f t="shared" si="20"/>
        <v>2.8564549999999997E-5</v>
      </c>
      <c r="O150">
        <f t="shared" si="20"/>
        <v>9.2230700000000011E-6</v>
      </c>
      <c r="P150">
        <f t="shared" si="20"/>
        <v>1.7313060000000002E-6</v>
      </c>
      <c r="R150">
        <f t="shared" si="19"/>
        <v>68.000603974228511</v>
      </c>
    </row>
    <row r="151" spans="2:18" x14ac:dyDescent="0.4">
      <c r="B151">
        <f t="shared" si="21"/>
        <v>6.9539999999999509</v>
      </c>
      <c r="C151">
        <f t="shared" si="21"/>
        <v>21.372500000000016</v>
      </c>
      <c r="D151">
        <f t="shared" si="21"/>
        <v>4.3293000000000035</v>
      </c>
      <c r="E151">
        <f t="shared" si="21"/>
        <v>1.8125999999999998</v>
      </c>
      <c r="F151">
        <f t="shared" si="21"/>
        <v>0.48582000000000036</v>
      </c>
      <c r="G151">
        <f t="shared" si="21"/>
        <v>0.10468850000000007</v>
      </c>
      <c r="H151">
        <f t="shared" si="21"/>
        <v>3.8975499999999996E-2</v>
      </c>
      <c r="I151">
        <f t="shared" si="21"/>
        <v>1.7390900000000001E-2</v>
      </c>
      <c r="J151">
        <f t="shared" si="20"/>
        <v>1.1755799999999999E-3</v>
      </c>
      <c r="K151">
        <f t="shared" si="20"/>
        <v>1.7897999999999959E-4</v>
      </c>
      <c r="L151">
        <f t="shared" si="20"/>
        <v>3.6042000000000018E-4</v>
      </c>
      <c r="M151">
        <f t="shared" si="20"/>
        <v>1.2316999999999997E-5</v>
      </c>
      <c r="N151">
        <f t="shared" si="20"/>
        <v>7.0617499999999972E-6</v>
      </c>
      <c r="O151">
        <f t="shared" si="20"/>
        <v>2.2715000000000002E-7</v>
      </c>
      <c r="P151">
        <f t="shared" si="20"/>
        <v>5.0580500000000023E-7</v>
      </c>
      <c r="R151">
        <f t="shared" si="19"/>
        <v>10.927978880092382</v>
      </c>
    </row>
    <row r="152" spans="2:18" x14ac:dyDescent="0.4">
      <c r="B152">
        <f t="shared" si="21"/>
        <v>44.435000000000031</v>
      </c>
      <c r="C152">
        <f t="shared" si="21"/>
        <v>12.04849999999999</v>
      </c>
      <c r="D152">
        <f t="shared" si="21"/>
        <v>11.061100000000003</v>
      </c>
      <c r="E152">
        <f t="shared" si="21"/>
        <v>1.1957000000000004</v>
      </c>
      <c r="F152">
        <f t="shared" si="21"/>
        <v>2.7469999999999661E-2</v>
      </c>
      <c r="G152">
        <f t="shared" si="21"/>
        <v>0.1830075000000001</v>
      </c>
      <c r="H152">
        <f t="shared" si="21"/>
        <v>4.8830499999999999E-2</v>
      </c>
      <c r="I152">
        <f t="shared" si="21"/>
        <v>5.0347900000000001E-2</v>
      </c>
      <c r="J152">
        <f t="shared" si="20"/>
        <v>5.9293599999999998E-3</v>
      </c>
      <c r="K152">
        <f t="shared" si="20"/>
        <v>3.3382200000000002E-3</v>
      </c>
      <c r="L152">
        <f t="shared" si="20"/>
        <v>1.2069180000000002E-3</v>
      </c>
      <c r="M152">
        <f t="shared" si="20"/>
        <v>1.0449270000000001E-4</v>
      </c>
      <c r="N152">
        <f t="shared" si="20"/>
        <v>4.6305050000000001E-5</v>
      </c>
      <c r="O152">
        <f t="shared" si="20"/>
        <v>1.2062941E-5</v>
      </c>
      <c r="P152">
        <f t="shared" si="20"/>
        <v>2.2994645000000001E-6</v>
      </c>
      <c r="R152">
        <f t="shared" si="19"/>
        <v>58.725649734658077</v>
      </c>
    </row>
    <row r="153" spans="2:18" x14ac:dyDescent="0.4">
      <c r="B153">
        <f t="shared" si="21"/>
        <v>9.1180000000000234</v>
      </c>
      <c r="C153">
        <f t="shared" si="21"/>
        <v>3.2125000000000057</v>
      </c>
      <c r="D153">
        <f t="shared" si="21"/>
        <v>5.5579999999999998</v>
      </c>
      <c r="E153">
        <f t="shared" si="21"/>
        <v>0.87070000000000114</v>
      </c>
      <c r="F153">
        <f t="shared" si="21"/>
        <v>0.26173999999999964</v>
      </c>
      <c r="G153">
        <f t="shared" si="21"/>
        <v>0.14556349999999996</v>
      </c>
      <c r="H153">
        <f t="shared" si="21"/>
        <v>0.10067550000000003</v>
      </c>
      <c r="I153">
        <f t="shared" si="21"/>
        <v>4.2265999999999998E-2</v>
      </c>
      <c r="J153">
        <f t="shared" si="20"/>
        <v>5.5076900000000008E-3</v>
      </c>
      <c r="K153">
        <f t="shared" si="20"/>
        <v>3.4890699999999995E-3</v>
      </c>
      <c r="L153">
        <f t="shared" si="20"/>
        <v>2.1141099999999998E-3</v>
      </c>
      <c r="M153">
        <f t="shared" si="20"/>
        <v>1.4166600000000001E-4</v>
      </c>
      <c r="N153">
        <f t="shared" si="20"/>
        <v>1.3586235000000001E-4</v>
      </c>
      <c r="O153">
        <f t="shared" si="20"/>
        <v>3.4433349999999998E-5</v>
      </c>
      <c r="P153">
        <f t="shared" si="20"/>
        <v>1.1012184999999998E-5</v>
      </c>
      <c r="R153">
        <f t="shared" si="19"/>
        <v>24.264715332617527</v>
      </c>
    </row>
    <row r="154" spans="2:18" x14ac:dyDescent="0.4">
      <c r="B154">
        <f t="shared" si="21"/>
        <v>148.35999999999996</v>
      </c>
      <c r="C154">
        <f t="shared" si="21"/>
        <v>15.97529999999999</v>
      </c>
      <c r="D154">
        <f t="shared" si="21"/>
        <v>6.5122</v>
      </c>
      <c r="E154">
        <f t="shared" si="21"/>
        <v>1.2772499999999987</v>
      </c>
      <c r="F154">
        <f t="shared" si="21"/>
        <v>0.39009000000000027</v>
      </c>
      <c r="G154">
        <f t="shared" si="21"/>
        <v>0.28276150000000011</v>
      </c>
      <c r="H154">
        <f t="shared" si="21"/>
        <v>6.1030899999999999E-2</v>
      </c>
      <c r="I154">
        <f t="shared" si="21"/>
        <v>5.9190699999999999E-2</v>
      </c>
      <c r="J154">
        <f t="shared" si="20"/>
        <v>4.9550799999999989E-3</v>
      </c>
      <c r="K154">
        <f t="shared" si="20"/>
        <v>3.1559300000000004E-3</v>
      </c>
      <c r="L154">
        <f t="shared" si="20"/>
        <v>1.0310100000000002E-3</v>
      </c>
      <c r="M154">
        <f t="shared" si="20"/>
        <v>1.0198740000000001E-4</v>
      </c>
      <c r="N154">
        <f t="shared" si="20"/>
        <v>4.08328E-5</v>
      </c>
      <c r="O154">
        <f t="shared" si="20"/>
        <v>1.1289960000000001E-5</v>
      </c>
      <c r="P154">
        <f t="shared" si="20"/>
        <v>2.1653510000000002E-6</v>
      </c>
      <c r="R154">
        <f t="shared" si="19"/>
        <v>109.55928442798643</v>
      </c>
    </row>
    <row r="155" spans="2:18" x14ac:dyDescent="0.4">
      <c r="B155">
        <f t="shared" si="21"/>
        <v>103.21400000000003</v>
      </c>
      <c r="C155">
        <f t="shared" si="21"/>
        <v>9.3954999999999842</v>
      </c>
      <c r="D155">
        <f t="shared" si="21"/>
        <v>6.9384000000000015</v>
      </c>
      <c r="E155">
        <f t="shared" si="21"/>
        <v>0.82777999999999885</v>
      </c>
      <c r="F155">
        <f t="shared" si="21"/>
        <v>8.8900000000000645E-3</v>
      </c>
      <c r="G155">
        <f t="shared" si="21"/>
        <v>6.5564999999999651E-3</v>
      </c>
      <c r="H155">
        <f t="shared" si="21"/>
        <v>2.1245000000000014E-3</v>
      </c>
      <c r="I155">
        <f t="shared" si="21"/>
        <v>1.2670000000000001E-2</v>
      </c>
      <c r="J155">
        <f t="shared" si="20"/>
        <v>7.9080000000000122E-4</v>
      </c>
      <c r="K155">
        <f t="shared" si="20"/>
        <v>4.588099999999996E-4</v>
      </c>
      <c r="L155">
        <f t="shared" si="20"/>
        <v>3.6197999999999981E-4</v>
      </c>
      <c r="M155">
        <f t="shared" si="20"/>
        <v>4.3230999999999993E-5</v>
      </c>
      <c r="N155">
        <f t="shared" si="20"/>
        <v>2.5483050000000003E-5</v>
      </c>
      <c r="O155">
        <f t="shared" si="20"/>
        <v>1.4188350000000001E-5</v>
      </c>
      <c r="P155">
        <f t="shared" si="20"/>
        <v>3.1826549999999994E-6</v>
      </c>
      <c r="R155">
        <f t="shared" si="19"/>
        <v>134.5993645014475</v>
      </c>
    </row>
    <row r="156" spans="2:18" x14ac:dyDescent="0.4">
      <c r="B156">
        <f t="shared" si="21"/>
        <v>59.81699999999995</v>
      </c>
      <c r="C156">
        <f t="shared" si="21"/>
        <v>7.4775000000000063</v>
      </c>
      <c r="D156">
        <f t="shared" si="21"/>
        <v>1.8933000000000035</v>
      </c>
      <c r="E156">
        <f t="shared" si="21"/>
        <v>0.98986999999999981</v>
      </c>
      <c r="F156">
        <f t="shared" si="21"/>
        <v>0.53415000000000035</v>
      </c>
      <c r="G156">
        <f t="shared" si="21"/>
        <v>0.20742550000000004</v>
      </c>
      <c r="H156">
        <f t="shared" si="21"/>
        <v>6.2247199999999989E-2</v>
      </c>
      <c r="I156">
        <f t="shared" si="21"/>
        <v>5.0843899999999997E-2</v>
      </c>
      <c r="J156">
        <f t="shared" si="20"/>
        <v>5.6634799999999994E-3</v>
      </c>
      <c r="K156">
        <f t="shared" si="20"/>
        <v>3.3623260000000001E-3</v>
      </c>
      <c r="L156">
        <f t="shared" si="20"/>
        <v>1.1562740000000001E-3</v>
      </c>
      <c r="M156">
        <f t="shared" si="20"/>
        <v>1.0366850000000001E-4</v>
      </c>
      <c r="N156">
        <f t="shared" si="20"/>
        <v>4.4222579999999998E-5</v>
      </c>
      <c r="O156">
        <f t="shared" si="20"/>
        <v>1.1771002999999999E-5</v>
      </c>
      <c r="P156">
        <f t="shared" si="20"/>
        <v>2.2593170000000004E-6</v>
      </c>
      <c r="R156">
        <f t="shared" si="19"/>
        <v>49.31272522209747</v>
      </c>
    </row>
    <row r="157" spans="2:18" x14ac:dyDescent="0.4">
      <c r="B157">
        <f t="shared" si="21"/>
        <v>58.789999999999964</v>
      </c>
      <c r="C157">
        <f t="shared" si="21"/>
        <v>5.8822999999999865</v>
      </c>
      <c r="D157">
        <f t="shared" si="21"/>
        <v>1.7700999999999993</v>
      </c>
      <c r="E157">
        <f t="shared" si="21"/>
        <v>2.134999999999998E-2</v>
      </c>
      <c r="F157">
        <f t="shared" si="21"/>
        <v>0.95699000000000023</v>
      </c>
      <c r="G157">
        <f t="shared" si="21"/>
        <v>0.36413050000000002</v>
      </c>
      <c r="H157">
        <f t="shared" si="21"/>
        <v>4.6730499999999994E-2</v>
      </c>
      <c r="I157">
        <f t="shared" si="21"/>
        <v>5.1454899999999998E-2</v>
      </c>
      <c r="J157">
        <f t="shared" si="20"/>
        <v>5.342969999999999E-3</v>
      </c>
      <c r="K157">
        <f t="shared" si="20"/>
        <v>2.7816799999999999E-3</v>
      </c>
      <c r="L157">
        <f t="shared" si="20"/>
        <v>1.0674180000000001E-3</v>
      </c>
      <c r="M157">
        <f t="shared" si="20"/>
        <v>9.9338200000000017E-5</v>
      </c>
      <c r="N157">
        <f t="shared" si="20"/>
        <v>4.37037E-5</v>
      </c>
      <c r="O157">
        <f t="shared" si="20"/>
        <v>1.162254E-5</v>
      </c>
      <c r="P157">
        <f t="shared" si="20"/>
        <v>2.2190120000000002E-6</v>
      </c>
      <c r="R157">
        <f t="shared" si="19"/>
        <v>35.454000972045378</v>
      </c>
    </row>
    <row r="158" spans="2:18" x14ac:dyDescent="0.4">
      <c r="B158">
        <f t="shared" si="21"/>
        <v>41.640000000000015</v>
      </c>
      <c r="C158">
        <f t="shared" si="21"/>
        <v>15.329399999999993</v>
      </c>
      <c r="D158">
        <f t="shared" si="21"/>
        <v>11.358800000000002</v>
      </c>
      <c r="E158">
        <f t="shared" si="21"/>
        <v>0.97890000000000121</v>
      </c>
      <c r="F158">
        <f t="shared" si="21"/>
        <v>1.3799300000000001</v>
      </c>
      <c r="G158">
        <f t="shared" si="21"/>
        <v>0.31856650000000009</v>
      </c>
      <c r="H158">
        <f t="shared" si="21"/>
        <v>6.4361799999999997E-2</v>
      </c>
      <c r="I158">
        <f t="shared" si="21"/>
        <v>5.98763E-2</v>
      </c>
      <c r="J158">
        <f t="shared" si="20"/>
        <v>6.9336999999999992E-3</v>
      </c>
      <c r="K158">
        <f t="shared" si="20"/>
        <v>3.0258899999999998E-3</v>
      </c>
      <c r="L158">
        <f t="shared" si="20"/>
        <v>1.12531E-3</v>
      </c>
      <c r="M158">
        <f t="shared" si="20"/>
        <v>9.812030000000001E-5</v>
      </c>
      <c r="N158">
        <f t="shared" si="20"/>
        <v>4.4566599999999994E-5</v>
      </c>
      <c r="O158">
        <f t="shared" si="20"/>
        <v>1.1779152000000001E-5</v>
      </c>
      <c r="P158">
        <f t="shared" si="20"/>
        <v>2.2349280000000003E-6</v>
      </c>
      <c r="R158">
        <f t="shared" si="19"/>
        <v>83.416870377482496</v>
      </c>
    </row>
    <row r="159" spans="2:18" x14ac:dyDescent="0.4">
      <c r="B159">
        <f t="shared" si="21"/>
        <v>10.20599999999996</v>
      </c>
      <c r="C159">
        <f t="shared" si="21"/>
        <v>19.871500000000012</v>
      </c>
      <c r="D159">
        <f t="shared" si="21"/>
        <v>9.1597999999999971</v>
      </c>
      <c r="E159">
        <f t="shared" si="21"/>
        <v>1.1507699999999996</v>
      </c>
      <c r="F159">
        <f t="shared" si="21"/>
        <v>0.24068000000000023</v>
      </c>
      <c r="G159">
        <f t="shared" si="21"/>
        <v>0.30345650000000002</v>
      </c>
      <c r="H159">
        <f t="shared" si="21"/>
        <v>9.6754199999999999E-2</v>
      </c>
      <c r="I159">
        <f t="shared" si="21"/>
        <v>7.0757700000000007E-2</v>
      </c>
      <c r="J159">
        <f t="shared" si="20"/>
        <v>6.7738399999999997E-3</v>
      </c>
      <c r="K159">
        <f t="shared" si="20"/>
        <v>3.7801129999999999E-3</v>
      </c>
      <c r="L159">
        <f t="shared" si="20"/>
        <v>1.3243303000000002E-3</v>
      </c>
      <c r="M159">
        <f t="shared" si="20"/>
        <v>1.1345086000000001E-4</v>
      </c>
      <c r="N159">
        <f t="shared" si="20"/>
        <v>4.8969369999999997E-5</v>
      </c>
      <c r="O159">
        <f t="shared" si="20"/>
        <v>1.2503186000000001E-5</v>
      </c>
      <c r="P159">
        <f t="shared" si="20"/>
        <v>2.3565685000000001E-6</v>
      </c>
      <c r="R159">
        <f t="shared" si="19"/>
        <v>23.12923186021294</v>
      </c>
    </row>
    <row r="160" spans="2:18" x14ac:dyDescent="0.4">
      <c r="B160">
        <f t="shared" si="21"/>
        <v>120.45299999999997</v>
      </c>
      <c r="C160">
        <f t="shared" si="21"/>
        <v>63.692500000000024</v>
      </c>
      <c r="D160">
        <f t="shared" si="21"/>
        <v>0.53280000000000172</v>
      </c>
      <c r="E160">
        <f t="shared" si="21"/>
        <v>3.6987000000000005</v>
      </c>
      <c r="F160">
        <f t="shared" si="21"/>
        <v>1.7284800000000002</v>
      </c>
      <c r="G160">
        <f t="shared" si="21"/>
        <v>0.69311349999999994</v>
      </c>
      <c r="H160">
        <f t="shared" si="21"/>
        <v>8.9263499999999996E-2</v>
      </c>
      <c r="I160">
        <f t="shared" si="21"/>
        <v>0.10031400000000001</v>
      </c>
      <c r="J160">
        <f t="shared" ref="J160:P175" si="22">ABS(J59-B$20)</f>
        <v>1.101889E-2</v>
      </c>
      <c r="K160">
        <f t="shared" si="22"/>
        <v>3.2182499999999998E-3</v>
      </c>
      <c r="L160">
        <f t="shared" si="22"/>
        <v>2.0792699999999998E-3</v>
      </c>
      <c r="M160">
        <f t="shared" si="22"/>
        <v>1.0139899999999998E-4</v>
      </c>
      <c r="N160">
        <f t="shared" si="22"/>
        <v>1.1010735000000001E-4</v>
      </c>
      <c r="O160">
        <f t="shared" si="22"/>
        <v>1.3343050000000001E-5</v>
      </c>
      <c r="P160">
        <f t="shared" si="22"/>
        <v>4.4547150000000001E-6</v>
      </c>
      <c r="R160">
        <f t="shared" si="19"/>
        <v>176.77112253761254</v>
      </c>
    </row>
    <row r="161" spans="2:18" x14ac:dyDescent="0.4">
      <c r="B161">
        <f t="shared" ref="B161:I176" si="23">ABS(B60-B$10)</f>
        <v>67.709000000000003</v>
      </c>
      <c r="C161">
        <f t="shared" si="23"/>
        <v>1.7935000000000088</v>
      </c>
      <c r="D161">
        <f t="shared" si="23"/>
        <v>7.1488000000000014</v>
      </c>
      <c r="E161">
        <f t="shared" si="23"/>
        <v>0.3882399999999997</v>
      </c>
      <c r="F161">
        <f t="shared" si="23"/>
        <v>1.6809999999999992E-2</v>
      </c>
      <c r="G161">
        <f t="shared" si="23"/>
        <v>0.18828950000000011</v>
      </c>
      <c r="H161">
        <f t="shared" si="23"/>
        <v>1.5572500000000017E-2</v>
      </c>
      <c r="I161">
        <f t="shared" si="23"/>
        <v>1.1621000000000006E-2</v>
      </c>
      <c r="J161">
        <f t="shared" si="22"/>
        <v>1.3321300000000008E-3</v>
      </c>
      <c r="K161">
        <f t="shared" si="22"/>
        <v>1.0998999999999991E-4</v>
      </c>
      <c r="L161">
        <f t="shared" si="22"/>
        <v>8.2999999999984128E-7</v>
      </c>
      <c r="M161">
        <f t="shared" si="22"/>
        <v>2.6371999999999984E-5</v>
      </c>
      <c r="N161">
        <f t="shared" si="22"/>
        <v>2.6453500000000034E-6</v>
      </c>
      <c r="O161">
        <f t="shared" si="22"/>
        <v>6.02775E-6</v>
      </c>
      <c r="P161">
        <f t="shared" si="22"/>
        <v>6.8984499999999991E-7</v>
      </c>
      <c r="R161">
        <f t="shared" si="19"/>
        <v>48.33191850844247</v>
      </c>
    </row>
    <row r="162" spans="2:18" x14ac:dyDescent="0.4">
      <c r="B162">
        <f t="shared" si="23"/>
        <v>68.294000000000011</v>
      </c>
      <c r="C162">
        <f t="shared" si="23"/>
        <v>24.929500000000004</v>
      </c>
      <c r="D162">
        <f t="shared" si="23"/>
        <v>7.8549999999999969</v>
      </c>
      <c r="E162">
        <f t="shared" si="23"/>
        <v>1.1961399999999998</v>
      </c>
      <c r="F162">
        <f t="shared" si="23"/>
        <v>0.6013200000000003</v>
      </c>
      <c r="G162">
        <f t="shared" si="23"/>
        <v>0.39225950000000009</v>
      </c>
      <c r="H162">
        <f t="shared" si="23"/>
        <v>0.10201730000000001</v>
      </c>
      <c r="I162">
        <f t="shared" si="23"/>
        <v>6.8792699999999998E-2</v>
      </c>
      <c r="J162">
        <f t="shared" si="22"/>
        <v>6.4746099999999996E-3</v>
      </c>
      <c r="K162">
        <f t="shared" si="22"/>
        <v>3.5118110000000001E-3</v>
      </c>
      <c r="L162">
        <f t="shared" si="22"/>
        <v>1.1959160000000002E-3</v>
      </c>
      <c r="M162">
        <f t="shared" si="22"/>
        <v>1.0463320000000001E-4</v>
      </c>
      <c r="N162">
        <f t="shared" si="22"/>
        <v>4.6755850000000001E-5</v>
      </c>
      <c r="O162">
        <f t="shared" si="22"/>
        <v>1.2099147000000001E-5</v>
      </c>
      <c r="P162">
        <f t="shared" si="22"/>
        <v>2.3036816000000002E-6</v>
      </c>
      <c r="R162">
        <f t="shared" si="19"/>
        <v>67.824971805381153</v>
      </c>
    </row>
    <row r="163" spans="2:18" x14ac:dyDescent="0.4">
      <c r="B163">
        <f t="shared" si="23"/>
        <v>62.341000000000037</v>
      </c>
      <c r="C163">
        <f t="shared" si="23"/>
        <v>0.43409999999998661</v>
      </c>
      <c r="D163">
        <f t="shared" si="23"/>
        <v>8.2419000000000011</v>
      </c>
      <c r="E163">
        <f t="shared" si="23"/>
        <v>0.69755999999999929</v>
      </c>
      <c r="F163">
        <f t="shared" si="23"/>
        <v>0.57899000000000012</v>
      </c>
      <c r="G163">
        <f t="shared" si="23"/>
        <v>0.2814795000000001</v>
      </c>
      <c r="H163">
        <f t="shared" si="23"/>
        <v>2.7209499999999998E-2</v>
      </c>
      <c r="I163">
        <f t="shared" si="23"/>
        <v>1.1184699999999992E-2</v>
      </c>
      <c r="J163">
        <f t="shared" si="22"/>
        <v>6.9728999999999972E-4</v>
      </c>
      <c r="K163">
        <f t="shared" si="22"/>
        <v>7.5705999999999994E-4</v>
      </c>
      <c r="L163">
        <f t="shared" si="22"/>
        <v>4.9335000000000015E-4</v>
      </c>
      <c r="M163">
        <f t="shared" si="22"/>
        <v>4.6353400000000009E-5</v>
      </c>
      <c r="N163">
        <f t="shared" si="22"/>
        <v>1.9408949999999997E-5</v>
      </c>
      <c r="O163">
        <f t="shared" si="22"/>
        <v>4.2757200000000001E-6</v>
      </c>
      <c r="P163">
        <f t="shared" si="22"/>
        <v>1.0600750000000002E-6</v>
      </c>
      <c r="R163">
        <f t="shared" si="19"/>
        <v>86.847642094647654</v>
      </c>
    </row>
    <row r="164" spans="2:18" x14ac:dyDescent="0.4">
      <c r="B164">
        <f t="shared" si="23"/>
        <v>79.02200000000002</v>
      </c>
      <c r="C164">
        <f t="shared" si="23"/>
        <v>44.408500000000004</v>
      </c>
      <c r="D164">
        <f t="shared" si="23"/>
        <v>6.9859000000000009</v>
      </c>
      <c r="E164">
        <f t="shared" si="23"/>
        <v>1.5277000000000012</v>
      </c>
      <c r="F164">
        <f t="shared" si="23"/>
        <v>0.68938999999999995</v>
      </c>
      <c r="G164">
        <f t="shared" si="23"/>
        <v>0.27293450000000008</v>
      </c>
      <c r="H164">
        <f t="shared" si="23"/>
        <v>8.1136599999999989E-2</v>
      </c>
      <c r="I164">
        <f t="shared" si="23"/>
        <v>7.9302899999999996E-2</v>
      </c>
      <c r="J164">
        <f t="shared" si="22"/>
        <v>7.4289299999999994E-3</v>
      </c>
      <c r="K164">
        <f t="shared" si="22"/>
        <v>4.0241349999999999E-3</v>
      </c>
      <c r="L164">
        <f t="shared" si="22"/>
        <v>1.3598211000000002E-3</v>
      </c>
      <c r="M164">
        <f t="shared" si="22"/>
        <v>1.1559585000000001E-4</v>
      </c>
      <c r="N164">
        <f t="shared" si="22"/>
        <v>4.9520451999999997E-5</v>
      </c>
      <c r="O164">
        <f t="shared" si="22"/>
        <v>1.26152257E-5</v>
      </c>
      <c r="P164">
        <f t="shared" si="22"/>
        <v>2.3649438700000001E-6</v>
      </c>
      <c r="R164">
        <f t="shared" si="19"/>
        <v>41.469251159074133</v>
      </c>
    </row>
    <row r="165" spans="2:18" x14ac:dyDescent="0.4">
      <c r="B165">
        <f t="shared" si="23"/>
        <v>203.77699999999999</v>
      </c>
      <c r="C165">
        <f t="shared" si="23"/>
        <v>26.766500000000008</v>
      </c>
      <c r="D165">
        <f t="shared" si="23"/>
        <v>1.0750000000000028</v>
      </c>
      <c r="E165">
        <f t="shared" si="23"/>
        <v>2.2424999999999997</v>
      </c>
      <c r="F165">
        <f t="shared" si="23"/>
        <v>0.47151999999999994</v>
      </c>
      <c r="G165">
        <f t="shared" si="23"/>
        <v>0.16889450000000006</v>
      </c>
      <c r="H165">
        <f t="shared" si="23"/>
        <v>7.0820399999999992E-2</v>
      </c>
      <c r="I165">
        <f t="shared" si="23"/>
        <v>6.1041600000000001E-2</v>
      </c>
      <c r="J165">
        <f t="shared" si="22"/>
        <v>6.2921599999999998E-3</v>
      </c>
      <c r="K165">
        <f t="shared" si="22"/>
        <v>3.5396490000000002E-3</v>
      </c>
      <c r="L165">
        <f t="shared" si="22"/>
        <v>1.2765100000000002E-3</v>
      </c>
      <c r="M165">
        <f t="shared" si="22"/>
        <v>1.1043577000000001E-4</v>
      </c>
      <c r="N165">
        <f t="shared" si="22"/>
        <v>4.8277869999999999E-5</v>
      </c>
      <c r="O165">
        <f t="shared" si="22"/>
        <v>1.2492991000000001E-5</v>
      </c>
      <c r="P165">
        <f t="shared" si="22"/>
        <v>2.3511422E-6</v>
      </c>
      <c r="R165">
        <f t="shared" si="19"/>
        <v>218.84384744672445</v>
      </c>
    </row>
    <row r="166" spans="2:18" x14ac:dyDescent="0.4">
      <c r="B166">
        <f t="shared" si="23"/>
        <v>0.31899999999995998</v>
      </c>
      <c r="C166">
        <f t="shared" si="23"/>
        <v>48.021500000000003</v>
      </c>
      <c r="D166">
        <f t="shared" si="23"/>
        <v>12.448</v>
      </c>
      <c r="E166">
        <f t="shared" si="23"/>
        <v>1.4390999999999998</v>
      </c>
      <c r="F166">
        <f t="shared" si="23"/>
        <v>0.18971999999999989</v>
      </c>
      <c r="G166">
        <f t="shared" si="23"/>
        <v>0.13781350000000003</v>
      </c>
      <c r="H166">
        <f t="shared" si="23"/>
        <v>5.7561500000000015E-2</v>
      </c>
      <c r="I166">
        <f t="shared" si="23"/>
        <v>5.909600000000001E-2</v>
      </c>
      <c r="J166">
        <f t="shared" si="22"/>
        <v>5.9147900000000014E-3</v>
      </c>
      <c r="K166">
        <f t="shared" si="22"/>
        <v>1.8363700000000004E-3</v>
      </c>
      <c r="L166">
        <f t="shared" si="22"/>
        <v>7.9253000000000006E-4</v>
      </c>
      <c r="M166">
        <f t="shared" si="22"/>
        <v>2.4607000000000003E-5</v>
      </c>
      <c r="N166">
        <f t="shared" si="22"/>
        <v>4.691315E-5</v>
      </c>
      <c r="O166">
        <f t="shared" si="22"/>
        <v>1.1687049999999998E-5</v>
      </c>
      <c r="P166">
        <f t="shared" si="22"/>
        <v>2.7793050000000002E-6</v>
      </c>
      <c r="R166">
        <f t="shared" si="19"/>
        <v>48.446826500002373</v>
      </c>
    </row>
    <row r="167" spans="2:18" x14ac:dyDescent="0.4">
      <c r="B167">
        <f t="shared" si="23"/>
        <v>15.681000000000012</v>
      </c>
      <c r="C167">
        <f t="shared" si="23"/>
        <v>4.1265000000000072</v>
      </c>
      <c r="D167">
        <f t="shared" si="23"/>
        <v>1.1935999999999964</v>
      </c>
      <c r="E167">
        <f t="shared" si="23"/>
        <v>2.1617899999999999</v>
      </c>
      <c r="F167">
        <f t="shared" si="23"/>
        <v>0.24154999999999971</v>
      </c>
      <c r="G167">
        <f t="shared" si="23"/>
        <v>0.23962349999999999</v>
      </c>
      <c r="H167">
        <f t="shared" si="23"/>
        <v>1.9378499999999993E-2</v>
      </c>
      <c r="I167">
        <f t="shared" si="23"/>
        <v>5.5007E-2</v>
      </c>
      <c r="J167">
        <f t="shared" si="22"/>
        <v>7.5590900000000009E-3</v>
      </c>
      <c r="K167">
        <f t="shared" si="22"/>
        <v>2.5662200000000001E-3</v>
      </c>
      <c r="L167">
        <f t="shared" si="22"/>
        <v>1.7625099999999997E-3</v>
      </c>
      <c r="M167">
        <f t="shared" si="22"/>
        <v>1.9664799999999998E-4</v>
      </c>
      <c r="N167">
        <f t="shared" si="22"/>
        <v>1.4126735E-4</v>
      </c>
      <c r="O167">
        <f t="shared" si="22"/>
        <v>5.9206449999999993E-5</v>
      </c>
      <c r="P167">
        <f t="shared" si="22"/>
        <v>1.2826885E-5</v>
      </c>
      <c r="R167">
        <f t="shared" si="19"/>
        <v>26.188427407817528</v>
      </c>
    </row>
    <row r="168" spans="2:18" x14ac:dyDescent="0.4">
      <c r="B168">
        <f t="shared" si="23"/>
        <v>50.237000000000023</v>
      </c>
      <c r="C168">
        <f t="shared" si="23"/>
        <v>10.651799999999994</v>
      </c>
      <c r="D168">
        <f t="shared" si="23"/>
        <v>3.2736999999999981</v>
      </c>
      <c r="E168">
        <f t="shared" si="23"/>
        <v>2.3401399999999999</v>
      </c>
      <c r="F168">
        <f t="shared" si="23"/>
        <v>1.0876300000000001</v>
      </c>
      <c r="G168">
        <f t="shared" si="23"/>
        <v>0.33156150000000006</v>
      </c>
      <c r="H168">
        <f t="shared" si="23"/>
        <v>6.4257999999999996E-2</v>
      </c>
      <c r="I168">
        <f t="shared" si="23"/>
        <v>6.9596099999999994E-2</v>
      </c>
      <c r="J168">
        <f t="shared" si="22"/>
        <v>6.3246699999999993E-3</v>
      </c>
      <c r="K168">
        <f t="shared" si="22"/>
        <v>3.2518500000000001E-3</v>
      </c>
      <c r="L168">
        <f t="shared" si="22"/>
        <v>1.1669190000000002E-3</v>
      </c>
      <c r="M168">
        <f t="shared" si="22"/>
        <v>1.0460550000000001E-4</v>
      </c>
      <c r="N168">
        <f t="shared" si="22"/>
        <v>4.2940229999999995E-5</v>
      </c>
      <c r="O168">
        <f t="shared" si="22"/>
        <v>1.1412590000000001E-5</v>
      </c>
      <c r="P168">
        <f t="shared" si="22"/>
        <v>2.1557670000000003E-6</v>
      </c>
      <c r="R168">
        <f t="shared" si="19"/>
        <v>82.30018432958957</v>
      </c>
    </row>
    <row r="169" spans="2:18" x14ac:dyDescent="0.4">
      <c r="B169">
        <f t="shared" si="23"/>
        <v>134.18199999999996</v>
      </c>
      <c r="C169">
        <f t="shared" si="23"/>
        <v>23.081500000000005</v>
      </c>
      <c r="D169">
        <f t="shared" si="23"/>
        <v>1.7909000000000006</v>
      </c>
      <c r="E169">
        <f t="shared" si="23"/>
        <v>2.6052999999999997</v>
      </c>
      <c r="F169">
        <f t="shared" si="23"/>
        <v>1.5185399999999998</v>
      </c>
      <c r="G169">
        <f t="shared" si="23"/>
        <v>0.8060235</v>
      </c>
      <c r="H169">
        <f t="shared" si="23"/>
        <v>0.1573465</v>
      </c>
      <c r="I169">
        <f t="shared" si="23"/>
        <v>0.14448800000000001</v>
      </c>
      <c r="J169">
        <f t="shared" si="22"/>
        <v>1.159199E-2</v>
      </c>
      <c r="K169">
        <f t="shared" si="22"/>
        <v>8.8731199999999982E-3</v>
      </c>
      <c r="L169">
        <f t="shared" si="22"/>
        <v>2.5595699999999997E-3</v>
      </c>
      <c r="M169">
        <f t="shared" si="22"/>
        <v>4.8995799999999997E-4</v>
      </c>
      <c r="N169">
        <f t="shared" si="22"/>
        <v>1.3149934999999999E-4</v>
      </c>
      <c r="O169">
        <f t="shared" si="22"/>
        <v>4.5937950000000003E-5</v>
      </c>
      <c r="P169">
        <f t="shared" si="22"/>
        <v>1.0223285E-5</v>
      </c>
      <c r="R169">
        <f t="shared" si="19"/>
        <v>150.07620612208245</v>
      </c>
    </row>
    <row r="170" spans="2:18" x14ac:dyDescent="0.4">
      <c r="B170">
        <f t="shared" si="23"/>
        <v>16.174000000000035</v>
      </c>
      <c r="C170">
        <f t="shared" si="23"/>
        <v>18.929500000000004</v>
      </c>
      <c r="D170">
        <f t="shared" si="23"/>
        <v>2.5889999999999986</v>
      </c>
      <c r="E170">
        <f t="shared" si="23"/>
        <v>0.68909999999999982</v>
      </c>
      <c r="F170">
        <f t="shared" si="23"/>
        <v>0.72880000000000011</v>
      </c>
      <c r="G170">
        <f t="shared" si="23"/>
        <v>0.50823650000000009</v>
      </c>
      <c r="H170">
        <f t="shared" si="23"/>
        <v>8.8770500000000002E-2</v>
      </c>
      <c r="I170">
        <f t="shared" si="23"/>
        <v>7.7255299999999999E-2</v>
      </c>
      <c r="J170">
        <f t="shared" si="22"/>
        <v>5.4391399999999994E-3</v>
      </c>
      <c r="K170">
        <f t="shared" si="22"/>
        <v>3.6475259999999999E-3</v>
      </c>
      <c r="L170">
        <f t="shared" si="22"/>
        <v>1.2212670000000001E-3</v>
      </c>
      <c r="M170">
        <f t="shared" si="22"/>
        <v>1.0876799000000001E-4</v>
      </c>
      <c r="N170">
        <f t="shared" si="22"/>
        <v>4.7423319999999998E-5</v>
      </c>
      <c r="O170">
        <f t="shared" si="22"/>
        <v>1.226308E-5</v>
      </c>
      <c r="P170">
        <f t="shared" si="22"/>
        <v>2.3281862000000003E-6</v>
      </c>
      <c r="R170">
        <f t="shared" si="19"/>
        <v>9.6135351920787571</v>
      </c>
    </row>
    <row r="171" spans="2:18" x14ac:dyDescent="0.4">
      <c r="B171">
        <f t="shared" si="23"/>
        <v>29.579000000000036</v>
      </c>
      <c r="C171">
        <f t="shared" si="23"/>
        <v>8.7530999999999892</v>
      </c>
      <c r="D171">
        <f t="shared" si="23"/>
        <v>4.9825999999999979</v>
      </c>
      <c r="E171">
        <f t="shared" si="23"/>
        <v>1.4796000000000014</v>
      </c>
      <c r="F171">
        <f t="shared" si="23"/>
        <v>1.1832300000000002</v>
      </c>
      <c r="G171">
        <f t="shared" si="23"/>
        <v>0.24842350000000002</v>
      </c>
      <c r="H171">
        <f t="shared" si="23"/>
        <v>5.5685499999999999E-2</v>
      </c>
      <c r="I171">
        <f t="shared" si="23"/>
        <v>6.535669999999999E-2</v>
      </c>
      <c r="J171">
        <f t="shared" si="22"/>
        <v>5.4298199999999993E-3</v>
      </c>
      <c r="K171">
        <f t="shared" si="22"/>
        <v>3.5892279999999999E-3</v>
      </c>
      <c r="L171">
        <f t="shared" si="22"/>
        <v>1.2106360000000002E-3</v>
      </c>
      <c r="M171">
        <f t="shared" si="22"/>
        <v>1.0836531E-4</v>
      </c>
      <c r="N171">
        <f t="shared" si="22"/>
        <v>4.6742509999999996E-5</v>
      </c>
      <c r="O171">
        <f t="shared" si="22"/>
        <v>1.2272465000000001E-5</v>
      </c>
      <c r="P171">
        <f t="shared" si="22"/>
        <v>2.3253861000000002E-6</v>
      </c>
      <c r="R171">
        <f t="shared" si="19"/>
        <v>57.631789266173712</v>
      </c>
    </row>
    <row r="172" spans="2:18" x14ac:dyDescent="0.4">
      <c r="B172">
        <f t="shared" si="23"/>
        <v>61.32099999999997</v>
      </c>
      <c r="C172">
        <f t="shared" si="23"/>
        <v>19.555499999999995</v>
      </c>
      <c r="D172">
        <f t="shared" si="23"/>
        <v>5.8340000000000032</v>
      </c>
      <c r="E172">
        <f t="shared" si="23"/>
        <v>0.15503999999999962</v>
      </c>
      <c r="F172">
        <f t="shared" si="23"/>
        <v>0.26982000000000017</v>
      </c>
      <c r="G172">
        <f t="shared" si="23"/>
        <v>0.20663150000000008</v>
      </c>
      <c r="H172">
        <f t="shared" si="23"/>
        <v>7.9277399999999998E-2</v>
      </c>
      <c r="I172">
        <f t="shared" si="23"/>
        <v>6.8757800000000008E-2</v>
      </c>
      <c r="J172">
        <f t="shared" si="22"/>
        <v>5.6680199999999993E-3</v>
      </c>
      <c r="K172">
        <f t="shared" si="22"/>
        <v>3.6144530000000001E-3</v>
      </c>
      <c r="L172">
        <f t="shared" si="22"/>
        <v>1.2362550000000001E-3</v>
      </c>
      <c r="M172">
        <f t="shared" si="22"/>
        <v>1.0773187000000001E-4</v>
      </c>
      <c r="N172">
        <f t="shared" si="22"/>
        <v>4.78945E-5</v>
      </c>
      <c r="O172">
        <f t="shared" si="22"/>
        <v>1.2342378E-5</v>
      </c>
      <c r="P172">
        <f t="shared" si="22"/>
        <v>2.3359718000000004E-6</v>
      </c>
      <c r="R172">
        <f t="shared" si="19"/>
        <v>32.575690090777528</v>
      </c>
    </row>
    <row r="173" spans="2:18" x14ac:dyDescent="0.4">
      <c r="B173">
        <f t="shared" si="23"/>
        <v>59.349000000000018</v>
      </c>
      <c r="C173">
        <f t="shared" si="23"/>
        <v>23.20450000000001</v>
      </c>
      <c r="D173">
        <f t="shared" si="23"/>
        <v>3.1844999999999999</v>
      </c>
      <c r="E173">
        <f t="shared" si="23"/>
        <v>1.7305999999999999</v>
      </c>
      <c r="F173">
        <f t="shared" si="23"/>
        <v>0.3708499999999999</v>
      </c>
      <c r="G173">
        <f t="shared" si="23"/>
        <v>0.32061349999999988</v>
      </c>
      <c r="H173">
        <f t="shared" si="23"/>
        <v>1.9148500000000013E-2</v>
      </c>
      <c r="I173">
        <f t="shared" si="23"/>
        <v>1.9913000000000014E-2</v>
      </c>
      <c r="J173">
        <f t="shared" si="22"/>
        <v>1.9507900000000009E-3</v>
      </c>
      <c r="K173">
        <f t="shared" si="22"/>
        <v>1.4057599999999998E-3</v>
      </c>
      <c r="L173">
        <f t="shared" si="22"/>
        <v>4.0733999999999996E-4</v>
      </c>
      <c r="M173">
        <f t="shared" si="22"/>
        <v>1.4233999999999986E-5</v>
      </c>
      <c r="N173">
        <f t="shared" si="22"/>
        <v>3.1157149999999997E-5</v>
      </c>
      <c r="O173">
        <f t="shared" si="22"/>
        <v>6.7181499999999994E-6</v>
      </c>
      <c r="P173">
        <f t="shared" si="22"/>
        <v>1.9683549999999999E-6</v>
      </c>
      <c r="R173">
        <f t="shared" si="19"/>
        <v>48.189851208847529</v>
      </c>
    </row>
    <row r="174" spans="2:18" x14ac:dyDescent="0.4">
      <c r="B174">
        <f t="shared" si="23"/>
        <v>43.230999999999995</v>
      </c>
      <c r="C174">
        <f t="shared" si="23"/>
        <v>21.702399999999983</v>
      </c>
      <c r="D174">
        <f t="shared" si="23"/>
        <v>2.0874000000000024</v>
      </c>
      <c r="E174">
        <f t="shared" si="23"/>
        <v>0.65580000000000105</v>
      </c>
      <c r="F174">
        <f t="shared" si="23"/>
        <v>0.31330999999999998</v>
      </c>
      <c r="G174">
        <f t="shared" si="23"/>
        <v>2.0113500000000117E-2</v>
      </c>
      <c r="H174">
        <f t="shared" si="23"/>
        <v>4.3510499999999994E-2</v>
      </c>
      <c r="I174">
        <f t="shared" si="23"/>
        <v>1.1999999999998123E-5</v>
      </c>
      <c r="J174">
        <f t="shared" si="22"/>
        <v>1.7268999999999965E-4</v>
      </c>
      <c r="K174">
        <f t="shared" si="22"/>
        <v>1.0226100000000002E-3</v>
      </c>
      <c r="L174">
        <f t="shared" si="22"/>
        <v>7.2080000000000191E-5</v>
      </c>
      <c r="M174">
        <f t="shared" si="22"/>
        <v>2.389590000000001E-5</v>
      </c>
      <c r="N174">
        <f t="shared" si="22"/>
        <v>9.801550000000001E-6</v>
      </c>
      <c r="O174">
        <f t="shared" si="22"/>
        <v>1.9344499999999997E-6</v>
      </c>
      <c r="P174">
        <f t="shared" si="22"/>
        <v>6.0415500000000011E-7</v>
      </c>
      <c r="R174">
        <f t="shared" si="19"/>
        <v>6.1117762074425173</v>
      </c>
    </row>
    <row r="175" spans="2:18" x14ac:dyDescent="0.4">
      <c r="B175">
        <f t="shared" si="23"/>
        <v>32.440999999999974</v>
      </c>
      <c r="C175">
        <f t="shared" si="23"/>
        <v>35.730500000000006</v>
      </c>
      <c r="D175">
        <f t="shared" si="23"/>
        <v>10.987400000000001</v>
      </c>
      <c r="E175">
        <f t="shared" si="23"/>
        <v>0.80090000000000039</v>
      </c>
      <c r="F175">
        <f t="shared" si="23"/>
        <v>0.23875000000000002</v>
      </c>
      <c r="G175">
        <f t="shared" si="23"/>
        <v>3.454499999999916E-3</v>
      </c>
      <c r="H175">
        <f t="shared" si="23"/>
        <v>5.4068499999999992E-2</v>
      </c>
      <c r="I175">
        <f t="shared" si="23"/>
        <v>2.2562499999999999E-2</v>
      </c>
      <c r="J175">
        <f t="shared" si="22"/>
        <v>3.6604599999999991E-3</v>
      </c>
      <c r="K175">
        <f t="shared" si="22"/>
        <v>2.6557200000000003E-3</v>
      </c>
      <c r="L175">
        <f t="shared" si="22"/>
        <v>9.7706600000000018E-4</v>
      </c>
      <c r="M175">
        <f t="shared" si="22"/>
        <v>8.7691000000000011E-5</v>
      </c>
      <c r="N175">
        <f t="shared" si="22"/>
        <v>4.030247E-5</v>
      </c>
      <c r="O175">
        <f t="shared" si="22"/>
        <v>1.123764E-5</v>
      </c>
      <c r="P175">
        <f t="shared" si="22"/>
        <v>2.2138790000000002E-6</v>
      </c>
      <c r="R175">
        <f t="shared" si="19"/>
        <v>65.88434463250843</v>
      </c>
    </row>
    <row r="176" spans="2:18" x14ac:dyDescent="0.4">
      <c r="B176">
        <f t="shared" si="23"/>
        <v>61.70599999999996</v>
      </c>
      <c r="C176">
        <f t="shared" si="23"/>
        <v>20.720099999999988</v>
      </c>
      <c r="D176">
        <f t="shared" si="23"/>
        <v>6.9403000000000006</v>
      </c>
      <c r="E176">
        <f t="shared" si="23"/>
        <v>0.68400000000000105</v>
      </c>
      <c r="F176">
        <f t="shared" si="23"/>
        <v>9.1869999999999674E-2</v>
      </c>
      <c r="G176">
        <f t="shared" si="23"/>
        <v>1.1432500000000068E-2</v>
      </c>
      <c r="H176">
        <f t="shared" si="23"/>
        <v>6.9214999999999971E-3</v>
      </c>
      <c r="I176">
        <f t="shared" si="23"/>
        <v>2.5689999999999991E-2</v>
      </c>
      <c r="J176">
        <f t="shared" ref="J176:P191" si="24">ABS(J75-B$20)</f>
        <v>1.8988900000000003E-3</v>
      </c>
      <c r="K176">
        <f t="shared" si="24"/>
        <v>1.6598000000000003E-3</v>
      </c>
      <c r="L176">
        <f t="shared" si="24"/>
        <v>4.1957999999999991E-4</v>
      </c>
      <c r="M176">
        <f t="shared" si="24"/>
        <v>1.3182999999999999E-5</v>
      </c>
      <c r="N176">
        <f t="shared" si="24"/>
        <v>3.6981500000000012E-6</v>
      </c>
      <c r="O176">
        <f t="shared" si="24"/>
        <v>5.7512500000000002E-6</v>
      </c>
      <c r="P176">
        <f t="shared" si="24"/>
        <v>1.6573350000000001E-6</v>
      </c>
      <c r="R176">
        <f t="shared" si="19"/>
        <v>20.613057383232274</v>
      </c>
    </row>
    <row r="177" spans="2:18" x14ac:dyDescent="0.4">
      <c r="B177">
        <f t="shared" ref="B177:I192" si="25">ABS(B76-B$10)</f>
        <v>99.30699999999996</v>
      </c>
      <c r="C177">
        <f t="shared" si="25"/>
        <v>2.3155000000000143</v>
      </c>
      <c r="D177">
        <f t="shared" si="25"/>
        <v>1.2914999999999992</v>
      </c>
      <c r="E177">
        <f t="shared" si="25"/>
        <v>1.8739399999999993</v>
      </c>
      <c r="F177">
        <f t="shared" si="25"/>
        <v>0.37530000000000019</v>
      </c>
      <c r="G177">
        <f t="shared" si="25"/>
        <v>0.29423150000000009</v>
      </c>
      <c r="H177">
        <f t="shared" si="25"/>
        <v>4.3612499999999998E-2</v>
      </c>
      <c r="I177">
        <f t="shared" si="25"/>
        <v>3.5112199999999996E-2</v>
      </c>
      <c r="J177">
        <f t="shared" si="24"/>
        <v>3.5084599999999997E-3</v>
      </c>
      <c r="K177">
        <f t="shared" si="24"/>
        <v>1.2995699999999999E-3</v>
      </c>
      <c r="L177">
        <f t="shared" si="24"/>
        <v>4.9244700000000013E-4</v>
      </c>
      <c r="M177">
        <f t="shared" si="24"/>
        <v>4.0196100000000013E-5</v>
      </c>
      <c r="N177">
        <f t="shared" si="24"/>
        <v>1.3349050000000001E-5</v>
      </c>
      <c r="O177">
        <f t="shared" si="24"/>
        <v>6.3836000000000002E-6</v>
      </c>
      <c r="P177">
        <f t="shared" si="24"/>
        <v>1.2444650000000002E-6</v>
      </c>
      <c r="R177">
        <f t="shared" si="19"/>
        <v>86.052847973282496</v>
      </c>
    </row>
    <row r="178" spans="2:18" x14ac:dyDescent="0.4">
      <c r="B178">
        <f t="shared" si="25"/>
        <v>33.465999999999951</v>
      </c>
      <c r="C178">
        <f t="shared" si="25"/>
        <v>5.978500000000011</v>
      </c>
      <c r="D178">
        <f t="shared" si="25"/>
        <v>4.8434999999999988</v>
      </c>
      <c r="E178">
        <f t="shared" si="25"/>
        <v>2.5957000000000008</v>
      </c>
      <c r="F178">
        <f t="shared" si="25"/>
        <v>0.32149000000000028</v>
      </c>
      <c r="G178">
        <f t="shared" si="25"/>
        <v>8.6920500000000067E-2</v>
      </c>
      <c r="H178">
        <f t="shared" si="25"/>
        <v>5.524649999999999E-2</v>
      </c>
      <c r="I178">
        <f t="shared" si="25"/>
        <v>5.0739599999999996E-2</v>
      </c>
      <c r="J178">
        <f t="shared" si="24"/>
        <v>6.303969999999999E-3</v>
      </c>
      <c r="K178">
        <f t="shared" si="24"/>
        <v>3.2712000000000001E-3</v>
      </c>
      <c r="L178">
        <f t="shared" si="24"/>
        <v>1.2036250000000003E-3</v>
      </c>
      <c r="M178">
        <f t="shared" si="24"/>
        <v>1.0811933000000001E-4</v>
      </c>
      <c r="N178">
        <f t="shared" si="24"/>
        <v>4.6900799999999997E-5</v>
      </c>
      <c r="O178">
        <f t="shared" si="24"/>
        <v>1.2300155E-5</v>
      </c>
      <c r="P178">
        <f t="shared" si="24"/>
        <v>2.3302725000000001E-6</v>
      </c>
      <c r="R178">
        <f t="shared" si="19"/>
        <v>22.437760777939843</v>
      </c>
    </row>
    <row r="179" spans="2:18" x14ac:dyDescent="0.4">
      <c r="B179">
        <f t="shared" si="25"/>
        <v>137.89799999999997</v>
      </c>
      <c r="C179">
        <f t="shared" si="25"/>
        <v>17.733499999999992</v>
      </c>
      <c r="D179">
        <f t="shared" si="25"/>
        <v>5.9615999999999971</v>
      </c>
      <c r="E179">
        <f t="shared" si="25"/>
        <v>1.8342099999999997</v>
      </c>
      <c r="F179">
        <f t="shared" si="25"/>
        <v>0.83991000000000016</v>
      </c>
      <c r="G179">
        <f t="shared" si="25"/>
        <v>0.35666850000000005</v>
      </c>
      <c r="H179">
        <f t="shared" si="25"/>
        <v>7.0095499999999991E-2</v>
      </c>
      <c r="I179">
        <f t="shared" si="25"/>
        <v>4.2924699999999996E-2</v>
      </c>
      <c r="J179">
        <f t="shared" si="24"/>
        <v>4.8533899999999991E-3</v>
      </c>
      <c r="K179">
        <f t="shared" si="24"/>
        <v>2.3667200000000001E-3</v>
      </c>
      <c r="L179">
        <f t="shared" si="24"/>
        <v>7.5331300000000014E-4</v>
      </c>
      <c r="M179">
        <f t="shared" si="24"/>
        <v>7.2310500000000012E-5</v>
      </c>
      <c r="N179">
        <f t="shared" si="24"/>
        <v>1.6404049999999998E-5</v>
      </c>
      <c r="O179">
        <f t="shared" si="24"/>
        <v>4.6787800000000003E-6</v>
      </c>
      <c r="P179">
        <f t="shared" si="24"/>
        <v>3.6434500000000024E-7</v>
      </c>
      <c r="R179">
        <f t="shared" si="19"/>
        <v>96.817429942822741</v>
      </c>
    </row>
    <row r="180" spans="2:18" x14ac:dyDescent="0.4">
      <c r="B180">
        <f t="shared" si="25"/>
        <v>50.520999999999958</v>
      </c>
      <c r="C180">
        <f t="shared" si="25"/>
        <v>2.3015000000000043</v>
      </c>
      <c r="D180">
        <f t="shared" si="25"/>
        <v>12.347499999999997</v>
      </c>
      <c r="E180">
        <f t="shared" si="25"/>
        <v>1.4126700000000003</v>
      </c>
      <c r="F180">
        <f t="shared" si="25"/>
        <v>0.20274999999999999</v>
      </c>
      <c r="G180">
        <f t="shared" si="25"/>
        <v>8.6656500000000025E-2</v>
      </c>
      <c r="H180">
        <f t="shared" si="25"/>
        <v>1.5355499999999994E-2</v>
      </c>
      <c r="I180">
        <f t="shared" si="25"/>
        <v>7.2219999999999923E-3</v>
      </c>
      <c r="J180">
        <f t="shared" si="24"/>
        <v>1.8733299999999994E-3</v>
      </c>
      <c r="K180">
        <f t="shared" si="24"/>
        <v>2.5030000000000018E-4</v>
      </c>
      <c r="L180">
        <f t="shared" si="24"/>
        <v>1.3917999999999982E-4</v>
      </c>
      <c r="M180">
        <f t="shared" si="24"/>
        <v>7.6400000000000827E-7</v>
      </c>
      <c r="N180">
        <f t="shared" si="24"/>
        <v>3.3831550000000006E-5</v>
      </c>
      <c r="O180">
        <f t="shared" si="24"/>
        <v>1.3029949999999999E-5</v>
      </c>
      <c r="P180">
        <f t="shared" si="24"/>
        <v>2.8746349999999995E-6</v>
      </c>
      <c r="R180">
        <f t="shared" si="19"/>
        <v>24.92031634563233</v>
      </c>
    </row>
    <row r="181" spans="2:18" x14ac:dyDescent="0.4">
      <c r="B181">
        <f t="shared" si="25"/>
        <v>166.83199999999999</v>
      </c>
      <c r="C181">
        <f t="shared" si="25"/>
        <v>19.147500000000008</v>
      </c>
      <c r="D181">
        <f t="shared" si="25"/>
        <v>0.61160000000000281</v>
      </c>
      <c r="E181">
        <f t="shared" si="25"/>
        <v>0.43052999999999919</v>
      </c>
      <c r="F181">
        <f t="shared" si="25"/>
        <v>0.62444999999999995</v>
      </c>
      <c r="G181">
        <f t="shared" si="25"/>
        <v>0.11505350000000003</v>
      </c>
      <c r="H181">
        <f t="shared" si="25"/>
        <v>1.6021499999999994E-2</v>
      </c>
      <c r="I181">
        <f t="shared" si="25"/>
        <v>1.1357499999999993E-2</v>
      </c>
      <c r="J181">
        <f t="shared" si="24"/>
        <v>2.7881199999999998E-3</v>
      </c>
      <c r="K181">
        <f t="shared" si="24"/>
        <v>7.4523999999999988E-4</v>
      </c>
      <c r="L181">
        <f t="shared" si="24"/>
        <v>5.3183600000000016E-4</v>
      </c>
      <c r="M181">
        <f t="shared" si="24"/>
        <v>5.917580000000001E-5</v>
      </c>
      <c r="N181">
        <f t="shared" si="24"/>
        <v>2.4019949999999997E-5</v>
      </c>
      <c r="O181">
        <f t="shared" si="24"/>
        <v>5.9405000000000001E-6</v>
      </c>
      <c r="P181">
        <f t="shared" si="24"/>
        <v>1.3748240000000002E-6</v>
      </c>
      <c r="R181">
        <f t="shared" si="19"/>
        <v>172.40483761642372</v>
      </c>
    </row>
    <row r="182" spans="2:18" x14ac:dyDescent="0.4">
      <c r="B182">
        <f t="shared" si="25"/>
        <v>76.316000000000031</v>
      </c>
      <c r="C182">
        <f t="shared" si="25"/>
        <v>8.5501999999999896</v>
      </c>
      <c r="D182">
        <f t="shared" si="25"/>
        <v>13.529899999999998</v>
      </c>
      <c r="E182">
        <f t="shared" si="25"/>
        <v>0.94247000000000014</v>
      </c>
      <c r="F182">
        <f t="shared" si="25"/>
        <v>0.4466300000000003</v>
      </c>
      <c r="G182">
        <f t="shared" si="25"/>
        <v>6.6371500000000028E-2</v>
      </c>
      <c r="H182">
        <f t="shared" si="25"/>
        <v>2.3089499999999985E-2</v>
      </c>
      <c r="I182">
        <f t="shared" si="25"/>
        <v>1.918000000000003E-3</v>
      </c>
      <c r="J182">
        <f t="shared" si="24"/>
        <v>1.0504099999999999E-3</v>
      </c>
      <c r="K182">
        <f t="shared" si="24"/>
        <v>3.4730000000000177E-5</v>
      </c>
      <c r="L182">
        <f t="shared" si="24"/>
        <v>1.865399999999998E-4</v>
      </c>
      <c r="M182">
        <f t="shared" si="24"/>
        <v>3.0203999999999984E-5</v>
      </c>
      <c r="N182">
        <f t="shared" si="24"/>
        <v>5.002525E-5</v>
      </c>
      <c r="O182">
        <f t="shared" si="24"/>
        <v>8.545949999999999E-6</v>
      </c>
      <c r="P182">
        <f t="shared" si="24"/>
        <v>3.220525E-6</v>
      </c>
      <c r="R182">
        <f t="shared" si="19"/>
        <v>114.10504296077755</v>
      </c>
    </row>
    <row r="183" spans="2:18" x14ac:dyDescent="0.4">
      <c r="B183">
        <f t="shared" si="25"/>
        <v>43.871000000000038</v>
      </c>
      <c r="C183">
        <f t="shared" si="25"/>
        <v>2.6053999999999888</v>
      </c>
      <c r="D183">
        <f t="shared" si="25"/>
        <v>0.97330000000000183</v>
      </c>
      <c r="E183">
        <f t="shared" si="25"/>
        <v>1.6786199999999996</v>
      </c>
      <c r="F183">
        <f t="shared" si="25"/>
        <v>0.22121999999999975</v>
      </c>
      <c r="G183">
        <f t="shared" si="25"/>
        <v>0.22173750000000003</v>
      </c>
      <c r="H183">
        <f t="shared" si="25"/>
        <v>4.5906499999999989E-2</v>
      </c>
      <c r="I183">
        <f t="shared" si="25"/>
        <v>4.2055200000000001E-2</v>
      </c>
      <c r="J183">
        <f t="shared" si="24"/>
        <v>4.1724499999999994E-3</v>
      </c>
      <c r="K183">
        <f t="shared" si="24"/>
        <v>2.3710900000000002E-3</v>
      </c>
      <c r="L183">
        <f t="shared" si="24"/>
        <v>9.2543600000000018E-4</v>
      </c>
      <c r="M183">
        <f t="shared" si="24"/>
        <v>8.3013800000000001E-5</v>
      </c>
      <c r="N183">
        <f t="shared" si="24"/>
        <v>3.8812749999999999E-5</v>
      </c>
      <c r="O183">
        <f t="shared" si="24"/>
        <v>1.071534E-5</v>
      </c>
      <c r="P183">
        <f t="shared" si="24"/>
        <v>2.1092640000000001E-6</v>
      </c>
      <c r="R183">
        <f t="shared" si="19"/>
        <v>61.511397003656498</v>
      </c>
    </row>
    <row r="184" spans="2:18" x14ac:dyDescent="0.4">
      <c r="B184">
        <f t="shared" si="25"/>
        <v>60.156000000000034</v>
      </c>
      <c r="C184">
        <f t="shared" si="25"/>
        <v>34.494299999999996</v>
      </c>
      <c r="D184">
        <f t="shared" si="25"/>
        <v>16.435299999999998</v>
      </c>
      <c r="E184">
        <f t="shared" si="25"/>
        <v>3.7629899999999994</v>
      </c>
      <c r="F184">
        <f t="shared" si="25"/>
        <v>0.84398000000000017</v>
      </c>
      <c r="G184">
        <f t="shared" si="25"/>
        <v>0.32822050000000003</v>
      </c>
      <c r="H184">
        <f t="shared" si="25"/>
        <v>9.7689100000000001E-2</v>
      </c>
      <c r="I184">
        <f t="shared" si="25"/>
        <v>4.7939799999999998E-2</v>
      </c>
      <c r="J184">
        <f t="shared" si="24"/>
        <v>5.7897699999999996E-3</v>
      </c>
      <c r="K184">
        <f t="shared" si="24"/>
        <v>2.5764300000000002E-3</v>
      </c>
      <c r="L184">
        <f t="shared" si="24"/>
        <v>1.0271990000000001E-3</v>
      </c>
      <c r="M184">
        <f t="shared" si="24"/>
        <v>9.0379900000000005E-5</v>
      </c>
      <c r="N184">
        <f t="shared" si="24"/>
        <v>3.7362249999999996E-5</v>
      </c>
      <c r="O184">
        <f t="shared" si="24"/>
        <v>9.7820300000000009E-6</v>
      </c>
      <c r="P184">
        <f t="shared" si="24"/>
        <v>1.8677510000000003E-6</v>
      </c>
      <c r="R184">
        <f t="shared" si="19"/>
        <v>130.40954636743356</v>
      </c>
    </row>
    <row r="185" spans="2:18" x14ac:dyDescent="0.4">
      <c r="B185">
        <f t="shared" si="25"/>
        <v>1.7280000000000086</v>
      </c>
      <c r="C185">
        <f t="shared" si="25"/>
        <v>1.1645000000000039</v>
      </c>
      <c r="D185">
        <f t="shared" si="25"/>
        <v>3.7257999999999996</v>
      </c>
      <c r="E185">
        <f t="shared" si="25"/>
        <v>0.33079999999999998</v>
      </c>
      <c r="F185">
        <f t="shared" si="25"/>
        <v>7.3010000000000019E-2</v>
      </c>
      <c r="G185">
        <f t="shared" si="25"/>
        <v>9.8293500000000034E-2</v>
      </c>
      <c r="H185">
        <f t="shared" si="25"/>
        <v>5.138849999999999E-2</v>
      </c>
      <c r="I185">
        <f t="shared" si="25"/>
        <v>1.9323599999999996E-2</v>
      </c>
      <c r="J185">
        <f t="shared" si="24"/>
        <v>2.5478399999999991E-3</v>
      </c>
      <c r="K185">
        <f t="shared" si="24"/>
        <v>1.7103299999999999E-3</v>
      </c>
      <c r="L185">
        <f t="shared" si="24"/>
        <v>6.1605800000000017E-4</v>
      </c>
      <c r="M185">
        <f t="shared" si="24"/>
        <v>7.6847600000000006E-5</v>
      </c>
      <c r="N185">
        <f t="shared" si="24"/>
        <v>3.0296049999999999E-5</v>
      </c>
      <c r="O185">
        <f t="shared" si="24"/>
        <v>7.7590400000000008E-6</v>
      </c>
      <c r="P185">
        <f t="shared" si="24"/>
        <v>1.5337020000000003E-6</v>
      </c>
      <c r="R185">
        <f t="shared" si="19"/>
        <v>18.904113440894548</v>
      </c>
    </row>
    <row r="186" spans="2:18" x14ac:dyDescent="0.4">
      <c r="B186">
        <f t="shared" si="25"/>
        <v>13.668999999999983</v>
      </c>
      <c r="C186">
        <f t="shared" si="25"/>
        <v>10.676500000000004</v>
      </c>
      <c r="D186">
        <f t="shared" si="25"/>
        <v>1.678600000000003</v>
      </c>
      <c r="E186">
        <f t="shared" si="25"/>
        <v>0.30267999999999873</v>
      </c>
      <c r="F186">
        <f t="shared" si="25"/>
        <v>0.42562999999999995</v>
      </c>
      <c r="G186">
        <f t="shared" si="25"/>
        <v>4.8194999999999766E-3</v>
      </c>
      <c r="H186">
        <f t="shared" si="25"/>
        <v>4.6105000000000174E-3</v>
      </c>
      <c r="I186">
        <f t="shared" si="25"/>
        <v>2.132999999999996E-3</v>
      </c>
      <c r="J186">
        <f t="shared" si="24"/>
        <v>1.6121900000000012E-3</v>
      </c>
      <c r="K186">
        <f t="shared" si="24"/>
        <v>3.4606999999999954E-4</v>
      </c>
      <c r="L186">
        <f t="shared" si="24"/>
        <v>2.4140000000000012E-4</v>
      </c>
      <c r="M186">
        <f t="shared" si="24"/>
        <v>5.8190000000000065E-6</v>
      </c>
      <c r="N186">
        <f t="shared" si="24"/>
        <v>2.6453499999999966E-6</v>
      </c>
      <c r="O186">
        <f t="shared" si="24"/>
        <v>2.19415E-6</v>
      </c>
      <c r="P186">
        <f t="shared" si="24"/>
        <v>6.5574499999999968E-7</v>
      </c>
      <c r="R186">
        <f t="shared" si="19"/>
        <v>8.5652640690423709</v>
      </c>
    </row>
    <row r="187" spans="2:18" x14ac:dyDescent="0.4">
      <c r="B187">
        <f t="shared" si="25"/>
        <v>86.058000000000021</v>
      </c>
      <c r="C187">
        <f t="shared" si="25"/>
        <v>23.695999999999984</v>
      </c>
      <c r="D187">
        <f t="shared" si="25"/>
        <v>10.301400000000001</v>
      </c>
      <c r="E187">
        <f t="shared" si="25"/>
        <v>4.5108499999999996</v>
      </c>
      <c r="F187">
        <f t="shared" si="25"/>
        <v>1.2969999999999704E-2</v>
      </c>
      <c r="G187">
        <f t="shared" si="25"/>
        <v>0.22415450000000003</v>
      </c>
      <c r="H187">
        <f t="shared" si="25"/>
        <v>2.1245000000000014E-3</v>
      </c>
      <c r="I187">
        <f t="shared" si="25"/>
        <v>1.7409999999999926E-3</v>
      </c>
      <c r="J187">
        <f t="shared" si="24"/>
        <v>4.8529999999999754E-5</v>
      </c>
      <c r="K187">
        <f t="shared" si="24"/>
        <v>9.7662000000000009E-4</v>
      </c>
      <c r="L187">
        <f t="shared" si="24"/>
        <v>1.4258699999999997E-3</v>
      </c>
      <c r="M187">
        <f t="shared" si="24"/>
        <v>1.8652100000000001E-4</v>
      </c>
      <c r="N187">
        <f t="shared" si="24"/>
        <v>1.5343235000000002E-4</v>
      </c>
      <c r="O187">
        <f t="shared" si="24"/>
        <v>3.8710349999999998E-5</v>
      </c>
      <c r="P187">
        <f t="shared" si="24"/>
        <v>1.3073384999999998E-5</v>
      </c>
      <c r="R187">
        <f t="shared" si="19"/>
        <v>139.00789947941746</v>
      </c>
    </row>
    <row r="188" spans="2:18" x14ac:dyDescent="0.4">
      <c r="B188">
        <f t="shared" si="25"/>
        <v>35.501000000000033</v>
      </c>
      <c r="C188">
        <f t="shared" si="25"/>
        <v>9.5485999999999933</v>
      </c>
      <c r="D188">
        <f t="shared" si="25"/>
        <v>17.215499999999999</v>
      </c>
      <c r="E188">
        <f t="shared" si="25"/>
        <v>1.8067399999999996</v>
      </c>
      <c r="F188">
        <f t="shared" si="25"/>
        <v>1.2297900000000002</v>
      </c>
      <c r="G188">
        <f t="shared" si="25"/>
        <v>0.2277205000000001</v>
      </c>
      <c r="H188">
        <f t="shared" si="25"/>
        <v>6.2434099999999992E-2</v>
      </c>
      <c r="I188">
        <f t="shared" si="25"/>
        <v>1.8562300000000004E-2</v>
      </c>
      <c r="J188">
        <f t="shared" si="24"/>
        <v>3.1795399999999998E-3</v>
      </c>
      <c r="K188">
        <f t="shared" si="24"/>
        <v>4.5423999999999985E-4</v>
      </c>
      <c r="L188">
        <f t="shared" si="24"/>
        <v>2.1991000000000024E-4</v>
      </c>
      <c r="M188">
        <f t="shared" si="24"/>
        <v>2.0033000000000003E-5</v>
      </c>
      <c r="N188">
        <f t="shared" si="24"/>
        <v>1.1452949999999997E-5</v>
      </c>
      <c r="O188">
        <f t="shared" si="24"/>
        <v>1.3514999999999988E-7</v>
      </c>
      <c r="P188">
        <f t="shared" si="24"/>
        <v>5.6165499999999988E-7</v>
      </c>
      <c r="R188">
        <f t="shared" si="19"/>
        <v>79.847762583747567</v>
      </c>
    </row>
    <row r="189" spans="2:18" x14ac:dyDescent="0.4">
      <c r="B189">
        <f t="shared" si="25"/>
        <v>6.3740000000000236</v>
      </c>
      <c r="C189">
        <f t="shared" si="25"/>
        <v>20.976500000000016</v>
      </c>
      <c r="D189">
        <f t="shared" si="25"/>
        <v>1.9853999999999985</v>
      </c>
      <c r="E189">
        <f t="shared" si="25"/>
        <v>2.1451000000000011</v>
      </c>
      <c r="F189">
        <f t="shared" si="25"/>
        <v>0.39231000000000016</v>
      </c>
      <c r="G189">
        <f t="shared" si="25"/>
        <v>0.10077349999999985</v>
      </c>
      <c r="H189">
        <f t="shared" si="25"/>
        <v>2.9529499999999986E-2</v>
      </c>
      <c r="I189">
        <f t="shared" si="25"/>
        <v>2.4944499999999994E-2</v>
      </c>
      <c r="J189">
        <f t="shared" si="24"/>
        <v>2.2253699999999991E-3</v>
      </c>
      <c r="K189">
        <f t="shared" si="24"/>
        <v>1.16176E-3</v>
      </c>
      <c r="L189">
        <f t="shared" si="24"/>
        <v>6.5756300000000011E-4</v>
      </c>
      <c r="M189">
        <f t="shared" si="24"/>
        <v>4.6881200000000015E-5</v>
      </c>
      <c r="N189">
        <f t="shared" si="24"/>
        <v>2.540565E-5</v>
      </c>
      <c r="O189">
        <f t="shared" si="24"/>
        <v>7.7288499999999997E-6</v>
      </c>
      <c r="P189">
        <f t="shared" si="24"/>
        <v>1.6189790000000001E-6</v>
      </c>
      <c r="R189">
        <f t="shared" si="19"/>
        <v>0.17846899581843445</v>
      </c>
    </row>
    <row r="190" spans="2:18" x14ac:dyDescent="0.4">
      <c r="B190">
        <f t="shared" si="25"/>
        <v>134.18899999999996</v>
      </c>
      <c r="C190">
        <f t="shared" si="25"/>
        <v>27.293500000000009</v>
      </c>
      <c r="D190">
        <f t="shared" si="25"/>
        <v>5.2802000000000007</v>
      </c>
      <c r="E190">
        <f t="shared" si="25"/>
        <v>0.31925999999999988</v>
      </c>
      <c r="F190">
        <f t="shared" si="25"/>
        <v>7.8770000000000007E-2</v>
      </c>
      <c r="G190">
        <f t="shared" si="25"/>
        <v>0.13577950000000005</v>
      </c>
      <c r="H190">
        <f t="shared" si="25"/>
        <v>4.0730499999999989E-2</v>
      </c>
      <c r="I190">
        <f t="shared" si="25"/>
        <v>4.9509199999999996E-2</v>
      </c>
      <c r="J190">
        <f t="shared" si="24"/>
        <v>4.9696199999999992E-3</v>
      </c>
      <c r="K190">
        <f t="shared" si="24"/>
        <v>2.83446E-3</v>
      </c>
      <c r="L190">
        <f t="shared" si="24"/>
        <v>9.6308200000000009E-4</v>
      </c>
      <c r="M190">
        <f t="shared" si="24"/>
        <v>8.8581900000000006E-5</v>
      </c>
      <c r="N190">
        <f t="shared" si="24"/>
        <v>3.7682749999999994E-5</v>
      </c>
      <c r="O190">
        <f t="shared" si="24"/>
        <v>1.0553589999999999E-5</v>
      </c>
      <c r="P190">
        <f t="shared" si="24"/>
        <v>2.0418320000000001E-6</v>
      </c>
      <c r="R190">
        <f t="shared" si="19"/>
        <v>151.89615060142546</v>
      </c>
    </row>
    <row r="191" spans="2:18" x14ac:dyDescent="0.4">
      <c r="B191">
        <f t="shared" si="25"/>
        <v>54.602999999999952</v>
      </c>
      <c r="C191">
        <f t="shared" si="25"/>
        <v>4.5733999999999924</v>
      </c>
      <c r="D191">
        <f t="shared" si="25"/>
        <v>0.2132000000000005</v>
      </c>
      <c r="E191">
        <f t="shared" si="25"/>
        <v>0.51839999999999975</v>
      </c>
      <c r="F191">
        <f t="shared" si="25"/>
        <v>0.25841000000000003</v>
      </c>
      <c r="G191">
        <f t="shared" si="25"/>
        <v>2.7004999999998835E-3</v>
      </c>
      <c r="H191">
        <f t="shared" si="25"/>
        <v>3.6322499999999994E-2</v>
      </c>
      <c r="I191">
        <f t="shared" si="25"/>
        <v>1.1999999999998123E-5</v>
      </c>
      <c r="J191">
        <f t="shared" si="24"/>
        <v>2.7711199999999993E-3</v>
      </c>
      <c r="K191">
        <f t="shared" si="24"/>
        <v>1.6499499999999999E-3</v>
      </c>
      <c r="L191">
        <f t="shared" si="24"/>
        <v>7.322670000000001E-4</v>
      </c>
      <c r="M191">
        <f t="shared" si="24"/>
        <v>6.3669900000000012E-5</v>
      </c>
      <c r="N191">
        <f t="shared" si="24"/>
        <v>3.6491649999999998E-5</v>
      </c>
      <c r="O191">
        <f t="shared" si="24"/>
        <v>9.3526200000000006E-6</v>
      </c>
      <c r="P191">
        <f t="shared" si="24"/>
        <v>2.0643740000000002E-6</v>
      </c>
      <c r="R191">
        <f t="shared" si="19"/>
        <v>36.230320907953455</v>
      </c>
    </row>
    <row r="192" spans="2:18" x14ac:dyDescent="0.4">
      <c r="B192">
        <f t="shared" si="25"/>
        <v>11.931000000000012</v>
      </c>
      <c r="C192">
        <f t="shared" si="25"/>
        <v>8.2416999999999945</v>
      </c>
      <c r="D192">
        <f t="shared" si="25"/>
        <v>8.6456000000000017</v>
      </c>
      <c r="E192">
        <f t="shared" si="25"/>
        <v>0.21600999999999893</v>
      </c>
      <c r="F192">
        <f t="shared" si="25"/>
        <v>0.17247000000000012</v>
      </c>
      <c r="G192">
        <f t="shared" si="25"/>
        <v>0.20502350000000003</v>
      </c>
      <c r="H192">
        <f t="shared" si="25"/>
        <v>3.6159500000000011E-2</v>
      </c>
      <c r="I192">
        <f t="shared" si="25"/>
        <v>1.627300000000001E-2</v>
      </c>
      <c r="J192">
        <f t="shared" ref="J192:P207" si="26">ABS(J91-B$20)</f>
        <v>3.7785900000000001E-3</v>
      </c>
      <c r="K192">
        <f t="shared" si="26"/>
        <v>3.4730000000000177E-5</v>
      </c>
      <c r="L192">
        <f t="shared" si="26"/>
        <v>3.0871999999999996E-4</v>
      </c>
      <c r="M192">
        <f t="shared" si="26"/>
        <v>6.9760000000000091E-6</v>
      </c>
      <c r="N192">
        <f t="shared" si="26"/>
        <v>2.7945950000000003E-5</v>
      </c>
      <c r="O192">
        <f t="shared" si="26"/>
        <v>7.0814499999999998E-6</v>
      </c>
      <c r="P192">
        <f t="shared" si="26"/>
        <v>2.5841649999999998E-6</v>
      </c>
      <c r="R192">
        <f t="shared" si="19"/>
        <v>43.178765500937573</v>
      </c>
    </row>
    <row r="193" spans="2:18" x14ac:dyDescent="0.4">
      <c r="B193">
        <f t="shared" ref="B193:I208" si="27">ABS(B92-B$10)</f>
        <v>29.940999999999974</v>
      </c>
      <c r="C193">
        <f t="shared" si="27"/>
        <v>8.7775000000000034</v>
      </c>
      <c r="D193">
        <f t="shared" si="27"/>
        <v>10.049500000000002</v>
      </c>
      <c r="E193">
        <f t="shared" si="27"/>
        <v>2.0411399999999995</v>
      </c>
      <c r="F193">
        <f t="shared" si="27"/>
        <v>1.0406100000000003</v>
      </c>
      <c r="G193">
        <f t="shared" si="27"/>
        <v>0.44959950000000004</v>
      </c>
      <c r="H193">
        <f t="shared" si="27"/>
        <v>5.8680499999999997E-2</v>
      </c>
      <c r="I193">
        <f t="shared" si="27"/>
        <v>7.213449999999999E-2</v>
      </c>
      <c r="J193">
        <f t="shared" si="26"/>
        <v>6.4096299999999995E-3</v>
      </c>
      <c r="K193">
        <f t="shared" si="26"/>
        <v>3.459218E-3</v>
      </c>
      <c r="L193">
        <f t="shared" si="26"/>
        <v>1.2132620000000001E-3</v>
      </c>
      <c r="M193">
        <f t="shared" si="26"/>
        <v>1.0513940000000001E-4</v>
      </c>
      <c r="N193">
        <f t="shared" si="26"/>
        <v>4.4876879999999996E-5</v>
      </c>
      <c r="O193">
        <f t="shared" si="26"/>
        <v>1.1813691E-5</v>
      </c>
      <c r="P193">
        <f t="shared" si="26"/>
        <v>2.2161490000000001E-6</v>
      </c>
      <c r="R193">
        <f t="shared" ref="R193:R227" si="28">ABS(R92-I$20)</f>
        <v>10.761995167377393</v>
      </c>
    </row>
    <row r="194" spans="2:18" x14ac:dyDescent="0.4">
      <c r="B194">
        <f t="shared" si="27"/>
        <v>26.828999999999951</v>
      </c>
      <c r="C194">
        <f t="shared" si="27"/>
        <v>8.6115000000000066</v>
      </c>
      <c r="D194">
        <f t="shared" si="27"/>
        <v>5.7342000000000013</v>
      </c>
      <c r="E194">
        <f t="shared" si="27"/>
        <v>1.0757999999999992</v>
      </c>
      <c r="F194">
        <f t="shared" si="27"/>
        <v>0.48056999999999972</v>
      </c>
      <c r="G194">
        <f t="shared" si="27"/>
        <v>0.11732250000000011</v>
      </c>
      <c r="H194">
        <f t="shared" si="27"/>
        <v>3.2328499999999982E-2</v>
      </c>
      <c r="I194">
        <f t="shared" si="27"/>
        <v>3.2099099999999992E-2</v>
      </c>
      <c r="J194">
        <f t="shared" si="26"/>
        <v>3.5040999999999996E-3</v>
      </c>
      <c r="K194">
        <f t="shared" si="26"/>
        <v>1.8634800000000003E-3</v>
      </c>
      <c r="L194">
        <f t="shared" si="26"/>
        <v>4.8032700000000012E-4</v>
      </c>
      <c r="M194">
        <f t="shared" si="26"/>
        <v>8.0900000000000123E-6</v>
      </c>
      <c r="N194">
        <f t="shared" si="26"/>
        <v>1.4097050000000001E-5</v>
      </c>
      <c r="O194">
        <f t="shared" si="26"/>
        <v>2.6155500000000007E-6</v>
      </c>
      <c r="P194">
        <f t="shared" si="26"/>
        <v>3.6064999999999628E-8</v>
      </c>
      <c r="R194">
        <f t="shared" si="28"/>
        <v>14.68985304996238</v>
      </c>
    </row>
    <row r="195" spans="2:18" x14ac:dyDescent="0.4">
      <c r="B195">
        <f t="shared" si="27"/>
        <v>47.971000000000004</v>
      </c>
      <c r="C195">
        <f t="shared" si="27"/>
        <v>11.231500000000011</v>
      </c>
      <c r="D195">
        <f t="shared" si="27"/>
        <v>5.2379000000000033</v>
      </c>
      <c r="E195">
        <f t="shared" si="27"/>
        <v>2.7509999999999994</v>
      </c>
      <c r="F195">
        <f t="shared" si="27"/>
        <v>0.38393999999999995</v>
      </c>
      <c r="G195">
        <f t="shared" si="27"/>
        <v>0.18649450000000012</v>
      </c>
      <c r="H195">
        <f t="shared" si="27"/>
        <v>4.7238499999999989E-2</v>
      </c>
      <c r="I195">
        <f t="shared" si="27"/>
        <v>1.9000599999999992E-2</v>
      </c>
      <c r="J195">
        <f t="shared" si="26"/>
        <v>2.6494099999999996E-3</v>
      </c>
      <c r="K195">
        <f t="shared" si="26"/>
        <v>1.3505500000000003E-3</v>
      </c>
      <c r="L195">
        <f t="shared" si="26"/>
        <v>5.0978100000000017E-4</v>
      </c>
      <c r="M195">
        <f t="shared" si="26"/>
        <v>2.604380000000001E-5</v>
      </c>
      <c r="N195">
        <f t="shared" si="26"/>
        <v>8.2712499999999998E-6</v>
      </c>
      <c r="O195">
        <f t="shared" si="26"/>
        <v>3.0237600000000003E-6</v>
      </c>
      <c r="P195">
        <f t="shared" si="26"/>
        <v>6.7825500000000017E-7</v>
      </c>
      <c r="R195">
        <f t="shared" si="28"/>
        <v>36.338784465432582</v>
      </c>
    </row>
    <row r="196" spans="2:18" x14ac:dyDescent="0.4">
      <c r="B196">
        <f t="shared" si="27"/>
        <v>87.963000000000022</v>
      </c>
      <c r="C196">
        <f t="shared" si="27"/>
        <v>0.10549999999999216</v>
      </c>
      <c r="D196">
        <f t="shared" si="27"/>
        <v>12.038099999999993</v>
      </c>
      <c r="E196">
        <f t="shared" si="27"/>
        <v>0.72007999999999939</v>
      </c>
      <c r="F196">
        <f t="shared" si="27"/>
        <v>0.46272000000000002</v>
      </c>
      <c r="G196">
        <f t="shared" si="27"/>
        <v>0.3610445000000001</v>
      </c>
      <c r="H196">
        <f t="shared" si="27"/>
        <v>0.1013357</v>
      </c>
      <c r="I196">
        <f t="shared" si="27"/>
        <v>8.3878399999999992E-2</v>
      </c>
      <c r="J196">
        <f t="shared" si="26"/>
        <v>7.5745659999999996E-3</v>
      </c>
      <c r="K196">
        <f t="shared" si="26"/>
        <v>4.1211859999999998E-3</v>
      </c>
      <c r="L196">
        <f t="shared" si="26"/>
        <v>1.3691605000000001E-3</v>
      </c>
      <c r="M196">
        <f t="shared" si="26"/>
        <v>1.1594345000000002E-4</v>
      </c>
      <c r="N196">
        <f t="shared" si="26"/>
        <v>4.9674074999999998E-5</v>
      </c>
      <c r="O196">
        <f t="shared" si="26"/>
        <v>1.2625749400000001E-5</v>
      </c>
      <c r="P196">
        <f t="shared" si="26"/>
        <v>2.3659971000000004E-6</v>
      </c>
      <c r="R196">
        <f t="shared" si="28"/>
        <v>92.006298298273975</v>
      </c>
    </row>
    <row r="197" spans="2:18" x14ac:dyDescent="0.4">
      <c r="B197">
        <f t="shared" si="27"/>
        <v>6.1159999999999854</v>
      </c>
      <c r="C197">
        <f t="shared" si="27"/>
        <v>18.847499999999997</v>
      </c>
      <c r="D197">
        <f t="shared" si="27"/>
        <v>9.3421000000000021</v>
      </c>
      <c r="E197">
        <f t="shared" si="27"/>
        <v>8.6299999999999599E-2</v>
      </c>
      <c r="F197">
        <f t="shared" si="27"/>
        <v>0.17998000000000003</v>
      </c>
      <c r="G197">
        <f t="shared" si="27"/>
        <v>1.6445000000000487E-3</v>
      </c>
      <c r="H197">
        <f t="shared" si="27"/>
        <v>1.8442500000000001E-2</v>
      </c>
      <c r="I197">
        <f t="shared" si="27"/>
        <v>4.2514999999999997E-2</v>
      </c>
      <c r="J197">
        <f t="shared" si="26"/>
        <v>1.2605600000000008E-3</v>
      </c>
      <c r="K197">
        <f t="shared" si="26"/>
        <v>1.5392299999999999E-3</v>
      </c>
      <c r="L197">
        <f t="shared" si="26"/>
        <v>5.3790999999999995E-4</v>
      </c>
      <c r="M197">
        <f t="shared" si="26"/>
        <v>5.2015999999999998E-5</v>
      </c>
      <c r="N197">
        <f t="shared" si="26"/>
        <v>1.6422949999999998E-5</v>
      </c>
      <c r="O197">
        <f t="shared" si="26"/>
        <v>1.3514999999999988E-7</v>
      </c>
      <c r="P197">
        <f t="shared" si="26"/>
        <v>3.6065000000000052E-8</v>
      </c>
      <c r="R197">
        <f t="shared" si="28"/>
        <v>36.510755208767591</v>
      </c>
    </row>
    <row r="198" spans="2:18" x14ac:dyDescent="0.4">
      <c r="B198">
        <f t="shared" si="27"/>
        <v>0.27400000000000091</v>
      </c>
      <c r="C198">
        <f t="shared" si="27"/>
        <v>12.374500000000012</v>
      </c>
      <c r="D198">
        <f t="shared" si="27"/>
        <v>6.6372</v>
      </c>
      <c r="E198">
        <f t="shared" si="27"/>
        <v>0.99849999999999994</v>
      </c>
      <c r="F198">
        <f t="shared" si="27"/>
        <v>1.3473600000000001</v>
      </c>
      <c r="G198">
        <f t="shared" si="27"/>
        <v>0.1872935</v>
      </c>
      <c r="H198">
        <f t="shared" si="27"/>
        <v>6.7059499999999994E-2</v>
      </c>
      <c r="I198">
        <f t="shared" si="27"/>
        <v>5.9979000000000005E-2</v>
      </c>
      <c r="J198">
        <f t="shared" si="26"/>
        <v>4.4019899999999997E-3</v>
      </c>
      <c r="K198">
        <f t="shared" si="26"/>
        <v>2.03828E-3</v>
      </c>
      <c r="L198">
        <f t="shared" si="26"/>
        <v>9.7948000000000002E-4</v>
      </c>
      <c r="M198">
        <f t="shared" si="26"/>
        <v>9.7665999999999996E-5</v>
      </c>
      <c r="N198">
        <f t="shared" si="26"/>
        <v>5.1829350000000005E-5</v>
      </c>
      <c r="O198">
        <f t="shared" si="26"/>
        <v>1.6951050000000001E-5</v>
      </c>
      <c r="P198">
        <f t="shared" si="26"/>
        <v>4.3912849999999996E-6</v>
      </c>
      <c r="R198">
        <f t="shared" si="28"/>
        <v>7.171888411182465</v>
      </c>
    </row>
    <row r="199" spans="2:18" x14ac:dyDescent="0.4">
      <c r="B199">
        <f t="shared" si="27"/>
        <v>49.807999999999993</v>
      </c>
      <c r="C199">
        <f t="shared" si="27"/>
        <v>17.077999999999989</v>
      </c>
      <c r="D199">
        <f t="shared" si="27"/>
        <v>9.3440000000000012</v>
      </c>
      <c r="E199">
        <f t="shared" si="27"/>
        <v>0.29855000000000054</v>
      </c>
      <c r="F199">
        <f t="shared" si="27"/>
        <v>0.4279200000000003</v>
      </c>
      <c r="G199">
        <f t="shared" si="27"/>
        <v>1.0797499999999904E-2</v>
      </c>
      <c r="H199">
        <f t="shared" si="27"/>
        <v>1.3393500000000003E-2</v>
      </c>
      <c r="I199">
        <f t="shared" si="27"/>
        <v>3.0355400000000005E-2</v>
      </c>
      <c r="J199">
        <f t="shared" si="26"/>
        <v>1.0624199999999997E-3</v>
      </c>
      <c r="K199">
        <f t="shared" si="26"/>
        <v>7.2841000000000008E-4</v>
      </c>
      <c r="L199">
        <f t="shared" si="26"/>
        <v>4.1696400000000014E-4</v>
      </c>
      <c r="M199">
        <f t="shared" si="26"/>
        <v>2.4524900000000006E-5</v>
      </c>
      <c r="N199">
        <f t="shared" si="26"/>
        <v>1.2546449999999996E-5</v>
      </c>
      <c r="O199">
        <f t="shared" si="26"/>
        <v>2.3037499999999998E-6</v>
      </c>
      <c r="P199">
        <f t="shared" si="26"/>
        <v>2.2889500000000012E-7</v>
      </c>
      <c r="R199">
        <f t="shared" si="28"/>
        <v>27.702624025502473</v>
      </c>
    </row>
    <row r="200" spans="2:18" x14ac:dyDescent="0.4">
      <c r="B200">
        <f t="shared" si="27"/>
        <v>73.655999999999949</v>
      </c>
      <c r="C200">
        <f t="shared" si="27"/>
        <v>19.585899999999995</v>
      </c>
      <c r="D200">
        <f t="shared" si="27"/>
        <v>19.751700000000007</v>
      </c>
      <c r="E200">
        <f t="shared" si="27"/>
        <v>0.44571000000000005</v>
      </c>
      <c r="F200">
        <f t="shared" si="27"/>
        <v>1.55511</v>
      </c>
      <c r="G200">
        <f t="shared" si="27"/>
        <v>0.26212349999999995</v>
      </c>
      <c r="H200">
        <f t="shared" si="27"/>
        <v>5.9834500000000013E-2</v>
      </c>
      <c r="I200">
        <f t="shared" si="27"/>
        <v>5.7808999999999999E-2</v>
      </c>
      <c r="J200">
        <f t="shared" si="26"/>
        <v>4.4818900000000005E-3</v>
      </c>
      <c r="K200">
        <f t="shared" si="26"/>
        <v>9.4842000000000017E-4</v>
      </c>
      <c r="L200">
        <f t="shared" si="26"/>
        <v>2.6507999999999979E-4</v>
      </c>
      <c r="M200">
        <f t="shared" si="26"/>
        <v>1.4404999999999995E-5</v>
      </c>
      <c r="N200">
        <f t="shared" si="26"/>
        <v>6.5664500000000022E-6</v>
      </c>
      <c r="O200">
        <f t="shared" si="26"/>
        <v>1.3120500000000004E-6</v>
      </c>
      <c r="P200">
        <f t="shared" si="26"/>
        <v>2.3413500000000034E-7</v>
      </c>
      <c r="R200">
        <f t="shared" si="28"/>
        <v>61.083087638762493</v>
      </c>
    </row>
    <row r="201" spans="2:18" x14ac:dyDescent="0.4">
      <c r="B201">
        <f t="shared" si="27"/>
        <v>63.79000000000002</v>
      </c>
      <c r="C201">
        <f t="shared" si="27"/>
        <v>5.8255000000000052</v>
      </c>
      <c r="D201">
        <f t="shared" si="27"/>
        <v>6.8436000000000021</v>
      </c>
      <c r="E201">
        <f t="shared" si="27"/>
        <v>0.1097999999999999</v>
      </c>
      <c r="F201">
        <f t="shared" si="27"/>
        <v>0.14168999999999965</v>
      </c>
      <c r="G201">
        <f t="shared" si="27"/>
        <v>0.19065350000000003</v>
      </c>
      <c r="H201">
        <f t="shared" si="27"/>
        <v>3.879450000000001E-2</v>
      </c>
      <c r="I201">
        <f t="shared" si="27"/>
        <v>2.3213000000000011E-2</v>
      </c>
      <c r="J201">
        <f t="shared" si="26"/>
        <v>3.6055900000000005E-3</v>
      </c>
      <c r="K201">
        <f t="shared" si="26"/>
        <v>1.9816699999999996E-3</v>
      </c>
      <c r="L201">
        <f t="shared" si="26"/>
        <v>1.2616799999999998E-3</v>
      </c>
      <c r="M201">
        <f t="shared" si="26"/>
        <v>1.7719400000000001E-4</v>
      </c>
      <c r="N201">
        <f t="shared" si="26"/>
        <v>1.2727035E-4</v>
      </c>
      <c r="O201">
        <f t="shared" si="26"/>
        <v>3.6566849999999994E-5</v>
      </c>
      <c r="P201">
        <f t="shared" si="26"/>
        <v>9.3607849999999992E-6</v>
      </c>
      <c r="R201">
        <f t="shared" si="28"/>
        <v>65.062743844517513</v>
      </c>
    </row>
    <row r="202" spans="2:18" x14ac:dyDescent="0.4">
      <c r="B202">
        <f t="shared" si="27"/>
        <v>0.77800000000002001</v>
      </c>
      <c r="C202">
        <f t="shared" si="27"/>
        <v>12.401500000000013</v>
      </c>
      <c r="D202">
        <f t="shared" si="27"/>
        <v>6.9510000000000005</v>
      </c>
      <c r="E202">
        <f t="shared" si="27"/>
        <v>1.1440999999999999</v>
      </c>
      <c r="F202">
        <f t="shared" si="27"/>
        <v>0.20330999999999966</v>
      </c>
      <c r="G202">
        <f t="shared" si="27"/>
        <v>0.25510349999999993</v>
      </c>
      <c r="H202">
        <f t="shared" si="27"/>
        <v>8.2436499999999996E-2</v>
      </c>
      <c r="I202">
        <f t="shared" si="27"/>
        <v>0.10889299999999999</v>
      </c>
      <c r="J202">
        <f t="shared" si="26"/>
        <v>5.8781900000000002E-3</v>
      </c>
      <c r="K202">
        <f t="shared" si="26"/>
        <v>6.2804199999999992E-3</v>
      </c>
      <c r="L202">
        <f t="shared" si="26"/>
        <v>4.30788E-3</v>
      </c>
      <c r="M202">
        <f t="shared" si="26"/>
        <v>5.3848899999999996E-4</v>
      </c>
      <c r="N202">
        <f t="shared" si="26"/>
        <v>3.5735935000000003E-4</v>
      </c>
      <c r="O202">
        <f t="shared" si="26"/>
        <v>1.0318494999999999E-4</v>
      </c>
      <c r="P202">
        <f t="shared" si="26"/>
        <v>2.9851684999999996E-5</v>
      </c>
      <c r="R202">
        <f t="shared" si="28"/>
        <v>7.7497558015176082</v>
      </c>
    </row>
    <row r="203" spans="2:18" x14ac:dyDescent="0.4">
      <c r="B203">
        <f t="shared" si="27"/>
        <v>6.6659999999999968</v>
      </c>
      <c r="C203">
        <f t="shared" si="27"/>
        <v>6.5548999999999893</v>
      </c>
      <c r="D203">
        <f t="shared" si="27"/>
        <v>7.1621000000000024</v>
      </c>
      <c r="E203">
        <f t="shared" si="27"/>
        <v>0.19943999999999917</v>
      </c>
      <c r="F203">
        <f t="shared" si="27"/>
        <v>1.2233199999999997</v>
      </c>
      <c r="G203">
        <f t="shared" si="27"/>
        <v>0.17083349999999986</v>
      </c>
      <c r="H203">
        <f t="shared" si="27"/>
        <v>0.15106449999999999</v>
      </c>
      <c r="I203">
        <f t="shared" si="27"/>
        <v>0.124998</v>
      </c>
      <c r="J203">
        <f t="shared" si="26"/>
        <v>1.5774090000000001E-2</v>
      </c>
      <c r="K203">
        <f t="shared" si="26"/>
        <v>8.7927200000000004E-3</v>
      </c>
      <c r="L203">
        <f t="shared" si="26"/>
        <v>3.3803499999999998E-3</v>
      </c>
      <c r="M203">
        <f t="shared" si="26"/>
        <v>2.6248299999999999E-4</v>
      </c>
      <c r="N203">
        <f t="shared" si="26"/>
        <v>2.1864235E-4</v>
      </c>
      <c r="O203">
        <f t="shared" si="26"/>
        <v>4.7443050000000003E-5</v>
      </c>
      <c r="P203">
        <f t="shared" si="26"/>
        <v>1.8464085000000001E-5</v>
      </c>
      <c r="R203">
        <f t="shared" si="28"/>
        <v>19.785323984017509</v>
      </c>
    </row>
    <row r="204" spans="2:18" x14ac:dyDescent="0.4">
      <c r="B204">
        <f t="shared" si="27"/>
        <v>83.067000000000036</v>
      </c>
      <c r="C204">
        <f t="shared" si="27"/>
        <v>0.69750000000000512</v>
      </c>
      <c r="D204">
        <f t="shared" si="27"/>
        <v>29.957000000000001</v>
      </c>
      <c r="E204">
        <f t="shared" si="27"/>
        <v>0.71300000000000097</v>
      </c>
      <c r="F204">
        <f t="shared" si="27"/>
        <v>0.62901999999999969</v>
      </c>
      <c r="G204">
        <f t="shared" si="27"/>
        <v>0.22252349999999987</v>
      </c>
      <c r="H204">
        <f t="shared" si="27"/>
        <v>0.11611050000000001</v>
      </c>
      <c r="I204">
        <f t="shared" si="27"/>
        <v>5.6897000000000003E-2</v>
      </c>
      <c r="J204">
        <f t="shared" si="26"/>
        <v>6.6095900000000003E-3</v>
      </c>
      <c r="K204">
        <f t="shared" si="26"/>
        <v>1.4486100000000003E-3</v>
      </c>
      <c r="L204">
        <f t="shared" si="26"/>
        <v>1.3225999999999993E-4</v>
      </c>
      <c r="M204">
        <f t="shared" si="26"/>
        <v>7.6399999999999472E-7</v>
      </c>
      <c r="N204">
        <f t="shared" si="26"/>
        <v>6.4991500000000037E-6</v>
      </c>
      <c r="O204">
        <f t="shared" si="26"/>
        <v>4.5131799999999997E-6</v>
      </c>
      <c r="P204">
        <f t="shared" si="26"/>
        <v>9.1010500000000011E-7</v>
      </c>
      <c r="R204">
        <f t="shared" si="28"/>
        <v>64.900350876637617</v>
      </c>
    </row>
    <row r="205" spans="2:18" x14ac:dyDescent="0.4">
      <c r="B205">
        <f t="shared" si="27"/>
        <v>124.48099999999999</v>
      </c>
      <c r="C205">
        <f t="shared" si="27"/>
        <v>14.053099999999986</v>
      </c>
      <c r="D205">
        <f t="shared" si="27"/>
        <v>23.547900000000006</v>
      </c>
      <c r="E205">
        <f t="shared" si="27"/>
        <v>4.4806000000000008</v>
      </c>
      <c r="F205">
        <f t="shared" si="27"/>
        <v>2.0922299999999998</v>
      </c>
      <c r="G205">
        <f t="shared" si="27"/>
        <v>0.69188349999999987</v>
      </c>
      <c r="H205">
        <f t="shared" si="27"/>
        <v>0.17767250000000001</v>
      </c>
      <c r="I205">
        <f t="shared" si="27"/>
        <v>0.23310900000000001</v>
      </c>
      <c r="J205">
        <f t="shared" si="26"/>
        <v>2.4872989999999998E-2</v>
      </c>
      <c r="K205">
        <f t="shared" si="26"/>
        <v>1.7145920000000002E-2</v>
      </c>
      <c r="L205">
        <f t="shared" si="26"/>
        <v>5.8325499999999997E-3</v>
      </c>
      <c r="M205">
        <f t="shared" si="26"/>
        <v>8.9649599999999988E-4</v>
      </c>
      <c r="N205">
        <f t="shared" si="26"/>
        <v>4.7865435000000003E-4</v>
      </c>
      <c r="O205">
        <f t="shared" si="26"/>
        <v>1.7905594999999998E-4</v>
      </c>
      <c r="P205">
        <f t="shared" si="26"/>
        <v>5.0618285000000002E-5</v>
      </c>
      <c r="R205">
        <f t="shared" si="28"/>
        <v>127.46715710808246</v>
      </c>
    </row>
    <row r="206" spans="2:18" x14ac:dyDescent="0.4">
      <c r="B206">
        <f t="shared" si="27"/>
        <v>10.062999999999988</v>
      </c>
      <c r="C206">
        <f t="shared" si="27"/>
        <v>39.538499999999999</v>
      </c>
      <c r="D206">
        <f t="shared" si="27"/>
        <v>4.2912999999999997</v>
      </c>
      <c r="E206">
        <f t="shared" si="27"/>
        <v>2.0699599999999991</v>
      </c>
      <c r="F206">
        <f t="shared" si="27"/>
        <v>0.29088000000000003</v>
      </c>
      <c r="G206">
        <f t="shared" si="27"/>
        <v>0.33588750000000012</v>
      </c>
      <c r="H206">
        <f t="shared" si="27"/>
        <v>2.8647499999999992E-2</v>
      </c>
      <c r="I206">
        <f t="shared" si="27"/>
        <v>5.6649100000000001E-2</v>
      </c>
      <c r="J206">
        <f t="shared" si="26"/>
        <v>4.5177599999999991E-3</v>
      </c>
      <c r="K206">
        <f t="shared" si="26"/>
        <v>2.8913100000000002E-3</v>
      </c>
      <c r="L206">
        <f t="shared" si="26"/>
        <v>9.8410500000000009E-4</v>
      </c>
      <c r="M206">
        <f t="shared" si="26"/>
        <v>9.9625300000000017E-5</v>
      </c>
      <c r="N206">
        <f t="shared" si="26"/>
        <v>4.1442489999999994E-5</v>
      </c>
      <c r="O206">
        <f t="shared" si="26"/>
        <v>1.1342530000000001E-5</v>
      </c>
      <c r="P206">
        <f t="shared" si="26"/>
        <v>2.2023240000000003E-6</v>
      </c>
      <c r="R206">
        <f t="shared" si="28"/>
        <v>36.868633935853381</v>
      </c>
    </row>
    <row r="207" spans="2:18" x14ac:dyDescent="0.4">
      <c r="B207">
        <f t="shared" si="27"/>
        <v>222.16799999999995</v>
      </c>
      <c r="C207">
        <f t="shared" si="27"/>
        <v>6.9803999999999888</v>
      </c>
      <c r="D207">
        <f t="shared" si="27"/>
        <v>11.508000000000003</v>
      </c>
      <c r="E207">
        <f t="shared" si="27"/>
        <v>0.2976100000000006</v>
      </c>
      <c r="F207">
        <f t="shared" si="27"/>
        <v>0.54601999999999995</v>
      </c>
      <c r="G207">
        <f t="shared" si="27"/>
        <v>0.12829650000000004</v>
      </c>
      <c r="H207">
        <f t="shared" si="27"/>
        <v>1.6028500000000001E-2</v>
      </c>
      <c r="I207">
        <f t="shared" si="27"/>
        <v>4.0649999999999992E-3</v>
      </c>
      <c r="J207">
        <f t="shared" si="26"/>
        <v>4.8529999999999754E-5</v>
      </c>
      <c r="K207">
        <f t="shared" si="26"/>
        <v>4.544900000000001E-4</v>
      </c>
      <c r="L207">
        <f t="shared" si="26"/>
        <v>1.9833999999999976E-4</v>
      </c>
      <c r="M207">
        <f t="shared" si="26"/>
        <v>3.2625999999999982E-5</v>
      </c>
      <c r="N207">
        <f t="shared" si="26"/>
        <v>1.8305550000000006E-5</v>
      </c>
      <c r="O207">
        <f t="shared" si="26"/>
        <v>8.9316500000000011E-6</v>
      </c>
      <c r="P207">
        <f t="shared" si="26"/>
        <v>1.5247949999999999E-6</v>
      </c>
      <c r="R207">
        <f t="shared" si="28"/>
        <v>189.08924659149238</v>
      </c>
    </row>
    <row r="208" spans="2:18" x14ac:dyDescent="0.4">
      <c r="B208">
        <f t="shared" si="27"/>
        <v>62.912000000000035</v>
      </c>
      <c r="C208">
        <f t="shared" si="27"/>
        <v>5.6573999999999955</v>
      </c>
      <c r="D208">
        <f t="shared" si="27"/>
        <v>3.5078000000000031</v>
      </c>
      <c r="E208">
        <f t="shared" si="27"/>
        <v>0.36270999999999987</v>
      </c>
      <c r="F208">
        <f t="shared" si="27"/>
        <v>1.15056</v>
      </c>
      <c r="G208">
        <f t="shared" si="27"/>
        <v>0.51063349999999996</v>
      </c>
      <c r="H208">
        <f t="shared" si="27"/>
        <v>4.9947500000000006E-2</v>
      </c>
      <c r="I208">
        <f t="shared" si="27"/>
        <v>7.7452999999999994E-2</v>
      </c>
      <c r="J208">
        <f t="shared" ref="J208:P223" si="29">ABS(J107-B$20)</f>
        <v>7.1477900000000011E-3</v>
      </c>
      <c r="K208">
        <f t="shared" si="29"/>
        <v>4.3145799999999993E-3</v>
      </c>
      <c r="L208">
        <f t="shared" si="29"/>
        <v>1.3705799999999997E-3</v>
      </c>
      <c r="M208">
        <f t="shared" si="29"/>
        <v>2.7628099999999997E-4</v>
      </c>
      <c r="N208">
        <f t="shared" si="29"/>
        <v>1.0961435E-4</v>
      </c>
      <c r="O208">
        <f t="shared" si="29"/>
        <v>4.3597549999999994E-5</v>
      </c>
      <c r="P208">
        <f t="shared" si="29"/>
        <v>1.1937585000000001E-5</v>
      </c>
      <c r="R208">
        <f t="shared" si="28"/>
        <v>77.856035796017636</v>
      </c>
    </row>
    <row r="209" spans="2:18" x14ac:dyDescent="0.4">
      <c r="B209">
        <f t="shared" ref="B209:I224" si="30">ABS(B108-B$10)</f>
        <v>47.744000000000028</v>
      </c>
      <c r="C209">
        <f t="shared" si="30"/>
        <v>13.041799999999995</v>
      </c>
      <c r="D209">
        <f t="shared" si="30"/>
        <v>8.0488</v>
      </c>
      <c r="E209">
        <f t="shared" si="30"/>
        <v>1.7157399999999994</v>
      </c>
      <c r="F209">
        <f t="shared" si="30"/>
        <v>0.28973000000000004</v>
      </c>
      <c r="G209">
        <f t="shared" si="30"/>
        <v>0.29046850000000002</v>
      </c>
      <c r="H209">
        <f t="shared" si="30"/>
        <v>1.7197500000000004E-2</v>
      </c>
      <c r="I209">
        <f t="shared" si="30"/>
        <v>2.4129200000000003E-2</v>
      </c>
      <c r="J209">
        <f t="shared" si="29"/>
        <v>3.1095999999999901E-4</v>
      </c>
      <c r="K209">
        <f t="shared" si="29"/>
        <v>1.23207E-3</v>
      </c>
      <c r="L209">
        <f t="shared" si="29"/>
        <v>2.5089000000000014E-4</v>
      </c>
      <c r="M209">
        <f t="shared" si="29"/>
        <v>5.4274900000000011E-5</v>
      </c>
      <c r="N209">
        <f t="shared" si="29"/>
        <v>4.1252499999999958E-6</v>
      </c>
      <c r="O209">
        <f t="shared" si="29"/>
        <v>3.8023000000000008E-6</v>
      </c>
      <c r="P209">
        <f t="shared" si="29"/>
        <v>6.4277500000000017E-7</v>
      </c>
      <c r="R209">
        <f t="shared" si="28"/>
        <v>85.40731614172762</v>
      </c>
    </row>
    <row r="210" spans="2:18" x14ac:dyDescent="0.4">
      <c r="B210">
        <f t="shared" si="30"/>
        <v>13.525000000000034</v>
      </c>
      <c r="C210">
        <f t="shared" si="30"/>
        <v>4.5645000000000095</v>
      </c>
      <c r="D210">
        <f t="shared" si="30"/>
        <v>6.0390000000000015</v>
      </c>
      <c r="E210">
        <f t="shared" si="30"/>
        <v>1.9405000000000001</v>
      </c>
      <c r="F210">
        <f t="shared" si="30"/>
        <v>1.7764899999999999</v>
      </c>
      <c r="G210">
        <f t="shared" si="30"/>
        <v>0.75182349999999998</v>
      </c>
      <c r="H210">
        <f t="shared" si="30"/>
        <v>0.20249349999999999</v>
      </c>
      <c r="I210">
        <f t="shared" si="30"/>
        <v>0.14839000000000002</v>
      </c>
      <c r="J210">
        <f t="shared" si="29"/>
        <v>1.0012590000000002E-2</v>
      </c>
      <c r="K210">
        <f t="shared" si="29"/>
        <v>8.4118200000000004E-3</v>
      </c>
      <c r="L210">
        <f t="shared" si="29"/>
        <v>3.21908E-3</v>
      </c>
      <c r="M210">
        <f t="shared" si="29"/>
        <v>4.1514500000000001E-4</v>
      </c>
      <c r="N210">
        <f t="shared" si="29"/>
        <v>2.2130235000000003E-4</v>
      </c>
      <c r="O210">
        <f t="shared" si="29"/>
        <v>5.3078949999999994E-5</v>
      </c>
      <c r="P210">
        <f t="shared" si="29"/>
        <v>1.7530585E-5</v>
      </c>
      <c r="R210">
        <f t="shared" si="28"/>
        <v>12.313046629617588</v>
      </c>
    </row>
    <row r="211" spans="2:18" x14ac:dyDescent="0.4">
      <c r="B211">
        <f t="shared" si="30"/>
        <v>120.91100000000003</v>
      </c>
      <c r="C211">
        <f t="shared" si="30"/>
        <v>18.171899999999994</v>
      </c>
      <c r="D211">
        <f t="shared" si="30"/>
        <v>2.6822000000000017</v>
      </c>
      <c r="E211">
        <f t="shared" si="30"/>
        <v>5.0628999999999991</v>
      </c>
      <c r="F211">
        <f t="shared" si="30"/>
        <v>0.2210700000000001</v>
      </c>
      <c r="G211">
        <f t="shared" si="30"/>
        <v>0.28665550000000006</v>
      </c>
      <c r="H211">
        <f t="shared" si="30"/>
        <v>5.9028499999999998E-2</v>
      </c>
      <c r="I211">
        <f t="shared" si="30"/>
        <v>2.1106899999999998E-2</v>
      </c>
      <c r="J211">
        <f t="shared" si="29"/>
        <v>8.5421999999999929E-4</v>
      </c>
      <c r="K211">
        <f t="shared" si="29"/>
        <v>1.0517899999999999E-3</v>
      </c>
      <c r="L211">
        <f t="shared" si="29"/>
        <v>4.8857200000000016E-4</v>
      </c>
      <c r="M211">
        <f t="shared" si="29"/>
        <v>4.5869700000000012E-5</v>
      </c>
      <c r="N211">
        <f t="shared" si="29"/>
        <v>1.1039249999999998E-5</v>
      </c>
      <c r="O211">
        <f t="shared" si="29"/>
        <v>3.3945400000000005E-6</v>
      </c>
      <c r="P211">
        <f t="shared" si="29"/>
        <v>6.5457500000000021E-7</v>
      </c>
      <c r="R211">
        <f t="shared" si="28"/>
        <v>156.2875106165676</v>
      </c>
    </row>
    <row r="212" spans="2:18" x14ac:dyDescent="0.4">
      <c r="B212">
        <f t="shared" si="30"/>
        <v>100.68899999999996</v>
      </c>
      <c r="C212">
        <f t="shared" si="30"/>
        <v>11.308499999999995</v>
      </c>
      <c r="D212">
        <f t="shared" si="30"/>
        <v>4.1916000000000011</v>
      </c>
      <c r="E212">
        <f t="shared" si="30"/>
        <v>2.9541899999999996</v>
      </c>
      <c r="F212">
        <f t="shared" si="30"/>
        <v>8.2619999999999916E-2</v>
      </c>
      <c r="G212">
        <f t="shared" si="30"/>
        <v>1.6444999999999377E-3</v>
      </c>
      <c r="H212">
        <f t="shared" si="30"/>
        <v>5.0730500000000012E-2</v>
      </c>
      <c r="I212">
        <f t="shared" si="30"/>
        <v>5.6761000000000006E-2</v>
      </c>
      <c r="J212">
        <f t="shared" si="29"/>
        <v>8.8254900000000018E-3</v>
      </c>
      <c r="K212">
        <f t="shared" si="29"/>
        <v>5.8373199999999991E-3</v>
      </c>
      <c r="L212">
        <f t="shared" si="29"/>
        <v>1.9299399999999998E-3</v>
      </c>
      <c r="M212">
        <f t="shared" si="29"/>
        <v>2.0245999999999998E-4</v>
      </c>
      <c r="N212">
        <f t="shared" si="29"/>
        <v>1.7627435000000001E-4</v>
      </c>
      <c r="O212">
        <f t="shared" si="29"/>
        <v>4.0724650000000003E-5</v>
      </c>
      <c r="P212">
        <f t="shared" si="29"/>
        <v>1.4754284999999998E-5</v>
      </c>
      <c r="R212">
        <f t="shared" si="28"/>
        <v>68.209898786782446</v>
      </c>
    </row>
    <row r="213" spans="2:18" x14ac:dyDescent="0.4">
      <c r="B213">
        <f t="shared" si="30"/>
        <v>67.128000000000014</v>
      </c>
      <c r="C213">
        <f t="shared" si="30"/>
        <v>6.2353999999999843</v>
      </c>
      <c r="D213">
        <f t="shared" si="30"/>
        <v>3.6492000000000004</v>
      </c>
      <c r="E213">
        <f t="shared" si="30"/>
        <v>2.134999999999998E-2</v>
      </c>
      <c r="F213">
        <f t="shared" si="30"/>
        <v>0.39665000000000017</v>
      </c>
      <c r="G213">
        <f t="shared" si="30"/>
        <v>9.1774999999999496E-3</v>
      </c>
      <c r="H213">
        <f t="shared" si="30"/>
        <v>3.3380500000000007E-2</v>
      </c>
      <c r="I213">
        <f t="shared" si="30"/>
        <v>1.56274E-2</v>
      </c>
      <c r="J213">
        <f t="shared" si="29"/>
        <v>1.3504099999999998E-3</v>
      </c>
      <c r="K213">
        <f t="shared" si="29"/>
        <v>1.9774300000000001E-3</v>
      </c>
      <c r="L213">
        <f t="shared" si="29"/>
        <v>5.6722100000000013E-4</v>
      </c>
      <c r="M213">
        <f t="shared" si="29"/>
        <v>5.8026600000000011E-5</v>
      </c>
      <c r="N213">
        <f t="shared" si="29"/>
        <v>1.9296349999999997E-5</v>
      </c>
      <c r="O213">
        <f t="shared" si="29"/>
        <v>5.3211800000000003E-6</v>
      </c>
      <c r="P213">
        <f t="shared" si="29"/>
        <v>8.3848500000000011E-7</v>
      </c>
      <c r="R213">
        <f t="shared" si="28"/>
        <v>91.598542120117429</v>
      </c>
    </row>
    <row r="214" spans="2:18" x14ac:dyDescent="0.4">
      <c r="B214">
        <f t="shared" si="30"/>
        <v>100.39399999999995</v>
      </c>
      <c r="C214">
        <f t="shared" si="30"/>
        <v>7.0155000000000172</v>
      </c>
      <c r="D214">
        <f t="shared" si="30"/>
        <v>17.796299999999995</v>
      </c>
      <c r="E214">
        <f t="shared" si="30"/>
        <v>7.4977999999999998</v>
      </c>
      <c r="F214">
        <f t="shared" si="30"/>
        <v>3.5679299999999996</v>
      </c>
      <c r="G214">
        <f t="shared" si="30"/>
        <v>1.2100135000000001</v>
      </c>
      <c r="H214">
        <f t="shared" si="30"/>
        <v>0.37741049999999998</v>
      </c>
      <c r="I214">
        <f t="shared" si="30"/>
        <v>0.43707499999999999</v>
      </c>
      <c r="J214">
        <f t="shared" si="29"/>
        <v>6.7282690000000006E-2</v>
      </c>
      <c r="K214">
        <f t="shared" si="29"/>
        <v>2.7638720000000002E-2</v>
      </c>
      <c r="L214">
        <f t="shared" si="29"/>
        <v>1.47347E-2</v>
      </c>
      <c r="M214">
        <f t="shared" si="29"/>
        <v>1.6444859999999999E-3</v>
      </c>
      <c r="N214">
        <f t="shared" si="29"/>
        <v>1.0865493499999999E-3</v>
      </c>
      <c r="O214">
        <f t="shared" si="29"/>
        <v>3.2944695E-4</v>
      </c>
      <c r="P214">
        <f t="shared" si="29"/>
        <v>8.8102785000000012E-5</v>
      </c>
      <c r="R214">
        <f t="shared" si="28"/>
        <v>124.17523951858254</v>
      </c>
    </row>
    <row r="215" spans="2:18" x14ac:dyDescent="0.4">
      <c r="B215">
        <f t="shared" si="30"/>
        <v>45.801999999999964</v>
      </c>
      <c r="C215">
        <f t="shared" si="30"/>
        <v>10.743500000000012</v>
      </c>
      <c r="D215">
        <f t="shared" si="30"/>
        <v>0.70750000000000313</v>
      </c>
      <c r="E215">
        <f t="shared" si="30"/>
        <v>0.5355099999999986</v>
      </c>
      <c r="F215">
        <f t="shared" si="30"/>
        <v>1.0244</v>
      </c>
      <c r="G215">
        <f t="shared" si="30"/>
        <v>2.1835499999999897E-2</v>
      </c>
      <c r="H215">
        <f t="shared" si="30"/>
        <v>6.7461500000000008E-2</v>
      </c>
      <c r="I215">
        <f t="shared" si="30"/>
        <v>1.8841999999999998E-2</v>
      </c>
      <c r="J215">
        <f t="shared" si="29"/>
        <v>1.4210300000000002E-3</v>
      </c>
      <c r="K215">
        <f t="shared" si="29"/>
        <v>2.0164000000000033E-4</v>
      </c>
      <c r="L215">
        <f t="shared" si="29"/>
        <v>1.131499999999998E-4</v>
      </c>
      <c r="M215">
        <f t="shared" si="29"/>
        <v>4.4576000000000001E-5</v>
      </c>
      <c r="N215">
        <f t="shared" si="29"/>
        <v>4.9074499999999965E-6</v>
      </c>
      <c r="O215">
        <f t="shared" si="29"/>
        <v>6.0401500000000001E-6</v>
      </c>
      <c r="P215">
        <f t="shared" si="29"/>
        <v>2.5570749999999996E-6</v>
      </c>
      <c r="R215">
        <f t="shared" si="28"/>
        <v>43.618218909272457</v>
      </c>
    </row>
    <row r="216" spans="2:18" x14ac:dyDescent="0.4">
      <c r="B216">
        <f t="shared" si="30"/>
        <v>71.965000000000032</v>
      </c>
      <c r="C216">
        <f t="shared" si="30"/>
        <v>16.804599999999994</v>
      </c>
      <c r="D216">
        <f t="shared" si="30"/>
        <v>1.7809000000000026</v>
      </c>
      <c r="E216">
        <f t="shared" si="30"/>
        <v>1.1782000000000004</v>
      </c>
      <c r="F216">
        <f t="shared" si="30"/>
        <v>0.7897599999999998</v>
      </c>
      <c r="G216">
        <f t="shared" si="30"/>
        <v>0.38482349999999999</v>
      </c>
      <c r="H216">
        <f t="shared" si="30"/>
        <v>8.908350000000001E-2</v>
      </c>
      <c r="I216">
        <f t="shared" si="30"/>
        <v>9.4557000000000002E-2</v>
      </c>
      <c r="J216">
        <f t="shared" si="29"/>
        <v>1.3784589999999999E-2</v>
      </c>
      <c r="K216">
        <f t="shared" si="29"/>
        <v>6.8627200000000001E-3</v>
      </c>
      <c r="L216">
        <f t="shared" si="29"/>
        <v>2.5345200000000002E-3</v>
      </c>
      <c r="M216">
        <f t="shared" si="29"/>
        <v>3.6182399999999996E-4</v>
      </c>
      <c r="N216">
        <f t="shared" si="29"/>
        <v>1.5859435E-4</v>
      </c>
      <c r="O216">
        <f t="shared" si="29"/>
        <v>5.5330449999999991E-5</v>
      </c>
      <c r="P216">
        <f t="shared" si="29"/>
        <v>1.3742484999999998E-5</v>
      </c>
      <c r="R216">
        <f t="shared" si="28"/>
        <v>98.662098855217437</v>
      </c>
    </row>
    <row r="217" spans="2:18" x14ac:dyDescent="0.4">
      <c r="B217">
        <f t="shared" si="30"/>
        <v>31.461000000000013</v>
      </c>
      <c r="C217">
        <f t="shared" si="30"/>
        <v>8.4945000000000164</v>
      </c>
      <c r="D217">
        <f t="shared" si="30"/>
        <v>0.2132000000000005</v>
      </c>
      <c r="E217">
        <f t="shared" si="30"/>
        <v>0.87950000000000017</v>
      </c>
      <c r="F217">
        <f t="shared" si="30"/>
        <v>0.43701999999999996</v>
      </c>
      <c r="G217">
        <f t="shared" si="30"/>
        <v>0.2231034999999999</v>
      </c>
      <c r="H217">
        <f t="shared" si="30"/>
        <v>6.9935500000000012E-2</v>
      </c>
      <c r="I217">
        <f t="shared" si="30"/>
        <v>7.9387000000000013E-2</v>
      </c>
      <c r="J217">
        <f t="shared" si="29"/>
        <v>6.8133900000000008E-3</v>
      </c>
      <c r="K217">
        <f t="shared" si="29"/>
        <v>5.5602500000000001E-3</v>
      </c>
      <c r="L217">
        <f t="shared" si="29"/>
        <v>1.8460899999999999E-3</v>
      </c>
      <c r="M217">
        <f t="shared" si="29"/>
        <v>3.5818600000000003E-4</v>
      </c>
      <c r="N217">
        <f t="shared" si="29"/>
        <v>1.4462935E-4</v>
      </c>
      <c r="O217">
        <f t="shared" si="29"/>
        <v>5.100014999999999E-5</v>
      </c>
      <c r="P217">
        <f t="shared" si="29"/>
        <v>1.6134484999999998E-5</v>
      </c>
      <c r="R217">
        <f t="shared" si="28"/>
        <v>35.709558496517502</v>
      </c>
    </row>
    <row r="218" spans="2:18" x14ac:dyDescent="0.4">
      <c r="B218">
        <f t="shared" si="30"/>
        <v>164.95999999999998</v>
      </c>
      <c r="C218">
        <f t="shared" si="30"/>
        <v>16.433599999999984</v>
      </c>
      <c r="D218">
        <f t="shared" si="30"/>
        <v>19.078600000000002</v>
      </c>
      <c r="E218">
        <f t="shared" si="30"/>
        <v>2.6747000000000014</v>
      </c>
      <c r="F218">
        <f t="shared" si="30"/>
        <v>0.10587999999999997</v>
      </c>
      <c r="G218">
        <f t="shared" si="30"/>
        <v>0.91204350000000001</v>
      </c>
      <c r="H218">
        <f t="shared" si="30"/>
        <v>0.11678450000000001</v>
      </c>
      <c r="I218">
        <f t="shared" si="30"/>
        <v>0.12232100000000001</v>
      </c>
      <c r="J218">
        <f t="shared" si="29"/>
        <v>8.1867899999999993E-3</v>
      </c>
      <c r="K218">
        <f t="shared" si="29"/>
        <v>9.94482E-3</v>
      </c>
      <c r="L218">
        <f t="shared" si="29"/>
        <v>2.3187299999999997E-3</v>
      </c>
      <c r="M218">
        <f t="shared" si="29"/>
        <v>3.3142000000000002E-4</v>
      </c>
      <c r="N218">
        <f t="shared" si="29"/>
        <v>1.1035035000000001E-4</v>
      </c>
      <c r="O218">
        <f t="shared" si="29"/>
        <v>3.6831549999999998E-5</v>
      </c>
      <c r="P218">
        <f t="shared" si="29"/>
        <v>9.1760850000000008E-6</v>
      </c>
      <c r="R218">
        <f t="shared" si="28"/>
        <v>157.11231294148274</v>
      </c>
    </row>
    <row r="219" spans="2:18" x14ac:dyDescent="0.4">
      <c r="B219">
        <f t="shared" si="30"/>
        <v>32.576999999999998</v>
      </c>
      <c r="C219">
        <f t="shared" si="30"/>
        <v>1.5585999999999842</v>
      </c>
      <c r="D219">
        <f t="shared" si="30"/>
        <v>12.140700000000002</v>
      </c>
      <c r="E219">
        <f t="shared" si="30"/>
        <v>3.2211899999999991</v>
      </c>
      <c r="F219">
        <f t="shared" si="30"/>
        <v>0.96474000000000015</v>
      </c>
      <c r="G219">
        <f t="shared" si="30"/>
        <v>0.44605950000000005</v>
      </c>
      <c r="H219">
        <f t="shared" si="30"/>
        <v>9.6695900000000001E-2</v>
      </c>
      <c r="I219">
        <f t="shared" si="30"/>
        <v>8.2522299999999993E-2</v>
      </c>
      <c r="J219">
        <f t="shared" si="29"/>
        <v>6.2455999999999996E-3</v>
      </c>
      <c r="K219">
        <f t="shared" si="29"/>
        <v>3.6811080000000002E-3</v>
      </c>
      <c r="L219">
        <f t="shared" si="29"/>
        <v>1.2683920000000001E-3</v>
      </c>
      <c r="M219">
        <f t="shared" si="29"/>
        <v>1.0942726000000001E-4</v>
      </c>
      <c r="N219">
        <f t="shared" si="29"/>
        <v>4.790225E-5</v>
      </c>
      <c r="O219">
        <f t="shared" si="29"/>
        <v>1.2347388E-5</v>
      </c>
      <c r="P219">
        <f t="shared" si="29"/>
        <v>2.3424179000000004E-6</v>
      </c>
      <c r="R219">
        <f t="shared" si="28"/>
        <v>0.17846899581843445</v>
      </c>
    </row>
    <row r="220" spans="2:18" x14ac:dyDescent="0.4">
      <c r="B220">
        <f t="shared" si="30"/>
        <v>12.599999999999966</v>
      </c>
      <c r="C220">
        <f t="shared" si="30"/>
        <v>12.106500000000011</v>
      </c>
      <c r="D220">
        <f t="shared" si="30"/>
        <v>3.1263999999999967</v>
      </c>
      <c r="E220">
        <f t="shared" si="30"/>
        <v>1.6727000000000007</v>
      </c>
      <c r="F220">
        <f t="shared" si="30"/>
        <v>0.57874999999999988</v>
      </c>
      <c r="G220">
        <f t="shared" si="30"/>
        <v>0.9467835</v>
      </c>
      <c r="H220">
        <f t="shared" si="30"/>
        <v>3.8793500000000009E-2</v>
      </c>
      <c r="I220">
        <f t="shared" si="30"/>
        <v>3.445899999999999E-2</v>
      </c>
      <c r="J220">
        <f t="shared" si="29"/>
        <v>3.8661900000000003E-3</v>
      </c>
      <c r="K220">
        <f t="shared" si="29"/>
        <v>3.734000000000029E-5</v>
      </c>
      <c r="L220">
        <f t="shared" si="29"/>
        <v>8.3000000000005812E-7</v>
      </c>
      <c r="M220">
        <f t="shared" si="29"/>
        <v>1.3790000000000151E-6</v>
      </c>
      <c r="N220">
        <f t="shared" si="29"/>
        <v>2.0809749999999998E-5</v>
      </c>
      <c r="O220">
        <f t="shared" si="29"/>
        <v>5.5321200000000005E-6</v>
      </c>
      <c r="P220">
        <f t="shared" si="29"/>
        <v>1.1798350000000002E-6</v>
      </c>
      <c r="R220">
        <f t="shared" si="28"/>
        <v>16.874590942792452</v>
      </c>
    </row>
    <row r="221" spans="2:18" x14ac:dyDescent="0.4">
      <c r="B221">
        <f t="shared" si="30"/>
        <v>56.756000000000029</v>
      </c>
      <c r="C221">
        <f t="shared" si="30"/>
        <v>6.4427999999999912</v>
      </c>
      <c r="D221">
        <f t="shared" si="30"/>
        <v>2.8958999999999975</v>
      </c>
      <c r="E221">
        <f t="shared" si="30"/>
        <v>1.6298699999999995</v>
      </c>
      <c r="F221">
        <f t="shared" si="30"/>
        <v>1.1078999999999999</v>
      </c>
      <c r="G221">
        <f t="shared" si="30"/>
        <v>0.13247349999999991</v>
      </c>
      <c r="H221">
        <f t="shared" si="30"/>
        <v>6.9995500000000016E-2</v>
      </c>
      <c r="I221">
        <f t="shared" si="30"/>
        <v>3.742100000000001E-2</v>
      </c>
      <c r="J221">
        <f t="shared" si="29"/>
        <v>4.7622900000000006E-3</v>
      </c>
      <c r="K221">
        <f t="shared" si="29"/>
        <v>2.6999700000000003E-3</v>
      </c>
      <c r="L221">
        <f t="shared" si="29"/>
        <v>6.9441999999999985E-4</v>
      </c>
      <c r="M221">
        <f t="shared" si="29"/>
        <v>9.2388999999999986E-5</v>
      </c>
      <c r="N221">
        <f t="shared" si="29"/>
        <v>3.2446350000000005E-5</v>
      </c>
      <c r="O221">
        <f t="shared" si="29"/>
        <v>6.0730500000000011E-6</v>
      </c>
      <c r="P221">
        <f t="shared" si="29"/>
        <v>2.3743849999999995E-6</v>
      </c>
      <c r="R221">
        <f t="shared" si="28"/>
        <v>74.810284213717694</v>
      </c>
    </row>
    <row r="222" spans="2:18" x14ac:dyDescent="0.4">
      <c r="B222">
        <f t="shared" si="30"/>
        <v>9.8170000000000357</v>
      </c>
      <c r="C222">
        <f t="shared" si="30"/>
        <v>41.000299999999989</v>
      </c>
      <c r="D222">
        <f t="shared" si="30"/>
        <v>19.048999999999999</v>
      </c>
      <c r="E222">
        <f t="shared" si="30"/>
        <v>2.9118799999999991</v>
      </c>
      <c r="F222">
        <f t="shared" si="30"/>
        <v>0.95611000000000024</v>
      </c>
      <c r="G222">
        <f t="shared" si="30"/>
        <v>0.56538050000000006</v>
      </c>
      <c r="H222">
        <f t="shared" si="30"/>
        <v>0.1006138</v>
      </c>
      <c r="I222">
        <f t="shared" si="30"/>
        <v>7.4917800000000007E-2</v>
      </c>
      <c r="J222">
        <f t="shared" si="29"/>
        <v>6.1312499999999995E-3</v>
      </c>
      <c r="K222">
        <f t="shared" si="29"/>
        <v>3.4546710000000003E-3</v>
      </c>
      <c r="L222">
        <f t="shared" si="29"/>
        <v>1.0667340000000002E-3</v>
      </c>
      <c r="M222">
        <f t="shared" si="29"/>
        <v>9.9586000000000005E-5</v>
      </c>
      <c r="N222">
        <f t="shared" si="29"/>
        <v>4.2059689999999999E-5</v>
      </c>
      <c r="O222">
        <f t="shared" si="29"/>
        <v>1.10804E-5</v>
      </c>
      <c r="P222">
        <f t="shared" si="29"/>
        <v>2.1270610000000003E-6</v>
      </c>
      <c r="R222">
        <f t="shared" si="28"/>
        <v>88.719603784653543</v>
      </c>
    </row>
    <row r="223" spans="2:18" x14ac:dyDescent="0.4">
      <c r="B223">
        <f t="shared" si="30"/>
        <v>61.091000000000037</v>
      </c>
      <c r="C223">
        <f t="shared" si="30"/>
        <v>41.478599999999993</v>
      </c>
      <c r="D223">
        <f t="shared" si="30"/>
        <v>2.5459000000000032</v>
      </c>
      <c r="E223">
        <f t="shared" si="30"/>
        <v>1.2521399999999989</v>
      </c>
      <c r="F223">
        <f t="shared" si="30"/>
        <v>5.2499999999997549E-3</v>
      </c>
      <c r="G223">
        <f t="shared" si="30"/>
        <v>7.1950500000000028E-2</v>
      </c>
      <c r="H223">
        <f t="shared" si="30"/>
        <v>4.2727500000000002E-2</v>
      </c>
      <c r="I223">
        <f t="shared" si="30"/>
        <v>1.5279000000000001E-2</v>
      </c>
      <c r="J223">
        <f t="shared" si="29"/>
        <v>2.9680999999999978E-4</v>
      </c>
      <c r="K223">
        <f t="shared" si="29"/>
        <v>6.9023000000000001E-4</v>
      </c>
      <c r="L223">
        <f t="shared" si="29"/>
        <v>4.6000999999999985E-4</v>
      </c>
      <c r="M223">
        <f t="shared" si="29"/>
        <v>4.3180999999999992E-5</v>
      </c>
      <c r="N223">
        <f t="shared" si="29"/>
        <v>3.745345E-5</v>
      </c>
      <c r="O223">
        <f t="shared" si="29"/>
        <v>4.8689500000000002E-6</v>
      </c>
      <c r="P223">
        <f t="shared" si="29"/>
        <v>1.1948349999999999E-6</v>
      </c>
      <c r="R223">
        <f t="shared" si="28"/>
        <v>115.51718804826754</v>
      </c>
    </row>
    <row r="224" spans="2:18" x14ac:dyDescent="0.4">
      <c r="B224">
        <f t="shared" si="30"/>
        <v>24.760000000000019</v>
      </c>
      <c r="C224">
        <f t="shared" si="30"/>
        <v>18.804399999999987</v>
      </c>
      <c r="D224">
        <f t="shared" si="30"/>
        <v>10.270900000000005</v>
      </c>
      <c r="E224">
        <f t="shared" si="30"/>
        <v>0.13436000000000092</v>
      </c>
      <c r="F224">
        <f t="shared" si="30"/>
        <v>0.24587000000000003</v>
      </c>
      <c r="G224">
        <f t="shared" si="30"/>
        <v>0.26769350000000003</v>
      </c>
      <c r="H224">
        <f t="shared" si="30"/>
        <v>4.7326499999999994E-2</v>
      </c>
      <c r="I224">
        <f t="shared" si="30"/>
        <v>4.0677999999999992E-2</v>
      </c>
      <c r="J224">
        <f t="shared" ref="J224:P227" si="31">ABS(J123-B$20)</f>
        <v>7.1731000000000052E-4</v>
      </c>
      <c r="K224">
        <f t="shared" si="31"/>
        <v>9.0473000000000029E-4</v>
      </c>
      <c r="L224">
        <f t="shared" si="31"/>
        <v>1.2930000000000016E-4</v>
      </c>
      <c r="M224">
        <f t="shared" si="31"/>
        <v>3.8676200000000008E-5</v>
      </c>
      <c r="N224">
        <f t="shared" si="31"/>
        <v>5.8222499999999966E-6</v>
      </c>
      <c r="O224">
        <f t="shared" si="31"/>
        <v>3.2756100000000003E-6</v>
      </c>
      <c r="P224">
        <f t="shared" si="31"/>
        <v>8.5474500000000023E-7</v>
      </c>
      <c r="R224">
        <f t="shared" si="28"/>
        <v>47.281462065307551</v>
      </c>
    </row>
    <row r="225" spans="2:18" x14ac:dyDescent="0.4">
      <c r="B225">
        <f t="shared" ref="B225:I227" si="32">ABS(B124-B$10)</f>
        <v>38.976000000000028</v>
      </c>
      <c r="C225">
        <f t="shared" si="32"/>
        <v>1.3495000000000061</v>
      </c>
      <c r="D225">
        <f t="shared" si="32"/>
        <v>10.551200000000001</v>
      </c>
      <c r="E225">
        <f t="shared" si="32"/>
        <v>4.5692000000000004</v>
      </c>
      <c r="F225">
        <f t="shared" si="32"/>
        <v>0.74290999999999974</v>
      </c>
      <c r="G225">
        <f t="shared" si="32"/>
        <v>0.43095349999999999</v>
      </c>
      <c r="H225">
        <f t="shared" si="32"/>
        <v>5.8694500000000011E-2</v>
      </c>
      <c r="I225">
        <f t="shared" si="32"/>
        <v>6.4706000000000014E-2</v>
      </c>
      <c r="J225">
        <f t="shared" si="31"/>
        <v>2.3764900000000002E-3</v>
      </c>
      <c r="K225">
        <f t="shared" si="31"/>
        <v>3.1429500000000003E-3</v>
      </c>
      <c r="L225">
        <f t="shared" si="31"/>
        <v>6.1183999999999978E-4</v>
      </c>
      <c r="M225">
        <f t="shared" si="31"/>
        <v>1.1260299999999999E-4</v>
      </c>
      <c r="N225">
        <f t="shared" si="31"/>
        <v>1.0305450000000001E-5</v>
      </c>
      <c r="O225">
        <f t="shared" si="31"/>
        <v>4.5098499999999988E-6</v>
      </c>
      <c r="P225">
        <f t="shared" si="31"/>
        <v>2.321549999999999E-7</v>
      </c>
      <c r="R225">
        <f t="shared" si="28"/>
        <v>35.436171246047536</v>
      </c>
    </row>
    <row r="226" spans="2:18" x14ac:dyDescent="0.4">
      <c r="B226">
        <f t="shared" si="32"/>
        <v>89.652999999999963</v>
      </c>
      <c r="C226">
        <f t="shared" si="32"/>
        <v>10.070599999999985</v>
      </c>
      <c r="D226">
        <f t="shared" si="32"/>
        <v>4.3267000000000024</v>
      </c>
      <c r="E226">
        <f t="shared" si="32"/>
        <v>4.5129999999999999</v>
      </c>
      <c r="F226">
        <f t="shared" si="32"/>
        <v>1.4686599999999999</v>
      </c>
      <c r="G226">
        <f t="shared" si="32"/>
        <v>0.85688349999999991</v>
      </c>
      <c r="H226">
        <f t="shared" si="32"/>
        <v>0.12699749999999999</v>
      </c>
      <c r="I226">
        <f t="shared" si="32"/>
        <v>0.210343</v>
      </c>
      <c r="J226">
        <f t="shared" si="31"/>
        <v>1.7734989999999999E-2</v>
      </c>
      <c r="K226">
        <f t="shared" si="31"/>
        <v>1.1847220000000002E-2</v>
      </c>
      <c r="L226">
        <f t="shared" si="31"/>
        <v>3.6618099999999997E-3</v>
      </c>
      <c r="M226">
        <f t="shared" si="31"/>
        <v>3.8212099999999991E-4</v>
      </c>
      <c r="N226">
        <f t="shared" si="31"/>
        <v>1.8935735000000001E-4</v>
      </c>
      <c r="O226">
        <f t="shared" si="31"/>
        <v>6.5664649999999991E-5</v>
      </c>
      <c r="P226">
        <f t="shared" si="31"/>
        <v>1.5065985E-5</v>
      </c>
      <c r="R226">
        <f t="shared" si="28"/>
        <v>76.885286052482229</v>
      </c>
    </row>
    <row r="227" spans="2:18" x14ac:dyDescent="0.4">
      <c r="B227">
        <f t="shared" si="32"/>
        <v>191.00799999999998</v>
      </c>
      <c r="C227">
        <f t="shared" si="32"/>
        <v>5.147500000000008</v>
      </c>
      <c r="D227">
        <f t="shared" si="32"/>
        <v>27.756800000000005</v>
      </c>
      <c r="E227">
        <f t="shared" si="32"/>
        <v>11.0724</v>
      </c>
      <c r="F227">
        <f t="shared" si="32"/>
        <v>4.8087599999999995</v>
      </c>
      <c r="G227">
        <f t="shared" si="32"/>
        <v>4.0852834999999992</v>
      </c>
      <c r="H227">
        <f t="shared" si="32"/>
        <v>1.1458775000000001</v>
      </c>
      <c r="I227">
        <f t="shared" si="32"/>
        <v>2.076619</v>
      </c>
      <c r="J227">
        <f t="shared" si="31"/>
        <v>0.23176128999999998</v>
      </c>
      <c r="K227">
        <f t="shared" si="31"/>
        <v>0.25651341999999999</v>
      </c>
      <c r="L227">
        <f t="shared" si="31"/>
        <v>0.19742280000000001</v>
      </c>
      <c r="M227">
        <f t="shared" si="31"/>
        <v>2.7882296000000001E-2</v>
      </c>
      <c r="N227">
        <f t="shared" si="31"/>
        <v>3.1570299350000004E-2</v>
      </c>
      <c r="O227">
        <f t="shared" si="31"/>
        <v>1.9574647949999999E-2</v>
      </c>
      <c r="P227">
        <f t="shared" si="31"/>
        <v>1.2742832785E-2</v>
      </c>
      <c r="R227">
        <f t="shared" si="28"/>
        <v>233.64511340958256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06337D-CA12-41C5-A4FA-EE494C362EDB}">
  <dimension ref="A1:R1048576"/>
  <sheetViews>
    <sheetView topLeftCell="A4" zoomScale="93" zoomScaleNormal="93" workbookViewId="0">
      <selection activeCell="G10" sqref="G10:G53"/>
    </sheetView>
  </sheetViews>
  <sheetFormatPr defaultRowHeight="14.6" x14ac:dyDescent="0.4"/>
  <cols>
    <col min="1" max="2" width="12.53515625" customWidth="1"/>
    <col min="4" max="4" width="8.69140625" customWidth="1"/>
    <col min="5" max="5" width="9" style="2" customWidth="1"/>
    <col min="6" max="9" width="9.23046875" style="2"/>
    <col min="10" max="10" width="8.765625" style="2" customWidth="1"/>
    <col min="11" max="12" width="11.53515625" style="2" customWidth="1"/>
    <col min="17" max="17" width="12.23046875" customWidth="1"/>
    <col min="18" max="18" width="12.53515625" customWidth="1"/>
  </cols>
  <sheetData>
    <row r="1" spans="1:18" ht="26.15" x14ac:dyDescent="0.7">
      <c r="A1" s="17" t="s">
        <v>32</v>
      </c>
    </row>
    <row r="3" spans="1:18" x14ac:dyDescent="0.4">
      <c r="A3" t="s">
        <v>33</v>
      </c>
    </row>
    <row r="4" spans="1:18" x14ac:dyDescent="0.4">
      <c r="A4" s="18" t="s">
        <v>34</v>
      </c>
      <c r="B4" s="19">
        <v>0.87</v>
      </c>
    </row>
    <row r="5" spans="1:18" x14ac:dyDescent="0.4">
      <c r="A5" s="18" t="s">
        <v>35</v>
      </c>
      <c r="B5" s="2">
        <v>405.779</v>
      </c>
    </row>
    <row r="6" spans="1:18" x14ac:dyDescent="0.4">
      <c r="A6" s="18" t="s">
        <v>36</v>
      </c>
      <c r="B6" s="2">
        <v>19278.8</v>
      </c>
      <c r="I6" s="18" t="s">
        <v>37</v>
      </c>
      <c r="J6" s="16">
        <f>AVERAGE(J10:J53)</f>
        <v>13627.88317076511</v>
      </c>
      <c r="K6" s="7"/>
      <c r="L6" s="7"/>
      <c r="O6" s="18" t="s">
        <v>37</v>
      </c>
      <c r="P6" s="20">
        <f>AVERAGE(P10:P53)</f>
        <v>0.30504976158184793</v>
      </c>
    </row>
    <row r="7" spans="1:18" x14ac:dyDescent="0.4">
      <c r="A7" s="21" t="s">
        <v>38</v>
      </c>
      <c r="B7" s="22" t="s">
        <v>39</v>
      </c>
      <c r="I7" s="18" t="s">
        <v>40</v>
      </c>
      <c r="J7" s="16">
        <f>SQRT(J6)</f>
        <v>116.73852479265408</v>
      </c>
      <c r="K7" s="7"/>
      <c r="L7" s="7"/>
      <c r="O7" s="18" t="s">
        <v>40</v>
      </c>
      <c r="P7" s="20">
        <f>SQRT(P6)</f>
        <v>0.5523131010412915</v>
      </c>
    </row>
    <row r="8" spans="1:18" x14ac:dyDescent="0.4">
      <c r="A8" s="21" t="s">
        <v>41</v>
      </c>
      <c r="B8" s="22" t="s">
        <v>42</v>
      </c>
    </row>
    <row r="9" spans="1:18" s="23" customFormat="1" ht="43.75" x14ac:dyDescent="0.4">
      <c r="A9" s="23" t="s">
        <v>43</v>
      </c>
      <c r="B9" s="23" t="s">
        <v>44</v>
      </c>
      <c r="D9" s="23" t="s">
        <v>45</v>
      </c>
      <c r="E9" s="23" t="s">
        <v>46</v>
      </c>
      <c r="F9" s="23" t="s">
        <v>47</v>
      </c>
      <c r="G9" s="23" t="s">
        <v>48</v>
      </c>
      <c r="H9" s="23" t="s">
        <v>49</v>
      </c>
      <c r="I9" s="23" t="s">
        <v>50</v>
      </c>
      <c r="J9" s="23" t="s">
        <v>51</v>
      </c>
      <c r="K9" s="23" t="s">
        <v>52</v>
      </c>
      <c r="L9" s="23" t="s">
        <v>53</v>
      </c>
      <c r="M9" s="23" t="s">
        <v>54</v>
      </c>
      <c r="N9" s="23" t="s">
        <v>55</v>
      </c>
      <c r="O9" s="23" t="s">
        <v>56</v>
      </c>
      <c r="P9" s="23" t="s">
        <v>57</v>
      </c>
      <c r="Q9" s="23" t="s">
        <v>58</v>
      </c>
      <c r="R9" s="23" t="s">
        <v>59</v>
      </c>
    </row>
    <row r="10" spans="1:18" x14ac:dyDescent="0.4">
      <c r="A10" s="15">
        <v>0</v>
      </c>
      <c r="B10" s="15">
        <f>4*$B$4*$B$5*A10/($B$6*(1-$B$4)+A10*(5*$B$4-1))</f>
        <v>0</v>
      </c>
      <c r="D10" s="2">
        <v>1978</v>
      </c>
      <c r="E10" s="19">
        <v>1977</v>
      </c>
      <c r="F10" s="24">
        <v>5096.18</v>
      </c>
      <c r="G10" s="16">
        <v>414.72728492433691</v>
      </c>
      <c r="H10" s="16">
        <f>4*$B$4*$B$5*F10/($B$6*(1-$B$4)+F10*(5*$B$4-1))</f>
        <v>367.56599889080076</v>
      </c>
      <c r="I10" s="16">
        <f>G10-H10</f>
        <v>47.161286033536157</v>
      </c>
      <c r="J10" s="16">
        <f>I10^2</f>
        <v>2224.1869003370125</v>
      </c>
      <c r="K10" s="25">
        <f>I10/$J$7</f>
        <v>0.40399076583588833</v>
      </c>
      <c r="L10" s="25">
        <f>_xlfn.NORM.S.DIST(K10,TRUE)</f>
        <v>0.65689024520248918</v>
      </c>
      <c r="M10" s="20">
        <f>LN(G10)</f>
        <v>6.0276211594558058</v>
      </c>
      <c r="N10" s="20">
        <f>LN(H10)</f>
        <v>5.9069028913472552</v>
      </c>
      <c r="O10" s="26">
        <f>M10-N10</f>
        <v>0.12071826810855057</v>
      </c>
      <c r="P10" s="20">
        <f>O10^2</f>
        <v>1.4572900255127899E-2</v>
      </c>
      <c r="Q10" s="25">
        <f>O10/$P$7</f>
        <v>0.2185685399838552</v>
      </c>
      <c r="R10" s="25">
        <f>_xlfn.NORM.S.DIST(Q10,TRUE)</f>
        <v>0.58650691914745812</v>
      </c>
    </row>
    <row r="11" spans="1:18" x14ac:dyDescent="0.4">
      <c r="A11" s="15">
        <f>A10+100</f>
        <v>100</v>
      </c>
      <c r="B11" s="27">
        <f>4*$B$4*$B$5*A11/($B$6*(1-$B$4)+A11*(5*$B$4-1))</f>
        <v>49.700445297904722</v>
      </c>
      <c r="D11" s="2">
        <f>D10+1</f>
        <v>1979</v>
      </c>
      <c r="E11" s="19">
        <v>1978</v>
      </c>
      <c r="F11" s="24">
        <v>5118.4799999999996</v>
      </c>
      <c r="G11" s="16">
        <v>537.73214960582266</v>
      </c>
      <c r="H11" s="16">
        <f t="shared" ref="H11:H53" si="0">4*$B$4*$B$5*F11/($B$6*(1-$B$4)+F11*(5*$B$4-1))</f>
        <v>367.7711087667567</v>
      </c>
      <c r="I11" s="16">
        <f t="shared" ref="I11:I53" si="1">G11-H11</f>
        <v>169.96104083906596</v>
      </c>
      <c r="J11" s="16">
        <f t="shared" ref="J11:J53" si="2">I11^2</f>
        <v>28886.755403098647</v>
      </c>
      <c r="K11" s="25">
        <f t="shared" ref="K11:K53" si="3">I11/$J$7</f>
        <v>1.455912186152287</v>
      </c>
      <c r="L11" s="25">
        <f t="shared" ref="L11:L53" si="4">_xlfn.NORM.S.DIST(K11,TRUE)</f>
        <v>0.92729155176318179</v>
      </c>
      <c r="M11" s="20">
        <f t="shared" ref="M11:N52" si="5">LN(G11)</f>
        <v>6.2873605730005551</v>
      </c>
      <c r="N11" s="20">
        <f t="shared" si="5"/>
        <v>5.9074607576078844</v>
      </c>
      <c r="O11" s="26">
        <f t="shared" ref="O11:O53" si="6">M11-N11</f>
        <v>0.3798998153926707</v>
      </c>
      <c r="P11" s="20">
        <f t="shared" ref="P11:P53" si="7">O11^2</f>
        <v>0.14432386973538527</v>
      </c>
      <c r="Q11" s="25">
        <f t="shared" ref="Q11:Q53" si="8">O11/$P$7</f>
        <v>0.68783415543907045</v>
      </c>
      <c r="R11" s="25">
        <f t="shared" ref="R11:R53" si="9">_xlfn.NORM.S.DIST(Q11,TRUE)</f>
        <v>0.75422138764907887</v>
      </c>
    </row>
    <row r="12" spans="1:18" x14ac:dyDescent="0.4">
      <c r="A12" s="15">
        <f t="shared" ref="A12:A75" si="10">A11+100</f>
        <v>200</v>
      </c>
      <c r="B12" s="27">
        <f t="shared" ref="B12:B75" si="11">4*$B$4*$B$5*A12/($B$6*(1-$B$4)+A12*(5*$B$4-1))</f>
        <v>88.917030303717226</v>
      </c>
      <c r="D12" s="2">
        <f t="shared" ref="D12:D53" si="12">D11+1</f>
        <v>1980</v>
      </c>
      <c r="E12" s="19">
        <v>1979</v>
      </c>
      <c r="F12" s="24">
        <v>4020.99</v>
      </c>
      <c r="G12" s="16">
        <v>360.02427373965236</v>
      </c>
      <c r="H12" s="16">
        <f t="shared" si="0"/>
        <v>355.40089421692488</v>
      </c>
      <c r="I12" s="16">
        <f t="shared" si="1"/>
        <v>4.6233795227274754</v>
      </c>
      <c r="J12" s="16">
        <f t="shared" si="2"/>
        <v>21.375638211175737</v>
      </c>
      <c r="K12" s="25">
        <f t="shared" si="3"/>
        <v>3.9604573819476664E-2</v>
      </c>
      <c r="L12" s="25">
        <f t="shared" si="4"/>
        <v>0.51579580953946458</v>
      </c>
      <c r="M12" s="20">
        <f t="shared" si="5"/>
        <v>5.8861714562316436</v>
      </c>
      <c r="N12" s="20">
        <f t="shared" si="5"/>
        <v>5.873246431803274</v>
      </c>
      <c r="O12" s="26">
        <f t="shared" si="6"/>
        <v>1.2925024428369625E-2</v>
      </c>
      <c r="P12" s="20">
        <f t="shared" si="7"/>
        <v>1.6705625647395154E-4</v>
      </c>
      <c r="Q12" s="25">
        <f t="shared" si="8"/>
        <v>2.3401625643139211E-2</v>
      </c>
      <c r="R12" s="25">
        <f t="shared" si="9"/>
        <v>0.50933504585674139</v>
      </c>
    </row>
    <row r="13" spans="1:18" x14ac:dyDescent="0.4">
      <c r="A13" s="15">
        <f t="shared" si="10"/>
        <v>300</v>
      </c>
      <c r="B13" s="27">
        <f t="shared" si="11"/>
        <v>120.65048057041892</v>
      </c>
      <c r="D13" s="2">
        <f t="shared" si="12"/>
        <v>1981</v>
      </c>
      <c r="E13" s="19">
        <v>1980</v>
      </c>
      <c r="F13" s="24">
        <v>4427.3100000000004</v>
      </c>
      <c r="G13" s="16">
        <v>371.93833750776759</v>
      </c>
      <c r="H13" s="16">
        <f t="shared" si="0"/>
        <v>360.59229759284852</v>
      </c>
      <c r="I13" s="16">
        <f t="shared" si="1"/>
        <v>11.346039914919061</v>
      </c>
      <c r="J13" s="16">
        <f t="shared" si="2"/>
        <v>128.73262175093652</v>
      </c>
      <c r="K13" s="25">
        <f t="shared" si="3"/>
        <v>9.7191907599238611E-2</v>
      </c>
      <c r="L13" s="25">
        <f t="shared" si="4"/>
        <v>0.53871300278945577</v>
      </c>
      <c r="M13" s="20">
        <f t="shared" si="5"/>
        <v>5.9187280811458196</v>
      </c>
      <c r="N13" s="20">
        <f t="shared" si="5"/>
        <v>5.8877479505656281</v>
      </c>
      <c r="O13" s="26">
        <f t="shared" si="6"/>
        <v>3.0980130580191556E-2</v>
      </c>
      <c r="P13" s="20">
        <f t="shared" si="7"/>
        <v>9.5976849076572E-4</v>
      </c>
      <c r="Q13" s="25">
        <f t="shared" si="8"/>
        <v>5.609160912856103E-2</v>
      </c>
      <c r="R13" s="25">
        <f t="shared" si="9"/>
        <v>0.52236558581919701</v>
      </c>
    </row>
    <row r="14" spans="1:18" x14ac:dyDescent="0.4">
      <c r="A14" s="15">
        <f t="shared" si="10"/>
        <v>400</v>
      </c>
      <c r="B14" s="27">
        <f t="shared" si="11"/>
        <v>146.85609337317135</v>
      </c>
      <c r="D14" s="2">
        <f t="shared" si="12"/>
        <v>1982</v>
      </c>
      <c r="E14" s="19">
        <v>1981</v>
      </c>
      <c r="F14" s="24">
        <v>3527.37</v>
      </c>
      <c r="G14" s="16">
        <v>310.27025181675361</v>
      </c>
      <c r="H14" s="16">
        <f t="shared" si="0"/>
        <v>347.76658677361036</v>
      </c>
      <c r="I14" s="16">
        <f t="shared" si="1"/>
        <v>-37.496334956856742</v>
      </c>
      <c r="J14" s="16">
        <f t="shared" si="2"/>
        <v>1405.9751351967968</v>
      </c>
      <c r="K14" s="25">
        <f t="shared" si="3"/>
        <v>-0.32119932150467134</v>
      </c>
      <c r="L14" s="25">
        <f t="shared" si="4"/>
        <v>0.37402967314343216</v>
      </c>
      <c r="M14" s="20">
        <f t="shared" si="5"/>
        <v>5.7374436977537115</v>
      </c>
      <c r="N14" s="20">
        <f t="shared" si="5"/>
        <v>5.8515315270740045</v>
      </c>
      <c r="O14" s="26">
        <f t="shared" si="6"/>
        <v>-0.11408782932029293</v>
      </c>
      <c r="P14" s="20">
        <f t="shared" si="7"/>
        <v>1.3016032799016291E-2</v>
      </c>
      <c r="Q14" s="25">
        <f t="shared" si="8"/>
        <v>-0.20656368481066251</v>
      </c>
      <c r="R14" s="25">
        <f t="shared" si="9"/>
        <v>0.41817531193304347</v>
      </c>
    </row>
    <row r="15" spans="1:18" x14ac:dyDescent="0.4">
      <c r="A15" s="15">
        <f t="shared" si="10"/>
        <v>500</v>
      </c>
      <c r="B15" s="27">
        <f t="shared" si="11"/>
        <v>168.86253469063277</v>
      </c>
      <c r="D15" s="2">
        <f t="shared" si="12"/>
        <v>1983</v>
      </c>
      <c r="E15" s="19">
        <v>1982</v>
      </c>
      <c r="F15" s="24">
        <v>2567</v>
      </c>
      <c r="G15" s="16">
        <v>506.99696440483234</v>
      </c>
      <c r="H15" s="16">
        <f t="shared" si="0"/>
        <v>326.39911847382075</v>
      </c>
      <c r="I15" s="16">
        <f t="shared" si="1"/>
        <v>180.59784593101159</v>
      </c>
      <c r="J15" s="16">
        <f t="shared" si="2"/>
        <v>32615.581954921399</v>
      </c>
      <c r="K15" s="25">
        <f t="shared" si="3"/>
        <v>1.5470286801360706</v>
      </c>
      <c r="L15" s="25">
        <f t="shared" si="4"/>
        <v>0.93907183500022429</v>
      </c>
      <c r="M15" s="20">
        <f t="shared" si="5"/>
        <v>6.2285050162060642</v>
      </c>
      <c r="N15" s="20">
        <f t="shared" si="5"/>
        <v>5.7881209223320793</v>
      </c>
      <c r="O15" s="26">
        <f t="shared" si="6"/>
        <v>0.44038409387398492</v>
      </c>
      <c r="P15" s="20">
        <f t="shared" si="7"/>
        <v>0.19393815013721075</v>
      </c>
      <c r="Q15" s="25">
        <f t="shared" si="8"/>
        <v>0.79734500782928441</v>
      </c>
      <c r="R15" s="25">
        <f t="shared" si="9"/>
        <v>0.78737465612614443</v>
      </c>
    </row>
    <row r="16" spans="1:18" x14ac:dyDescent="0.4">
      <c r="A16" s="15">
        <f t="shared" si="10"/>
        <v>600</v>
      </c>
      <c r="B16" s="27">
        <f t="shared" si="11"/>
        <v>187.60424636047125</v>
      </c>
      <c r="D16" s="2">
        <f t="shared" si="12"/>
        <v>1984</v>
      </c>
      <c r="E16" s="19">
        <v>1983</v>
      </c>
      <c r="F16" s="24">
        <v>3284.31</v>
      </c>
      <c r="G16" s="16">
        <v>452.54968535075062</v>
      </c>
      <c r="H16" s="16">
        <f t="shared" si="0"/>
        <v>343.32067658450046</v>
      </c>
      <c r="I16" s="16">
        <f t="shared" si="1"/>
        <v>109.22900876625016</v>
      </c>
      <c r="J16" s="16">
        <f t="shared" si="2"/>
        <v>11930.976356057554</v>
      </c>
      <c r="K16" s="25">
        <f t="shared" si="3"/>
        <v>0.9356723409025256</v>
      </c>
      <c r="L16" s="25">
        <f t="shared" si="4"/>
        <v>0.82527904216384529</v>
      </c>
      <c r="M16" s="20">
        <f t="shared" si="5"/>
        <v>6.1148975589923076</v>
      </c>
      <c r="N16" s="20">
        <f t="shared" si="5"/>
        <v>5.8386649275590772</v>
      </c>
      <c r="O16" s="26">
        <f t="shared" si="6"/>
        <v>0.2762326314332304</v>
      </c>
      <c r="P16" s="20">
        <f t="shared" si="7"/>
        <v>7.6304466668526916E-2</v>
      </c>
      <c r="Q16" s="25">
        <f t="shared" si="8"/>
        <v>0.50013774960695523</v>
      </c>
      <c r="R16" s="25">
        <f t="shared" si="9"/>
        <v>0.6915109564641766</v>
      </c>
    </row>
    <row r="17" spans="1:18" x14ac:dyDescent="0.4">
      <c r="A17" s="15">
        <f t="shared" si="10"/>
        <v>700</v>
      </c>
      <c r="B17" s="27">
        <f t="shared" si="11"/>
        <v>203.75756074112127</v>
      </c>
      <c r="D17" s="2">
        <f t="shared" si="12"/>
        <v>1985</v>
      </c>
      <c r="E17" s="19">
        <v>1984</v>
      </c>
      <c r="F17" s="24">
        <v>4431.92</v>
      </c>
      <c r="G17" s="16">
        <v>377.46444166727207</v>
      </c>
      <c r="H17" s="16">
        <f t="shared" si="0"/>
        <v>360.64652537186277</v>
      </c>
      <c r="I17" s="16">
        <f t="shared" si="1"/>
        <v>16.817916295409304</v>
      </c>
      <c r="J17" s="16">
        <f t="shared" si="2"/>
        <v>282.84230851939384</v>
      </c>
      <c r="K17" s="25">
        <f t="shared" si="3"/>
        <v>0.1440648348544798</v>
      </c>
      <c r="L17" s="25">
        <f t="shared" si="4"/>
        <v>0.55727536364026209</v>
      </c>
      <c r="M17" s="20">
        <f t="shared" si="5"/>
        <v>5.9334763699936399</v>
      </c>
      <c r="N17" s="20">
        <f t="shared" si="5"/>
        <v>5.8878983245537988</v>
      </c>
      <c r="O17" s="26">
        <f t="shared" si="6"/>
        <v>4.5578045439841119E-2</v>
      </c>
      <c r="P17" s="20">
        <f t="shared" si="7"/>
        <v>2.0773582261162217E-3</v>
      </c>
      <c r="Q17" s="25">
        <f t="shared" si="8"/>
        <v>8.2522115361579398E-2</v>
      </c>
      <c r="R17" s="25">
        <f t="shared" si="9"/>
        <v>0.53288423360289006</v>
      </c>
    </row>
    <row r="18" spans="1:18" x14ac:dyDescent="0.4">
      <c r="A18" s="15">
        <f t="shared" si="10"/>
        <v>800</v>
      </c>
      <c r="B18" s="27">
        <f t="shared" si="11"/>
        <v>217.82406226934177</v>
      </c>
      <c r="D18" s="2">
        <f t="shared" si="12"/>
        <v>1986</v>
      </c>
      <c r="E18" s="19">
        <v>1985</v>
      </c>
      <c r="F18" s="24">
        <v>3981.28</v>
      </c>
      <c r="G18" s="16">
        <v>528.15326371088383</v>
      </c>
      <c r="H18" s="16">
        <f t="shared" si="0"/>
        <v>354.84568488753649</v>
      </c>
      <c r="I18" s="16">
        <f t="shared" si="1"/>
        <v>173.30757882334734</v>
      </c>
      <c r="J18" s="16">
        <f t="shared" si="2"/>
        <v>30035.516877610753</v>
      </c>
      <c r="K18" s="25">
        <f t="shared" si="3"/>
        <v>1.4845791407007136</v>
      </c>
      <c r="L18" s="25">
        <f t="shared" si="4"/>
        <v>0.93117232776558923</v>
      </c>
      <c r="M18" s="20">
        <f t="shared" si="5"/>
        <v>6.2693865137651477</v>
      </c>
      <c r="N18" s="20">
        <f t="shared" si="5"/>
        <v>5.8716830045124873</v>
      </c>
      <c r="O18" s="26">
        <f t="shared" si="6"/>
        <v>0.3977035092526604</v>
      </c>
      <c r="P18" s="20">
        <f t="shared" si="7"/>
        <v>0.15816808127188095</v>
      </c>
      <c r="Q18" s="25">
        <f t="shared" si="8"/>
        <v>0.72006894006833944</v>
      </c>
      <c r="R18" s="25">
        <f t="shared" si="9"/>
        <v>0.76425872498094738</v>
      </c>
    </row>
    <row r="19" spans="1:18" x14ac:dyDescent="0.4">
      <c r="A19" s="15">
        <f t="shared" si="10"/>
        <v>900</v>
      </c>
      <c r="B19" s="27">
        <f t="shared" si="11"/>
        <v>230.18360137679119</v>
      </c>
      <c r="D19" s="2">
        <f t="shared" si="12"/>
        <v>1987</v>
      </c>
      <c r="E19" s="19">
        <v>1986</v>
      </c>
      <c r="F19" s="24">
        <v>2949.27</v>
      </c>
      <c r="G19" s="16">
        <v>497.72877396408859</v>
      </c>
      <c r="H19" s="16">
        <f t="shared" si="0"/>
        <v>336.23413589042769</v>
      </c>
      <c r="I19" s="16">
        <f t="shared" si="1"/>
        <v>161.49463807366089</v>
      </c>
      <c r="J19" s="16">
        <f t="shared" si="2"/>
        <v>26080.518126542724</v>
      </c>
      <c r="K19" s="25">
        <f t="shared" si="3"/>
        <v>1.3833876893724733</v>
      </c>
      <c r="L19" s="25">
        <f t="shared" si="4"/>
        <v>0.91672698838648559</v>
      </c>
      <c r="M19" s="20">
        <f t="shared" si="5"/>
        <v>6.2100552980653392</v>
      </c>
      <c r="N19" s="20">
        <f t="shared" si="5"/>
        <v>5.8178077502950387</v>
      </c>
      <c r="O19" s="26">
        <f t="shared" si="6"/>
        <v>0.39224754777030046</v>
      </c>
      <c r="P19" s="20">
        <f t="shared" si="7"/>
        <v>0.15385813873181414</v>
      </c>
      <c r="Q19" s="25">
        <f t="shared" si="8"/>
        <v>0.71019055501451089</v>
      </c>
      <c r="R19" s="25">
        <f t="shared" si="9"/>
        <v>0.76120701145508551</v>
      </c>
    </row>
    <row r="20" spans="1:18" x14ac:dyDescent="0.4">
      <c r="A20" s="15">
        <f t="shared" si="10"/>
        <v>1000</v>
      </c>
      <c r="B20" s="27">
        <f t="shared" si="11"/>
        <v>241.12911278969938</v>
      </c>
      <c r="D20" s="2">
        <f t="shared" si="12"/>
        <v>1988</v>
      </c>
      <c r="E20" s="19">
        <v>1987</v>
      </c>
      <c r="F20" s="24">
        <v>3351.7</v>
      </c>
      <c r="G20" s="16">
        <v>543.12924263078435</v>
      </c>
      <c r="H20" s="16">
        <f t="shared" si="0"/>
        <v>344.60615177394578</v>
      </c>
      <c r="I20" s="16">
        <f t="shared" si="1"/>
        <v>198.52309085683856</v>
      </c>
      <c r="J20" s="16">
        <f t="shared" si="2"/>
        <v>39411.41760335258</v>
      </c>
      <c r="K20" s="25">
        <f t="shared" si="3"/>
        <v>1.7005790608494213</v>
      </c>
      <c r="L20" s="25">
        <f t="shared" si="4"/>
        <v>0.95548897058046844</v>
      </c>
      <c r="M20" s="20">
        <f t="shared" si="5"/>
        <v>6.2973473075072768</v>
      </c>
      <c r="N20" s="20">
        <f t="shared" si="5"/>
        <v>5.8424021758612001</v>
      </c>
      <c r="O20" s="26">
        <f t="shared" si="6"/>
        <v>0.45494513164607664</v>
      </c>
      <c r="P20" s="20">
        <f t="shared" si="7"/>
        <v>0.206975072808466</v>
      </c>
      <c r="Q20" s="25">
        <f t="shared" si="8"/>
        <v>0.82370874561612917</v>
      </c>
      <c r="R20" s="25">
        <f t="shared" si="9"/>
        <v>0.7949474655168165</v>
      </c>
    </row>
    <row r="21" spans="1:18" x14ac:dyDescent="0.4">
      <c r="A21" s="15">
        <f t="shared" si="10"/>
        <v>1100</v>
      </c>
      <c r="B21" s="27">
        <f t="shared" si="11"/>
        <v>250.89012999649185</v>
      </c>
      <c r="D21" s="2">
        <f t="shared" si="12"/>
        <v>1989</v>
      </c>
      <c r="E21" s="19">
        <v>1988</v>
      </c>
      <c r="F21" s="24">
        <v>2900.26</v>
      </c>
      <c r="G21" s="16">
        <v>357.48451016199363</v>
      </c>
      <c r="H21" s="16">
        <f t="shared" si="0"/>
        <v>335.08838828952275</v>
      </c>
      <c r="I21" s="16">
        <f t="shared" si="1"/>
        <v>22.396121872470871</v>
      </c>
      <c r="J21" s="16">
        <f t="shared" si="2"/>
        <v>501.58627492656819</v>
      </c>
      <c r="K21" s="25">
        <f t="shared" si="3"/>
        <v>0.19184859421728942</v>
      </c>
      <c r="L21" s="25">
        <f t="shared" si="4"/>
        <v>0.57606959739261876</v>
      </c>
      <c r="M21" s="20">
        <f t="shared" si="5"/>
        <v>5.8790920329771685</v>
      </c>
      <c r="N21" s="20">
        <f t="shared" si="5"/>
        <v>5.8143943426642934</v>
      </c>
      <c r="O21" s="26">
        <f t="shared" si="6"/>
        <v>6.4697690312875089E-2</v>
      </c>
      <c r="P21" s="20">
        <f t="shared" si="7"/>
        <v>4.185791131820691E-3</v>
      </c>
      <c r="Q21" s="25">
        <f t="shared" si="8"/>
        <v>0.11713951776790865</v>
      </c>
      <c r="R21" s="25">
        <f t="shared" si="9"/>
        <v>0.54662525268326578</v>
      </c>
    </row>
    <row r="22" spans="1:18" x14ac:dyDescent="0.4">
      <c r="A22" s="15">
        <f t="shared" si="10"/>
        <v>1200</v>
      </c>
      <c r="B22" s="27">
        <f t="shared" si="11"/>
        <v>259.64905755898803</v>
      </c>
      <c r="D22" s="2">
        <f t="shared" si="12"/>
        <v>1990</v>
      </c>
      <c r="E22" s="19">
        <v>1989</v>
      </c>
      <c r="F22" s="24">
        <v>2947.73</v>
      </c>
      <c r="G22" s="16">
        <v>402.29106958209519</v>
      </c>
      <c r="H22" s="16">
        <f t="shared" si="0"/>
        <v>336.19859643868807</v>
      </c>
      <c r="I22" s="16">
        <f t="shared" si="1"/>
        <v>66.092473143407119</v>
      </c>
      <c r="J22" s="16">
        <f t="shared" si="2"/>
        <v>4368.2150062119917</v>
      </c>
      <c r="K22" s="25">
        <f t="shared" si="3"/>
        <v>0.56615820065225009</v>
      </c>
      <c r="L22" s="25">
        <f t="shared" si="4"/>
        <v>0.71435687905221279</v>
      </c>
      <c r="M22" s="20">
        <f t="shared" si="5"/>
        <v>5.9971758803054147</v>
      </c>
      <c r="N22" s="20">
        <f t="shared" si="5"/>
        <v>5.81770204618498</v>
      </c>
      <c r="O22" s="26">
        <f t="shared" si="6"/>
        <v>0.17947383412043472</v>
      </c>
      <c r="P22" s="20">
        <f t="shared" si="7"/>
        <v>3.2210857133889319E-2</v>
      </c>
      <c r="Q22" s="25">
        <f t="shared" si="8"/>
        <v>0.32494944223134964</v>
      </c>
      <c r="R22" s="25">
        <f t="shared" si="9"/>
        <v>0.62739033193379368</v>
      </c>
    </row>
    <row r="23" spans="1:18" x14ac:dyDescent="0.4">
      <c r="A23" s="15">
        <f t="shared" si="10"/>
        <v>1300</v>
      </c>
      <c r="B23" s="27">
        <f t="shared" si="11"/>
        <v>267.55267645342451</v>
      </c>
      <c r="D23" s="2">
        <f t="shared" si="12"/>
        <v>1991</v>
      </c>
      <c r="E23" s="19">
        <v>1990</v>
      </c>
      <c r="F23" s="24">
        <v>2980.96</v>
      </c>
      <c r="G23" s="16">
        <v>515.9628565658187</v>
      </c>
      <c r="H23" s="16">
        <f t="shared" si="0"/>
        <v>336.95894708353683</v>
      </c>
      <c r="I23" s="16">
        <f t="shared" si="1"/>
        <v>179.00390948228187</v>
      </c>
      <c r="J23" s="16">
        <f t="shared" si="2"/>
        <v>32042.39960994096</v>
      </c>
      <c r="K23" s="25">
        <f t="shared" si="3"/>
        <v>1.5333747775228519</v>
      </c>
      <c r="L23" s="25">
        <f t="shared" si="4"/>
        <v>0.93740823017452768</v>
      </c>
      <c r="M23" s="20">
        <f t="shared" si="5"/>
        <v>6.2460347794910573</v>
      </c>
      <c r="N23" s="20">
        <f t="shared" si="5"/>
        <v>5.8199611041886419</v>
      </c>
      <c r="O23" s="26">
        <f t="shared" si="6"/>
        <v>0.42607367530241547</v>
      </c>
      <c r="P23" s="20">
        <f t="shared" si="7"/>
        <v>0.18153877678570815</v>
      </c>
      <c r="Q23" s="25">
        <f t="shared" si="8"/>
        <v>0.77143503295345828</v>
      </c>
      <c r="R23" s="25">
        <f t="shared" si="9"/>
        <v>0.77977544169361301</v>
      </c>
    </row>
    <row r="24" spans="1:18" x14ac:dyDescent="0.4">
      <c r="A24" s="15">
        <f t="shared" si="10"/>
        <v>1400</v>
      </c>
      <c r="B24" s="27">
        <f t="shared" si="11"/>
        <v>274.72043582735665</v>
      </c>
      <c r="D24" s="2">
        <f t="shared" si="12"/>
        <v>1992</v>
      </c>
      <c r="E24" s="19">
        <v>1991</v>
      </c>
      <c r="F24" s="24">
        <v>3185.98</v>
      </c>
      <c r="G24" s="16">
        <v>273.60360794476588</v>
      </c>
      <c r="H24" s="16">
        <f t="shared" si="0"/>
        <v>341.36600580605449</v>
      </c>
      <c r="I24" s="16">
        <f t="shared" si="1"/>
        <v>-67.762397861288605</v>
      </c>
      <c r="J24" s="16">
        <f t="shared" si="2"/>
        <v>4591.7425639115709</v>
      </c>
      <c r="K24" s="25">
        <f t="shared" si="3"/>
        <v>-0.58046303036332902</v>
      </c>
      <c r="L24" s="25">
        <f t="shared" si="4"/>
        <v>0.2808012053145883</v>
      </c>
      <c r="M24" s="20">
        <f t="shared" si="5"/>
        <v>5.6116803725940727</v>
      </c>
      <c r="N24" s="20">
        <f t="shared" si="5"/>
        <v>5.8329552324853893</v>
      </c>
      <c r="O24" s="26">
        <f t="shared" si="6"/>
        <v>-0.22127485989131657</v>
      </c>
      <c r="P24" s="20">
        <f t="shared" si="7"/>
        <v>4.8962563619921774E-2</v>
      </c>
      <c r="Q24" s="25">
        <f t="shared" si="8"/>
        <v>-0.40063300956312792</v>
      </c>
      <c r="R24" s="25">
        <f t="shared" si="9"/>
        <v>0.34434516939537463</v>
      </c>
    </row>
    <row r="25" spans="1:18" x14ac:dyDescent="0.4">
      <c r="A25" s="15">
        <f t="shared" si="10"/>
        <v>1500</v>
      </c>
      <c r="B25" s="27">
        <f t="shared" si="11"/>
        <v>281.25053178465606</v>
      </c>
      <c r="D25" s="2">
        <f t="shared" si="12"/>
        <v>1993</v>
      </c>
      <c r="E25" s="19">
        <v>1992</v>
      </c>
      <c r="F25" s="24">
        <v>3735.32</v>
      </c>
      <c r="G25" s="16">
        <v>455.84443124830847</v>
      </c>
      <c r="H25" s="16">
        <f t="shared" si="0"/>
        <v>351.1876549358617</v>
      </c>
      <c r="I25" s="16">
        <f t="shared" si="1"/>
        <v>104.65677631244677</v>
      </c>
      <c r="J25" s="16">
        <f t="shared" si="2"/>
        <v>10953.040828113519</v>
      </c>
      <c r="K25" s="25">
        <f t="shared" si="3"/>
        <v>0.89650590067275227</v>
      </c>
      <c r="L25" s="25">
        <f t="shared" si="4"/>
        <v>0.8150086848699285</v>
      </c>
      <c r="M25" s="20">
        <f t="shared" si="5"/>
        <v>6.1221515917630471</v>
      </c>
      <c r="N25" s="20">
        <f t="shared" si="5"/>
        <v>5.8613207100493598</v>
      </c>
      <c r="O25" s="26">
        <f t="shared" si="6"/>
        <v>0.26083088171368729</v>
      </c>
      <c r="P25" s="20">
        <f t="shared" si="7"/>
        <v>6.8032748855539532E-2</v>
      </c>
      <c r="Q25" s="25">
        <f t="shared" si="8"/>
        <v>0.47225184632038503</v>
      </c>
      <c r="R25" s="25">
        <f t="shared" si="9"/>
        <v>0.68162648153817162</v>
      </c>
    </row>
    <row r="26" spans="1:18" x14ac:dyDescent="0.4">
      <c r="A26" s="15">
        <f t="shared" si="10"/>
        <v>1600</v>
      </c>
      <c r="B26" s="27">
        <f t="shared" si="11"/>
        <v>287.22443290597147</v>
      </c>
      <c r="D26" s="2">
        <f t="shared" si="12"/>
        <v>1994</v>
      </c>
      <c r="E26" s="19">
        <v>1993</v>
      </c>
      <c r="F26" s="24">
        <v>3024.91</v>
      </c>
      <c r="G26" s="16">
        <v>130.59896389114886</v>
      </c>
      <c r="H26" s="16">
        <f t="shared" si="0"/>
        <v>337.94401588624089</v>
      </c>
      <c r="I26" s="16">
        <f t="shared" si="1"/>
        <v>-207.34505199509204</v>
      </c>
      <c r="J26" s="16">
        <f t="shared" si="2"/>
        <v>42991.970586847419</v>
      </c>
      <c r="K26" s="25">
        <f t="shared" si="3"/>
        <v>-1.7761493248554354</v>
      </c>
      <c r="L26" s="25">
        <f t="shared" si="4"/>
        <v>3.7854154073077767E-2</v>
      </c>
      <c r="M26" s="20">
        <f t="shared" si="5"/>
        <v>4.8721312833587076</v>
      </c>
      <c r="N26" s="20">
        <f t="shared" si="5"/>
        <v>5.8228802482916198</v>
      </c>
      <c r="O26" s="26">
        <f t="shared" si="6"/>
        <v>-0.95074896493291217</v>
      </c>
      <c r="P26" s="20">
        <f t="shared" si="7"/>
        <v>0.90392359432100389</v>
      </c>
      <c r="Q26" s="25">
        <f t="shared" si="8"/>
        <v>-1.7213949173764633</v>
      </c>
      <c r="R26" s="25">
        <f t="shared" si="9"/>
        <v>4.2589592973234218E-2</v>
      </c>
    </row>
    <row r="27" spans="1:18" x14ac:dyDescent="0.4">
      <c r="A27" s="15">
        <f t="shared" si="10"/>
        <v>1700</v>
      </c>
      <c r="B27" s="27">
        <f t="shared" si="11"/>
        <v>292.71029663304745</v>
      </c>
      <c r="D27" s="2">
        <f t="shared" si="12"/>
        <v>1995</v>
      </c>
      <c r="E27" s="19">
        <v>1994</v>
      </c>
      <c r="F27" s="24">
        <v>2668.82</v>
      </c>
      <c r="G27" s="16">
        <v>364.94501796014771</v>
      </c>
      <c r="H27" s="16">
        <f t="shared" si="0"/>
        <v>329.23374468131726</v>
      </c>
      <c r="I27" s="16">
        <f t="shared" si="1"/>
        <v>35.711273278830447</v>
      </c>
      <c r="J27" s="16">
        <f t="shared" si="2"/>
        <v>1275.2950391953095</v>
      </c>
      <c r="K27" s="25">
        <f t="shared" si="3"/>
        <v>0.30590821104052213</v>
      </c>
      <c r="L27" s="25">
        <f t="shared" si="4"/>
        <v>0.62016273301511193</v>
      </c>
      <c r="M27" s="20">
        <f t="shared" si="5"/>
        <v>5.8997467065101681</v>
      </c>
      <c r="N27" s="20">
        <f t="shared" si="5"/>
        <v>5.7967679686569076</v>
      </c>
      <c r="O27" s="26">
        <f t="shared" si="6"/>
        <v>0.1029787378532605</v>
      </c>
      <c r="P27" s="20">
        <f t="shared" si="7"/>
        <v>1.0604620449850548E-2</v>
      </c>
      <c r="Q27" s="25">
        <f t="shared" si="8"/>
        <v>0.18644992787444617</v>
      </c>
      <c r="R27" s="25">
        <f t="shared" si="9"/>
        <v>0.5739540289916677</v>
      </c>
    </row>
    <row r="28" spans="1:18" x14ac:dyDescent="0.4">
      <c r="A28" s="15">
        <f t="shared" si="10"/>
        <v>1800</v>
      </c>
      <c r="B28" s="27">
        <f t="shared" si="11"/>
        <v>297.76558120878462</v>
      </c>
      <c r="D28" s="2">
        <f t="shared" si="12"/>
        <v>1996</v>
      </c>
      <c r="E28" s="19">
        <v>1995</v>
      </c>
      <c r="F28" s="24">
        <v>1794.57</v>
      </c>
      <c r="G28" s="16">
        <v>246.60821888653174</v>
      </c>
      <c r="H28" s="16">
        <f t="shared" si="0"/>
        <v>297.50128872804095</v>
      </c>
      <c r="I28" s="16">
        <f t="shared" si="1"/>
        <v>-50.893069841509202</v>
      </c>
      <c r="J28" s="16">
        <f t="shared" si="2"/>
        <v>2590.1045578927337</v>
      </c>
      <c r="K28" s="25">
        <f t="shared" si="3"/>
        <v>-0.43595779484024894</v>
      </c>
      <c r="L28" s="25">
        <f t="shared" si="4"/>
        <v>0.33143367568772852</v>
      </c>
      <c r="M28" s="20">
        <f t="shared" si="5"/>
        <v>5.5078009189929036</v>
      </c>
      <c r="N28" s="20">
        <f t="shared" si="5"/>
        <v>5.6954185568352633</v>
      </c>
      <c r="O28" s="26">
        <f t="shared" si="6"/>
        <v>-0.18761763784235974</v>
      </c>
      <c r="P28" s="20">
        <f t="shared" si="7"/>
        <v>3.5200378029546855E-2</v>
      </c>
      <c r="Q28" s="25">
        <f t="shared" si="8"/>
        <v>-0.33969434635651208</v>
      </c>
      <c r="R28" s="25">
        <f t="shared" si="9"/>
        <v>0.36704335989801273</v>
      </c>
    </row>
    <row r="29" spans="1:18" x14ac:dyDescent="0.4">
      <c r="A29" s="15">
        <f t="shared" si="10"/>
        <v>1900</v>
      </c>
      <c r="B29" s="27">
        <f t="shared" si="11"/>
        <v>302.43906581760126</v>
      </c>
      <c r="D29" s="2">
        <f t="shared" si="12"/>
        <v>1997</v>
      </c>
      <c r="E29" s="19">
        <v>1996</v>
      </c>
      <c r="F29" s="24">
        <v>1262.5</v>
      </c>
      <c r="G29" s="16">
        <v>219.37541880555887</v>
      </c>
      <c r="H29" s="16">
        <f t="shared" si="0"/>
        <v>264.68095011015322</v>
      </c>
      <c r="I29" s="16">
        <f t="shared" si="1"/>
        <v>-45.305531304594354</v>
      </c>
      <c r="J29" s="16">
        <f t="shared" si="2"/>
        <v>2052.5911667915789</v>
      </c>
      <c r="K29" s="25">
        <f t="shared" si="3"/>
        <v>-0.38809408792053934</v>
      </c>
      <c r="L29" s="25">
        <f t="shared" si="4"/>
        <v>0.34897320345336647</v>
      </c>
      <c r="M29" s="20">
        <f t="shared" si="5"/>
        <v>5.3907845033034762</v>
      </c>
      <c r="N29" s="20">
        <f t="shared" si="5"/>
        <v>5.5785251387934274</v>
      </c>
      <c r="O29" s="26">
        <f t="shared" si="6"/>
        <v>-0.18774063548995112</v>
      </c>
      <c r="P29" s="20">
        <f t="shared" si="7"/>
        <v>3.5246546214170699E-2</v>
      </c>
      <c r="Q29" s="25">
        <f t="shared" si="8"/>
        <v>-0.33991704186628635</v>
      </c>
      <c r="R29" s="25">
        <f t="shared" si="9"/>
        <v>0.36695950122468896</v>
      </c>
    </row>
    <row r="30" spans="1:18" x14ac:dyDescent="0.4">
      <c r="A30" s="15">
        <f t="shared" si="10"/>
        <v>2000</v>
      </c>
      <c r="B30" s="27">
        <f t="shared" si="11"/>
        <v>306.772429668386</v>
      </c>
      <c r="D30" s="2">
        <f t="shared" si="12"/>
        <v>1998</v>
      </c>
      <c r="E30" s="19">
        <v>1997</v>
      </c>
      <c r="F30" s="24">
        <v>1247.28</v>
      </c>
      <c r="G30" s="16">
        <v>313.39247394859137</v>
      </c>
      <c r="H30" s="16">
        <f t="shared" si="0"/>
        <v>263.48461789633296</v>
      </c>
      <c r="I30" s="16">
        <f t="shared" si="1"/>
        <v>49.90785605225841</v>
      </c>
      <c r="J30" s="16">
        <f t="shared" si="2"/>
        <v>2490.7940957329465</v>
      </c>
      <c r="K30" s="25">
        <f t="shared" si="3"/>
        <v>0.42751830332705154</v>
      </c>
      <c r="L30" s="25">
        <f t="shared" si="4"/>
        <v>0.66549907171859868</v>
      </c>
      <c r="M30" s="20">
        <f t="shared" si="5"/>
        <v>5.7474563154299734</v>
      </c>
      <c r="N30" s="20">
        <f t="shared" si="5"/>
        <v>5.5739949901724675</v>
      </c>
      <c r="O30" s="26">
        <f t="shared" si="6"/>
        <v>0.17346132525750591</v>
      </c>
      <c r="P30" s="20">
        <f t="shared" si="7"/>
        <v>3.0088831360090256E-2</v>
      </c>
      <c r="Q30" s="25">
        <f t="shared" si="8"/>
        <v>0.31406339072977696</v>
      </c>
      <c r="R30" s="25">
        <f t="shared" si="9"/>
        <v>0.62326355314228177</v>
      </c>
    </row>
    <row r="31" spans="1:18" x14ac:dyDescent="0.4">
      <c r="A31" s="15">
        <f t="shared" si="10"/>
        <v>2100</v>
      </c>
      <c r="B31" s="27">
        <f t="shared" si="11"/>
        <v>310.80149842096068</v>
      </c>
      <c r="D31" s="2">
        <f t="shared" si="12"/>
        <v>1999</v>
      </c>
      <c r="E31" s="19">
        <v>1998</v>
      </c>
      <c r="F31" s="24">
        <v>1083.8900000000001</v>
      </c>
      <c r="G31" s="16">
        <v>216.07227573356329</v>
      </c>
      <c r="H31" s="16">
        <f t="shared" si="0"/>
        <v>249.38963634251064</v>
      </c>
      <c r="I31" s="16">
        <f t="shared" si="1"/>
        <v>-33.317360608947354</v>
      </c>
      <c r="J31" s="16">
        <f t="shared" si="2"/>
        <v>1110.0465179466369</v>
      </c>
      <c r="K31" s="25">
        <f t="shared" si="3"/>
        <v>-0.28540159016163869</v>
      </c>
      <c r="L31" s="25">
        <f t="shared" si="4"/>
        <v>0.38766824470245342</v>
      </c>
      <c r="M31" s="20">
        <f t="shared" si="5"/>
        <v>5.3756129615923722</v>
      </c>
      <c r="N31" s="20">
        <f t="shared" si="5"/>
        <v>5.5190164780221069</v>
      </c>
      <c r="O31" s="26">
        <f t="shared" si="6"/>
        <v>-0.1434035164297347</v>
      </c>
      <c r="P31" s="20">
        <f t="shared" si="7"/>
        <v>2.0564568524413192E-2</v>
      </c>
      <c r="Q31" s="25">
        <f t="shared" si="8"/>
        <v>-0.25964170713925128</v>
      </c>
      <c r="R31" s="25">
        <f t="shared" si="9"/>
        <v>0.39757008082968531</v>
      </c>
    </row>
    <row r="32" spans="1:18" x14ac:dyDescent="0.4">
      <c r="A32" s="15">
        <f t="shared" si="10"/>
        <v>2200</v>
      </c>
      <c r="B32" s="27">
        <f t="shared" si="11"/>
        <v>314.55723694149322</v>
      </c>
      <c r="D32" s="2">
        <f t="shared" si="12"/>
        <v>2000</v>
      </c>
      <c r="E32" s="19">
        <v>1999</v>
      </c>
      <c r="F32" s="24">
        <v>1112.08</v>
      </c>
      <c r="G32" s="16">
        <v>167.22438527044238</v>
      </c>
      <c r="H32" s="16">
        <f t="shared" si="0"/>
        <v>251.99821684853217</v>
      </c>
      <c r="I32" s="16">
        <f t="shared" si="1"/>
        <v>-84.773831578089784</v>
      </c>
      <c r="J32" s="16">
        <f t="shared" si="2"/>
        <v>7186.6025204303323</v>
      </c>
      <c r="K32" s="25">
        <f t="shared" si="3"/>
        <v>-0.72618556495091402</v>
      </c>
      <c r="L32" s="25">
        <f t="shared" si="4"/>
        <v>0.23386250998157038</v>
      </c>
      <c r="M32" s="20">
        <f t="shared" si="5"/>
        <v>5.1193365349351785</v>
      </c>
      <c r="N32" s="20">
        <f t="shared" si="5"/>
        <v>5.5294220114885002</v>
      </c>
      <c r="O32" s="26">
        <f t="shared" si="6"/>
        <v>-0.41008547655332173</v>
      </c>
      <c r="P32" s="20">
        <f t="shared" si="7"/>
        <v>0.168170098079965</v>
      </c>
      <c r="Q32" s="25">
        <f t="shared" si="8"/>
        <v>-0.74248732427345288</v>
      </c>
      <c r="R32" s="25">
        <f t="shared" si="9"/>
        <v>0.22889606447738892</v>
      </c>
    </row>
    <row r="33" spans="1:18" x14ac:dyDescent="0.4">
      <c r="A33" s="15">
        <f t="shared" si="10"/>
        <v>2300</v>
      </c>
      <c r="B33" s="27">
        <f t="shared" si="11"/>
        <v>318.06654664211339</v>
      </c>
      <c r="D33" s="2">
        <f t="shared" si="12"/>
        <v>2001</v>
      </c>
      <c r="E33" s="19">
        <v>2000</v>
      </c>
      <c r="F33" s="24">
        <v>1196.6400000000001</v>
      </c>
      <c r="G33" s="16">
        <v>303.95481326010486</v>
      </c>
      <c r="H33" s="16">
        <f t="shared" si="0"/>
        <v>259.36938200174745</v>
      </c>
      <c r="I33" s="16">
        <f t="shared" si="1"/>
        <v>44.585431258357403</v>
      </c>
      <c r="J33" s="16">
        <f t="shared" si="2"/>
        <v>1987.8606804937133</v>
      </c>
      <c r="K33" s="25">
        <f t="shared" si="3"/>
        <v>0.38192560114622076</v>
      </c>
      <c r="L33" s="25">
        <f t="shared" si="4"/>
        <v>0.64874172490093229</v>
      </c>
      <c r="M33" s="20">
        <f t="shared" si="5"/>
        <v>5.7168790497663542</v>
      </c>
      <c r="N33" s="20">
        <f t="shared" si="5"/>
        <v>5.5582532309980879</v>
      </c>
      <c r="O33" s="26">
        <f t="shared" si="6"/>
        <v>0.15862581876826631</v>
      </c>
      <c r="P33" s="20">
        <f t="shared" si="7"/>
        <v>2.5162150379902871E-2</v>
      </c>
      <c r="Q33" s="25">
        <f t="shared" si="8"/>
        <v>0.28720270887872218</v>
      </c>
      <c r="R33" s="25">
        <f t="shared" si="9"/>
        <v>0.61302144386391744</v>
      </c>
    </row>
    <row r="34" spans="1:18" x14ac:dyDescent="0.4">
      <c r="A34" s="15">
        <f t="shared" si="10"/>
        <v>2400</v>
      </c>
      <c r="B34" s="27">
        <f t="shared" si="11"/>
        <v>321.35291085622526</v>
      </c>
      <c r="D34" s="2">
        <f t="shared" si="12"/>
        <v>2002</v>
      </c>
      <c r="E34" s="19">
        <v>2001</v>
      </c>
      <c r="F34" s="24">
        <v>1202.6600000000001</v>
      </c>
      <c r="G34" s="16">
        <v>183.0110732133285</v>
      </c>
      <c r="H34" s="16">
        <f t="shared" si="0"/>
        <v>259.86978412098875</v>
      </c>
      <c r="I34" s="16">
        <f t="shared" si="1"/>
        <v>-76.858710907660253</v>
      </c>
      <c r="J34" s="16">
        <f t="shared" si="2"/>
        <v>5907.2614423872928</v>
      </c>
      <c r="K34" s="25">
        <f t="shared" si="3"/>
        <v>-0.65838343463885096</v>
      </c>
      <c r="L34" s="25">
        <f t="shared" si="4"/>
        <v>0.2551458885621718</v>
      </c>
      <c r="M34" s="20">
        <f t="shared" si="5"/>
        <v>5.2095466603732543</v>
      </c>
      <c r="N34" s="20">
        <f t="shared" si="5"/>
        <v>5.5601806752542515</v>
      </c>
      <c r="O34" s="26">
        <f t="shared" si="6"/>
        <v>-0.35063401488099721</v>
      </c>
      <c r="P34" s="20">
        <f t="shared" si="7"/>
        <v>0.12294421239156737</v>
      </c>
      <c r="Q34" s="25">
        <f t="shared" si="8"/>
        <v>-0.63484645614948654</v>
      </c>
      <c r="R34" s="25">
        <f t="shared" si="9"/>
        <v>0.2627642805977497</v>
      </c>
    </row>
    <row r="35" spans="1:18" x14ac:dyDescent="0.4">
      <c r="A35" s="15">
        <f t="shared" si="10"/>
        <v>2500</v>
      </c>
      <c r="B35" s="27">
        <f t="shared" si="11"/>
        <v>324.43692099910635</v>
      </c>
      <c r="D35" s="2">
        <f t="shared" si="12"/>
        <v>2003</v>
      </c>
      <c r="E35" s="19">
        <v>2002</v>
      </c>
      <c r="F35" s="24">
        <v>1494.86</v>
      </c>
      <c r="G35" s="16">
        <v>325.73937388999559</v>
      </c>
      <c r="H35" s="16">
        <f t="shared" si="0"/>
        <v>280.92907993667842</v>
      </c>
      <c r="I35" s="16">
        <f t="shared" si="1"/>
        <v>44.810293953317171</v>
      </c>
      <c r="J35" s="16">
        <f t="shared" si="2"/>
        <v>2007.9624441826934</v>
      </c>
      <c r="K35" s="25">
        <f t="shared" si="3"/>
        <v>0.38385180927125195</v>
      </c>
      <c r="L35" s="25">
        <f t="shared" si="4"/>
        <v>0.64945585710278753</v>
      </c>
      <c r="M35" s="20">
        <f t="shared" si="5"/>
        <v>5.7860975950277558</v>
      </c>
      <c r="N35" s="20">
        <f t="shared" si="5"/>
        <v>5.6381022529124207</v>
      </c>
      <c r="O35" s="26">
        <f t="shared" si="6"/>
        <v>0.14799534211533505</v>
      </c>
      <c r="P35" s="20">
        <f t="shared" si="7"/>
        <v>2.1902621287835065E-2</v>
      </c>
      <c r="Q35" s="25">
        <f t="shared" si="8"/>
        <v>0.26795551623945774</v>
      </c>
      <c r="R35" s="25">
        <f t="shared" si="9"/>
        <v>0.60563322008121534</v>
      </c>
    </row>
    <row r="36" spans="1:18" x14ac:dyDescent="0.4">
      <c r="A36" s="15">
        <f t="shared" si="10"/>
        <v>2600</v>
      </c>
      <c r="B36" s="27">
        <f t="shared" si="11"/>
        <v>327.33670843822586</v>
      </c>
      <c r="D36" s="2">
        <f t="shared" si="12"/>
        <v>2004</v>
      </c>
      <c r="E36" s="19">
        <v>2003</v>
      </c>
      <c r="F36" s="24">
        <v>1515.92</v>
      </c>
      <c r="G36" s="16">
        <v>258.26273362657247</v>
      </c>
      <c r="H36" s="16">
        <f t="shared" si="0"/>
        <v>282.23689575348715</v>
      </c>
      <c r="I36" s="16">
        <f t="shared" si="1"/>
        <v>-23.974162126914678</v>
      </c>
      <c r="J36" s="16">
        <f t="shared" si="2"/>
        <v>574.76044968759015</v>
      </c>
      <c r="K36" s="25">
        <f t="shared" si="3"/>
        <v>-0.20536632760690224</v>
      </c>
      <c r="L36" s="25">
        <f t="shared" si="4"/>
        <v>0.41864296312167204</v>
      </c>
      <c r="M36" s="20">
        <f t="shared" si="5"/>
        <v>5.5539774141474805</v>
      </c>
      <c r="N36" s="20">
        <f t="shared" si="5"/>
        <v>5.6427467741520996</v>
      </c>
      <c r="O36" s="26">
        <f t="shared" si="6"/>
        <v>-8.8769360004619102E-2</v>
      </c>
      <c r="P36" s="20">
        <f t="shared" si="7"/>
        <v>7.8799992756296688E-3</v>
      </c>
      <c r="Q36" s="25">
        <f t="shared" si="8"/>
        <v>-0.16072289402018478</v>
      </c>
      <c r="R36" s="25">
        <f t="shared" si="9"/>
        <v>0.4361558285154955</v>
      </c>
    </row>
    <row r="37" spans="1:18" x14ac:dyDescent="0.4">
      <c r="A37" s="15">
        <f t="shared" si="10"/>
        <v>2700</v>
      </c>
      <c r="B37" s="27">
        <f t="shared" si="11"/>
        <v>330.06830121500337</v>
      </c>
      <c r="D37" s="2">
        <f t="shared" si="12"/>
        <v>2005</v>
      </c>
      <c r="E37" s="19">
        <v>2004</v>
      </c>
      <c r="F37" s="24">
        <v>2055.84</v>
      </c>
      <c r="G37" s="16">
        <v>83.513716680451736</v>
      </c>
      <c r="H37" s="16">
        <f t="shared" si="0"/>
        <v>309.05769445362597</v>
      </c>
      <c r="I37" s="16">
        <f t="shared" si="1"/>
        <v>-225.54397777317422</v>
      </c>
      <c r="J37" s="16">
        <f t="shared" si="2"/>
        <v>50870.085909746107</v>
      </c>
      <c r="K37" s="25">
        <f t="shared" si="3"/>
        <v>-1.9320440974714705</v>
      </c>
      <c r="L37" s="25">
        <f t="shared" si="4"/>
        <v>2.6677031640202721E-2</v>
      </c>
      <c r="M37" s="20">
        <f t="shared" si="5"/>
        <v>4.4250108899878811</v>
      </c>
      <c r="N37" s="20">
        <f t="shared" si="5"/>
        <v>5.7335279729111157</v>
      </c>
      <c r="O37" s="26">
        <f t="shared" si="6"/>
        <v>-1.3085170829232347</v>
      </c>
      <c r="P37" s="20">
        <f t="shared" si="7"/>
        <v>1.7122169563019314</v>
      </c>
      <c r="Q37" s="25">
        <f t="shared" si="8"/>
        <v>-2.3691581468124698</v>
      </c>
      <c r="R37" s="25">
        <f t="shared" si="9"/>
        <v>8.9143141057927491E-3</v>
      </c>
    </row>
    <row r="38" spans="1:18" x14ac:dyDescent="0.4">
      <c r="A38" s="15">
        <f t="shared" si="10"/>
        <v>2800</v>
      </c>
      <c r="B38" s="27">
        <f t="shared" si="11"/>
        <v>332.64592044383414</v>
      </c>
      <c r="D38" s="2">
        <f t="shared" si="12"/>
        <v>2006</v>
      </c>
      <c r="E38" s="19">
        <v>2005</v>
      </c>
      <c r="F38" s="24">
        <v>2026.57</v>
      </c>
      <c r="G38" s="16">
        <v>263.98884321359321</v>
      </c>
      <c r="H38" s="16">
        <f t="shared" si="0"/>
        <v>307.87128367659909</v>
      </c>
      <c r="I38" s="16">
        <f t="shared" si="1"/>
        <v>-43.882440463005878</v>
      </c>
      <c r="J38" s="16">
        <f t="shared" si="2"/>
        <v>1925.6685809892556</v>
      </c>
      <c r="K38" s="25">
        <f t="shared" si="3"/>
        <v>-0.37590367482326825</v>
      </c>
      <c r="L38" s="25">
        <f t="shared" si="4"/>
        <v>0.35349425421796365</v>
      </c>
      <c r="M38" s="20">
        <f t="shared" si="5"/>
        <v>5.5759068416987425</v>
      </c>
      <c r="N38" s="20">
        <f t="shared" si="5"/>
        <v>5.7296817854838826</v>
      </c>
      <c r="O38" s="26">
        <f t="shared" si="6"/>
        <v>-0.15377494378514012</v>
      </c>
      <c r="P38" s="20">
        <f t="shared" si="7"/>
        <v>2.3646733336123004E-2</v>
      </c>
      <c r="Q38" s="25">
        <f t="shared" si="8"/>
        <v>-0.27841987361013865</v>
      </c>
      <c r="R38" s="25">
        <f t="shared" si="9"/>
        <v>0.39034503272752252</v>
      </c>
    </row>
    <row r="39" spans="1:18" x14ac:dyDescent="0.4">
      <c r="A39" s="15">
        <f t="shared" si="10"/>
        <v>2900</v>
      </c>
      <c r="B39" s="27">
        <f t="shared" si="11"/>
        <v>335.0822279630454</v>
      </c>
      <c r="D39" s="2">
        <f t="shared" si="12"/>
        <v>2007</v>
      </c>
      <c r="E39" s="19">
        <v>2006</v>
      </c>
      <c r="F39" s="24">
        <v>1573.42</v>
      </c>
      <c r="G39" s="16">
        <v>96.217878225205652</v>
      </c>
      <c r="H39" s="16">
        <f t="shared" si="0"/>
        <v>285.68678676896747</v>
      </c>
      <c r="I39" s="16">
        <f t="shared" si="1"/>
        <v>-189.46890854376181</v>
      </c>
      <c r="J39" s="16">
        <f t="shared" si="2"/>
        <v>35898.467304764381</v>
      </c>
      <c r="K39" s="25">
        <f t="shared" si="3"/>
        <v>-1.6230195548580755</v>
      </c>
      <c r="L39" s="25">
        <f t="shared" si="4"/>
        <v>5.2292612348625776E-2</v>
      </c>
      <c r="M39" s="20">
        <f t="shared" si="5"/>
        <v>4.5666151847415986</v>
      </c>
      <c r="N39" s="20">
        <f t="shared" si="5"/>
        <v>5.6548960595461821</v>
      </c>
      <c r="O39" s="26">
        <f t="shared" si="6"/>
        <v>-1.0882808748045836</v>
      </c>
      <c r="P39" s="20">
        <f t="shared" si="7"/>
        <v>1.1843552624654297</v>
      </c>
      <c r="Q39" s="25">
        <f t="shared" si="8"/>
        <v>-1.9704056861095942</v>
      </c>
      <c r="R39" s="25">
        <f t="shared" si="9"/>
        <v>2.4395947216854511E-2</v>
      </c>
    </row>
    <row r="40" spans="1:18" x14ac:dyDescent="0.4">
      <c r="A40" s="15">
        <f t="shared" si="10"/>
        <v>3000</v>
      </c>
      <c r="B40" s="27">
        <f t="shared" si="11"/>
        <v>337.38853434195767</v>
      </c>
      <c r="D40" s="2">
        <f t="shared" si="12"/>
        <v>2008</v>
      </c>
      <c r="E40" s="19">
        <v>2007</v>
      </c>
      <c r="F40" s="24">
        <v>1617.8</v>
      </c>
      <c r="G40" s="16">
        <v>179.58044576577868</v>
      </c>
      <c r="H40" s="16">
        <f t="shared" si="0"/>
        <v>288.23484279159624</v>
      </c>
      <c r="I40" s="16">
        <f t="shared" si="1"/>
        <v>-108.65439702581756</v>
      </c>
      <c r="J40" s="16">
        <f t="shared" si="2"/>
        <v>11805.777993043992</v>
      </c>
      <c r="K40" s="25">
        <f t="shared" si="3"/>
        <v>-0.93075012913521737</v>
      </c>
      <c r="L40" s="25">
        <f t="shared" si="4"/>
        <v>0.1759914161438304</v>
      </c>
      <c r="M40" s="20">
        <f t="shared" si="5"/>
        <v>5.1906232733580895</v>
      </c>
      <c r="N40" s="20">
        <f t="shared" si="5"/>
        <v>5.6637755742162019</v>
      </c>
      <c r="O40" s="26">
        <f t="shared" si="6"/>
        <v>-0.47315230085811244</v>
      </c>
      <c r="P40" s="20">
        <f t="shared" si="7"/>
        <v>0.22387309980732575</v>
      </c>
      <c r="Q40" s="25">
        <f t="shared" si="8"/>
        <v>-0.85667404949486992</v>
      </c>
      <c r="R40" s="25">
        <f t="shared" si="9"/>
        <v>0.1958125244733073</v>
      </c>
    </row>
    <row r="41" spans="1:18" x14ac:dyDescent="0.4">
      <c r="A41" s="15">
        <f t="shared" si="10"/>
        <v>3100</v>
      </c>
      <c r="B41" s="27">
        <f t="shared" si="11"/>
        <v>339.57497445552968</v>
      </c>
      <c r="D41" s="2">
        <f t="shared" si="12"/>
        <v>2009</v>
      </c>
      <c r="E41" s="19">
        <v>2008</v>
      </c>
      <c r="F41" s="24">
        <v>1243.3599999999999</v>
      </c>
      <c r="G41" s="16">
        <v>168.83816952147049</v>
      </c>
      <c r="H41" s="16">
        <f t="shared" si="0"/>
        <v>263.17353421137676</v>
      </c>
      <c r="I41" s="16">
        <f t="shared" si="1"/>
        <v>-94.335364689906271</v>
      </c>
      <c r="J41" s="16">
        <f t="shared" si="2"/>
        <v>8899.1610311776149</v>
      </c>
      <c r="K41" s="25">
        <f t="shared" si="3"/>
        <v>-0.80809111522918997</v>
      </c>
      <c r="L41" s="25">
        <f t="shared" si="4"/>
        <v>0.20951906595407738</v>
      </c>
      <c r="M41" s="20">
        <f t="shared" si="5"/>
        <v>5.1289406793574859</v>
      </c>
      <c r="N41" s="20">
        <f t="shared" si="5"/>
        <v>5.5728136404871362</v>
      </c>
      <c r="O41" s="26">
        <f t="shared" si="6"/>
        <v>-0.44387296112965036</v>
      </c>
      <c r="P41" s="20">
        <f t="shared" si="7"/>
        <v>0.19702320562200409</v>
      </c>
      <c r="Q41" s="25">
        <f t="shared" si="8"/>
        <v>-0.80366183654308421</v>
      </c>
      <c r="R41" s="25">
        <f t="shared" si="9"/>
        <v>0.21079615011367989</v>
      </c>
    </row>
    <row r="42" spans="1:18" x14ac:dyDescent="0.4">
      <c r="A42" s="15">
        <f t="shared" si="10"/>
        <v>3200</v>
      </c>
      <c r="B42" s="27">
        <f t="shared" si="11"/>
        <v>341.65065637682176</v>
      </c>
      <c r="D42" s="2">
        <f t="shared" si="12"/>
        <v>2010</v>
      </c>
      <c r="E42" s="19">
        <v>2009</v>
      </c>
      <c r="F42" s="24">
        <v>1277.0899999999999</v>
      </c>
      <c r="G42" s="16">
        <v>69.893881432240761</v>
      </c>
      <c r="H42" s="16">
        <f t="shared" si="0"/>
        <v>265.81088230109373</v>
      </c>
      <c r="I42" s="16">
        <f t="shared" si="1"/>
        <v>-195.91700086885297</v>
      </c>
      <c r="J42" s="16">
        <f t="shared" si="2"/>
        <v>38383.471229446135</v>
      </c>
      <c r="K42" s="25">
        <f t="shared" si="3"/>
        <v>-1.6782548967175341</v>
      </c>
      <c r="L42" s="25">
        <f t="shared" si="4"/>
        <v>4.6648674488365009E-2</v>
      </c>
      <c r="M42" s="20">
        <f t="shared" si="5"/>
        <v>4.2469781122502992</v>
      </c>
      <c r="N42" s="20">
        <f t="shared" si="5"/>
        <v>5.5827850871306497</v>
      </c>
      <c r="O42" s="26">
        <f t="shared" si="6"/>
        <v>-1.3358069748803505</v>
      </c>
      <c r="P42" s="20">
        <f t="shared" si="7"/>
        <v>1.7843802741389934</v>
      </c>
      <c r="Q42" s="25">
        <f t="shared" si="8"/>
        <v>-2.4185683308288648</v>
      </c>
      <c r="R42" s="25">
        <f t="shared" si="9"/>
        <v>7.7908593721718851E-3</v>
      </c>
    </row>
    <row r="43" spans="1:18" x14ac:dyDescent="0.4">
      <c r="A43" s="15">
        <f t="shared" si="10"/>
        <v>3300</v>
      </c>
      <c r="B43" s="27">
        <f t="shared" si="11"/>
        <v>343.62378820114151</v>
      </c>
      <c r="D43" s="2">
        <f t="shared" si="12"/>
        <v>2011</v>
      </c>
      <c r="E43" s="19">
        <v>2010</v>
      </c>
      <c r="F43" s="24">
        <v>1256.44</v>
      </c>
      <c r="G43" s="16">
        <v>239.33626582347887</v>
      </c>
      <c r="H43" s="16">
        <f t="shared" si="0"/>
        <v>264.206794722871</v>
      </c>
      <c r="I43" s="16">
        <f t="shared" si="1"/>
        <v>-24.870528899392127</v>
      </c>
      <c r="J43" s="16">
        <f t="shared" si="2"/>
        <v>618.54320773549898</v>
      </c>
      <c r="K43" s="25">
        <f t="shared" si="3"/>
        <v>-0.2130447420298148</v>
      </c>
      <c r="L43" s="25">
        <f t="shared" si="4"/>
        <v>0.4156460322856686</v>
      </c>
      <c r="M43" s="20">
        <f t="shared" si="5"/>
        <v>5.4778695330493905</v>
      </c>
      <c r="N43" s="20">
        <f t="shared" si="5"/>
        <v>5.5767321098607416</v>
      </c>
      <c r="O43" s="26">
        <f t="shared" si="6"/>
        <v>-9.8862576811351133E-2</v>
      </c>
      <c r="P43" s="20">
        <f t="shared" si="7"/>
        <v>9.7738090937803026E-3</v>
      </c>
      <c r="Q43" s="25">
        <f t="shared" si="8"/>
        <v>-0.1789973415893317</v>
      </c>
      <c r="R43" s="25">
        <f t="shared" si="9"/>
        <v>0.42896989454419976</v>
      </c>
    </row>
    <row r="44" spans="1:18" x14ac:dyDescent="0.4">
      <c r="A44" s="15">
        <f t="shared" si="10"/>
        <v>3400</v>
      </c>
      <c r="B44" s="27">
        <f t="shared" si="11"/>
        <v>345.50178652591313</v>
      </c>
      <c r="D44" s="2">
        <f t="shared" si="12"/>
        <v>2012</v>
      </c>
      <c r="E44" s="19">
        <v>2011</v>
      </c>
      <c r="F44" s="24">
        <v>1080.71</v>
      </c>
      <c r="G44" s="16">
        <v>174.53679744669509</v>
      </c>
      <c r="H44" s="16">
        <f t="shared" si="0"/>
        <v>249.09032543676395</v>
      </c>
      <c r="I44" s="16">
        <f t="shared" si="1"/>
        <v>-74.553527990068858</v>
      </c>
      <c r="J44" s="16">
        <f t="shared" si="2"/>
        <v>5558.2285357659803</v>
      </c>
      <c r="K44" s="25">
        <f t="shared" si="3"/>
        <v>-0.63863688634482585</v>
      </c>
      <c r="L44" s="25">
        <f t="shared" si="4"/>
        <v>0.26152958969994566</v>
      </c>
      <c r="M44" s="20">
        <f t="shared" si="5"/>
        <v>5.1621355930317945</v>
      </c>
      <c r="N44" s="20">
        <f t="shared" si="5"/>
        <v>5.5178155834439213</v>
      </c>
      <c r="O44" s="26">
        <f t="shared" si="6"/>
        <v>-0.35567999041212683</v>
      </c>
      <c r="P44" s="20">
        <f t="shared" si="7"/>
        <v>0.12650825557957063</v>
      </c>
      <c r="Q44" s="25">
        <f t="shared" si="8"/>
        <v>-0.64398253407632966</v>
      </c>
      <c r="R44" s="25">
        <f t="shared" si="9"/>
        <v>0.25979337998007213</v>
      </c>
    </row>
    <row r="45" spans="1:18" x14ac:dyDescent="0.4">
      <c r="A45" s="15">
        <f t="shared" si="10"/>
        <v>3500</v>
      </c>
      <c r="B45" s="27">
        <f t="shared" si="11"/>
        <v>347.29136960900968</v>
      </c>
      <c r="D45" s="2">
        <f t="shared" si="12"/>
        <v>2013</v>
      </c>
      <c r="E45" s="19">
        <v>2012</v>
      </c>
      <c r="F45" s="24">
        <v>1261.46</v>
      </c>
      <c r="G45" s="16">
        <v>68.341930920253944</v>
      </c>
      <c r="H45" s="16">
        <f t="shared" si="0"/>
        <v>264.59978018016574</v>
      </c>
      <c r="I45" s="16">
        <f t="shared" si="1"/>
        <v>-196.25784925991178</v>
      </c>
      <c r="J45" s="16">
        <f t="shared" si="2"/>
        <v>38517.143396126252</v>
      </c>
      <c r="K45" s="25">
        <f t="shared" si="3"/>
        <v>-1.6811746559972083</v>
      </c>
      <c r="L45" s="25">
        <f t="shared" si="4"/>
        <v>4.6364497369362864E-2</v>
      </c>
      <c r="M45" s="20">
        <f t="shared" si="5"/>
        <v>4.2245235009010136</v>
      </c>
      <c r="N45" s="20">
        <f t="shared" si="5"/>
        <v>5.5782184209177199</v>
      </c>
      <c r="O45" s="26">
        <f t="shared" si="6"/>
        <v>-1.3536949200167063</v>
      </c>
      <c r="P45" s="20">
        <f t="shared" si="7"/>
        <v>1.832489936479037</v>
      </c>
      <c r="Q45" s="25">
        <f t="shared" si="8"/>
        <v>-2.4509556580579877</v>
      </c>
      <c r="R45" s="25">
        <f t="shared" si="9"/>
        <v>7.1238751867212374E-3</v>
      </c>
    </row>
    <row r="46" spans="1:18" x14ac:dyDescent="0.4">
      <c r="A46" s="15">
        <f t="shared" si="10"/>
        <v>3600</v>
      </c>
      <c r="B46" s="27">
        <f t="shared" si="11"/>
        <v>348.99863767214117</v>
      </c>
      <c r="D46" s="2">
        <f t="shared" si="12"/>
        <v>2014</v>
      </c>
      <c r="E46" s="19">
        <v>2013</v>
      </c>
      <c r="F46" s="24">
        <v>1150.18</v>
      </c>
      <c r="G46" s="16">
        <v>278.63656895092873</v>
      </c>
      <c r="H46" s="16">
        <f t="shared" si="0"/>
        <v>255.40070984734757</v>
      </c>
      <c r="I46" s="16">
        <f t="shared" si="1"/>
        <v>23.235859103581163</v>
      </c>
      <c r="J46" s="16">
        <f t="shared" si="2"/>
        <v>539.90514828147559</v>
      </c>
      <c r="K46" s="25">
        <f t="shared" si="3"/>
        <v>0.19904191135575589</v>
      </c>
      <c r="L46" s="25">
        <f t="shared" si="4"/>
        <v>0.57888502003449127</v>
      </c>
      <c r="M46" s="20">
        <f t="shared" si="5"/>
        <v>5.6299083124265525</v>
      </c>
      <c r="N46" s="20">
        <f t="shared" si="5"/>
        <v>5.5428337229498919</v>
      </c>
      <c r="O46" s="26">
        <f t="shared" si="6"/>
        <v>8.7074589476660691E-2</v>
      </c>
      <c r="P46" s="20">
        <f t="shared" si="7"/>
        <v>7.5819841325289886E-3</v>
      </c>
      <c r="Q46" s="25">
        <f t="shared" si="8"/>
        <v>0.1576543980443276</v>
      </c>
      <c r="R46" s="25">
        <f t="shared" si="9"/>
        <v>0.56263543195763821</v>
      </c>
    </row>
    <row r="47" spans="1:18" x14ac:dyDescent="0.4">
      <c r="A47" s="15">
        <f t="shared" si="10"/>
        <v>3700</v>
      </c>
      <c r="B47" s="27">
        <f t="shared" si="11"/>
        <v>350.62914237227443</v>
      </c>
      <c r="D47" s="2">
        <f t="shared" si="12"/>
        <v>2015</v>
      </c>
      <c r="E47" s="19">
        <v>2014</v>
      </c>
      <c r="F47" s="24">
        <v>1141.96</v>
      </c>
      <c r="G47" s="16">
        <v>77.993719556901951</v>
      </c>
      <c r="H47" s="16">
        <f t="shared" si="0"/>
        <v>254.67823358616261</v>
      </c>
      <c r="I47" s="16">
        <f t="shared" si="1"/>
        <v>-176.68451402926064</v>
      </c>
      <c r="J47" s="16">
        <f t="shared" si="2"/>
        <v>31217.417497756</v>
      </c>
      <c r="K47" s="25">
        <f t="shared" si="3"/>
        <v>-1.5135064824836535</v>
      </c>
      <c r="L47" s="25">
        <f t="shared" si="4"/>
        <v>6.5075527890949822E-2</v>
      </c>
      <c r="M47" s="20">
        <f t="shared" si="5"/>
        <v>4.356628304946546</v>
      </c>
      <c r="N47" s="20">
        <f t="shared" si="5"/>
        <v>5.5400009193079134</v>
      </c>
      <c r="O47" s="26">
        <f t="shared" si="6"/>
        <v>-1.1833726143613674</v>
      </c>
      <c r="P47" s="20">
        <f t="shared" si="7"/>
        <v>1.4003707444204576</v>
      </c>
      <c r="Q47" s="25">
        <f t="shared" si="8"/>
        <v>-2.1425756733460091</v>
      </c>
      <c r="R47" s="25">
        <f t="shared" si="9"/>
        <v>1.6073593133076741E-2</v>
      </c>
    </row>
    <row r="48" spans="1:18" x14ac:dyDescent="0.4">
      <c r="A48" s="15">
        <f t="shared" si="10"/>
        <v>3800</v>
      </c>
      <c r="B48" s="27">
        <f t="shared" si="11"/>
        <v>352.18794710822436</v>
      </c>
      <c r="D48" s="2">
        <f t="shared" si="12"/>
        <v>2016</v>
      </c>
      <c r="E48" s="19">
        <v>2015</v>
      </c>
      <c r="F48" s="24">
        <v>1292.57</v>
      </c>
      <c r="G48" s="16">
        <v>149.84070742540356</v>
      </c>
      <c r="H48" s="16">
        <f t="shared" si="0"/>
        <v>266.99207579953264</v>
      </c>
      <c r="I48" s="16">
        <f t="shared" si="1"/>
        <v>-117.15136837412908</v>
      </c>
      <c r="J48" s="16">
        <f t="shared" si="2"/>
        <v>13724.44311193089</v>
      </c>
      <c r="K48" s="25">
        <f t="shared" si="3"/>
        <v>-1.0035364810563461</v>
      </c>
      <c r="L48" s="25">
        <f t="shared" si="4"/>
        <v>0.15780104217227281</v>
      </c>
      <c r="M48" s="20">
        <f t="shared" si="5"/>
        <v>5.0095727793299973</v>
      </c>
      <c r="N48" s="20">
        <f t="shared" si="5"/>
        <v>5.5872189793063942</v>
      </c>
      <c r="O48" s="26">
        <f t="shared" si="6"/>
        <v>-0.57764619997639688</v>
      </c>
      <c r="P48" s="20">
        <f t="shared" si="7"/>
        <v>0.3336751323471715</v>
      </c>
      <c r="Q48" s="25">
        <f t="shared" si="8"/>
        <v>-1.0458672786999696</v>
      </c>
      <c r="R48" s="25">
        <f t="shared" si="9"/>
        <v>0.1478111567457952</v>
      </c>
    </row>
    <row r="49" spans="1:18" x14ac:dyDescent="0.4">
      <c r="A49" s="15">
        <f t="shared" si="10"/>
        <v>3900</v>
      </c>
      <c r="B49" s="27">
        <f t="shared" si="11"/>
        <v>353.6796795426236</v>
      </c>
      <c r="D49" s="2">
        <f t="shared" si="12"/>
        <v>2017</v>
      </c>
      <c r="E49" s="19">
        <v>2016</v>
      </c>
      <c r="F49" s="24">
        <v>1304.82</v>
      </c>
      <c r="G49" s="16">
        <v>105.79218384317846</v>
      </c>
      <c r="H49" s="16">
        <f t="shared" si="0"/>
        <v>267.91418004798624</v>
      </c>
      <c r="I49" s="16">
        <f t="shared" si="1"/>
        <v>-162.12199620480777</v>
      </c>
      <c r="J49" s="16">
        <f t="shared" si="2"/>
        <v>26283.541653431705</v>
      </c>
      <c r="K49" s="25">
        <f t="shared" si="3"/>
        <v>-1.388761734763754</v>
      </c>
      <c r="L49" s="25">
        <f t="shared" si="4"/>
        <v>8.2452607321985782E-2</v>
      </c>
      <c r="M49" s="20">
        <f t="shared" si="5"/>
        <v>4.6614766399766401</v>
      </c>
      <c r="N49" s="20">
        <f t="shared" si="5"/>
        <v>5.5906667055267549</v>
      </c>
      <c r="O49" s="26">
        <f t="shared" si="6"/>
        <v>-0.92919006555011485</v>
      </c>
      <c r="P49" s="20">
        <f t="shared" si="7"/>
        <v>0.86339417791702677</v>
      </c>
      <c r="Q49" s="25">
        <f t="shared" si="8"/>
        <v>-1.6823610806955087</v>
      </c>
      <c r="R49" s="25">
        <f t="shared" si="9"/>
        <v>4.624942173515021E-2</v>
      </c>
    </row>
    <row r="50" spans="1:18" x14ac:dyDescent="0.4">
      <c r="A50" s="15">
        <f t="shared" si="10"/>
        <v>4000</v>
      </c>
      <c r="B50" s="27">
        <f t="shared" si="11"/>
        <v>355.10857748692911</v>
      </c>
      <c r="D50" s="2">
        <f t="shared" si="12"/>
        <v>2018</v>
      </c>
      <c r="E50" s="19">
        <v>2017</v>
      </c>
      <c r="F50" s="24">
        <v>1238.22</v>
      </c>
      <c r="G50" s="16">
        <v>114.54127622777312</v>
      </c>
      <c r="H50" s="16">
        <f t="shared" si="0"/>
        <v>262.76377318036322</v>
      </c>
      <c r="I50" s="16">
        <f t="shared" si="1"/>
        <v>-148.22249695259009</v>
      </c>
      <c r="J50" s="16">
        <f t="shared" si="2"/>
        <v>21969.908602860578</v>
      </c>
      <c r="K50" s="25">
        <f t="shared" si="3"/>
        <v>-1.2696965052098823</v>
      </c>
      <c r="L50" s="25">
        <f t="shared" si="4"/>
        <v>0.10209637907974978</v>
      </c>
      <c r="M50" s="20">
        <f t="shared" si="5"/>
        <v>4.7409352491052532</v>
      </c>
      <c r="N50" s="20">
        <f t="shared" si="5"/>
        <v>5.5712554277185653</v>
      </c>
      <c r="O50" s="26">
        <f t="shared" si="6"/>
        <v>-0.83032017861331209</v>
      </c>
      <c r="P50" s="20">
        <f t="shared" si="7"/>
        <v>0.68943159901244244</v>
      </c>
      <c r="Q50" s="25">
        <f t="shared" si="8"/>
        <v>-1.5033505036326062</v>
      </c>
      <c r="R50" s="25">
        <f t="shared" si="9"/>
        <v>6.6374341539657947E-2</v>
      </c>
    </row>
    <row r="51" spans="1:18" x14ac:dyDescent="0.4">
      <c r="A51" s="15">
        <f t="shared" si="10"/>
        <v>4100</v>
      </c>
      <c r="B51" s="27">
        <f t="shared" si="11"/>
        <v>356.47852910774571</v>
      </c>
      <c r="D51" s="2">
        <f t="shared" si="12"/>
        <v>2019</v>
      </c>
      <c r="E51" s="19">
        <v>2018</v>
      </c>
      <c r="F51" s="24">
        <v>1223.47</v>
      </c>
      <c r="G51" s="16">
        <v>228.66116697467234</v>
      </c>
      <c r="H51" s="16">
        <f t="shared" si="0"/>
        <v>261.57604005172851</v>
      </c>
      <c r="I51" s="16">
        <f t="shared" si="1"/>
        <v>-32.914873077056171</v>
      </c>
      <c r="J51" s="16">
        <f t="shared" si="2"/>
        <v>1083.3888696787171</v>
      </c>
      <c r="K51" s="25">
        <f t="shared" si="3"/>
        <v>-0.28195382060479302</v>
      </c>
      <c r="L51" s="25">
        <f t="shared" si="4"/>
        <v>0.38898946001956158</v>
      </c>
      <c r="M51" s="20">
        <f t="shared" si="5"/>
        <v>5.432241287637372</v>
      </c>
      <c r="N51" s="20">
        <f t="shared" si="5"/>
        <v>5.5667250253720937</v>
      </c>
      <c r="O51" s="26">
        <f t="shared" si="6"/>
        <v>-0.13448373773472166</v>
      </c>
      <c r="P51" s="20">
        <f t="shared" si="7"/>
        <v>1.8085875715101399E-2</v>
      </c>
      <c r="Q51" s="25">
        <f t="shared" si="8"/>
        <v>-0.24349184815854572</v>
      </c>
      <c r="R51" s="25">
        <f t="shared" si="9"/>
        <v>0.4038121996741546</v>
      </c>
    </row>
    <row r="52" spans="1:18" x14ac:dyDescent="0.4">
      <c r="A52" s="15">
        <f t="shared" si="10"/>
        <v>4200</v>
      </c>
      <c r="B52" s="27">
        <f t="shared" si="11"/>
        <v>357.79310825781766</v>
      </c>
      <c r="D52" s="2">
        <f t="shared" si="12"/>
        <v>2020</v>
      </c>
      <c r="E52" s="19">
        <v>2019</v>
      </c>
      <c r="F52" s="24">
        <v>1157.8399999999999</v>
      </c>
      <c r="G52" s="16">
        <v>164.80141875541719</v>
      </c>
      <c r="H52" s="16">
        <f t="shared" si="0"/>
        <v>256.06835694063346</v>
      </c>
      <c r="I52" s="16">
        <f t="shared" si="1"/>
        <v>-91.266938185216276</v>
      </c>
      <c r="J52" s="16">
        <f t="shared" si="2"/>
        <v>8329.6540057040893</v>
      </c>
      <c r="K52" s="25">
        <f t="shared" si="3"/>
        <v>-0.78180650601265234</v>
      </c>
      <c r="L52" s="25">
        <f t="shared" si="4"/>
        <v>0.21716414846987123</v>
      </c>
      <c r="M52" s="20">
        <f t="shared" si="5"/>
        <v>5.1047412263910887</v>
      </c>
      <c r="N52" s="20">
        <f t="shared" si="5"/>
        <v>5.5454444281356032</v>
      </c>
      <c r="O52" s="26">
        <f t="shared" si="6"/>
        <v>-0.44070320174451449</v>
      </c>
      <c r="P52" s="20">
        <f t="shared" si="7"/>
        <v>0.19421931202786624</v>
      </c>
      <c r="Q52" s="25">
        <f t="shared" si="8"/>
        <v>-0.79792277408166545</v>
      </c>
      <c r="R52" s="25">
        <f t="shared" si="9"/>
        <v>0.2124576532211698</v>
      </c>
    </row>
    <row r="53" spans="1:18" x14ac:dyDescent="0.4">
      <c r="A53" s="15">
        <f t="shared" si="10"/>
        <v>4300</v>
      </c>
      <c r="B53" s="27">
        <f t="shared" si="11"/>
        <v>359.05560560772471</v>
      </c>
      <c r="D53" s="2">
        <f t="shared" si="12"/>
        <v>2021</v>
      </c>
      <c r="E53" s="19">
        <v>2020</v>
      </c>
      <c r="F53" s="19">
        <v>1696.41</v>
      </c>
      <c r="G53" s="15">
        <v>201.16500096815321</v>
      </c>
      <c r="H53" s="16">
        <f t="shared" si="0"/>
        <v>292.52112131558363</v>
      </c>
      <c r="I53" s="16">
        <f t="shared" si="1"/>
        <v>-91.356120347430419</v>
      </c>
      <c r="J53" s="16">
        <f t="shared" si="2"/>
        <v>8345.9407249341912</v>
      </c>
      <c r="K53" s="25">
        <f t="shared" si="3"/>
        <v>-0.78257045400987557</v>
      </c>
      <c r="L53" s="25">
        <f t="shared" si="4"/>
        <v>0.21693969873845131</v>
      </c>
      <c r="M53" s="20">
        <f t="shared" ref="M53:N53" si="13">LN(G53)</f>
        <v>5.3041254716437454</v>
      </c>
      <c r="N53" s="20">
        <f t="shared" si="13"/>
        <v>5.6785368736908488</v>
      </c>
      <c r="O53" s="26">
        <f t="shared" si="6"/>
        <v>-0.37441140204710344</v>
      </c>
      <c r="P53" s="20">
        <f t="shared" si="7"/>
        <v>0.14018389798287773</v>
      </c>
      <c r="Q53" s="25">
        <f t="shared" si="8"/>
        <v>-0.67789701410525127</v>
      </c>
      <c r="R53" s="25">
        <f t="shared" si="9"/>
        <v>0.24891849665886501</v>
      </c>
    </row>
    <row r="54" spans="1:18" x14ac:dyDescent="0.4">
      <c r="A54" s="15">
        <f t="shared" si="10"/>
        <v>4400</v>
      </c>
      <c r="B54" s="27">
        <f t="shared" si="11"/>
        <v>360.26905614926943</v>
      </c>
    </row>
    <row r="55" spans="1:18" x14ac:dyDescent="0.4">
      <c r="A55" s="15">
        <f t="shared" si="10"/>
        <v>4500</v>
      </c>
      <c r="B55" s="27">
        <f t="shared" si="11"/>
        <v>361.43626355450164</v>
      </c>
    </row>
    <row r="56" spans="1:18" x14ac:dyDescent="0.4">
      <c r="A56" s="15">
        <f t="shared" si="10"/>
        <v>4600</v>
      </c>
      <c r="B56" s="27">
        <f t="shared" si="11"/>
        <v>362.55982180193581</v>
      </c>
    </row>
    <row r="57" spans="1:18" x14ac:dyDescent="0.4">
      <c r="A57" s="15">
        <f t="shared" si="10"/>
        <v>4700</v>
      </c>
      <c r="B57" s="27">
        <f t="shared" si="11"/>
        <v>363.64213442108388</v>
      </c>
    </row>
    <row r="58" spans="1:18" x14ac:dyDescent="0.4">
      <c r="A58" s="15">
        <f t="shared" si="10"/>
        <v>4800</v>
      </c>
      <c r="B58" s="27">
        <f t="shared" si="11"/>
        <v>364.68543165579882</v>
      </c>
    </row>
    <row r="59" spans="1:18" x14ac:dyDescent="0.4">
      <c r="A59" s="15">
        <f t="shared" si="10"/>
        <v>4900</v>
      </c>
      <c r="B59" s="27">
        <f t="shared" si="11"/>
        <v>365.69178580435835</v>
      </c>
    </row>
    <row r="60" spans="1:18" x14ac:dyDescent="0.4">
      <c r="A60" s="15">
        <f t="shared" si="10"/>
        <v>5000</v>
      </c>
      <c r="B60" s="27">
        <f t="shared" si="11"/>
        <v>366.66312495832528</v>
      </c>
    </row>
    <row r="61" spans="1:18" x14ac:dyDescent="0.4">
      <c r="A61" s="15">
        <f t="shared" si="10"/>
        <v>5100</v>
      </c>
      <c r="B61" s="27">
        <f t="shared" si="11"/>
        <v>367.60124533184319</v>
      </c>
    </row>
    <row r="62" spans="1:18" x14ac:dyDescent="0.4">
      <c r="A62" s="15">
        <f t="shared" si="10"/>
        <v>5200</v>
      </c>
      <c r="B62" s="27">
        <f t="shared" si="11"/>
        <v>368.50782234725227</v>
      </c>
    </row>
    <row r="63" spans="1:18" x14ac:dyDescent="0.4">
      <c r="A63" s="15">
        <f t="shared" si="10"/>
        <v>5300</v>
      </c>
      <c r="B63" s="27">
        <f t="shared" si="11"/>
        <v>369.38442062096493</v>
      </c>
    </row>
    <row r="64" spans="1:18" x14ac:dyDescent="0.4">
      <c r="A64" s="15">
        <f t="shared" si="10"/>
        <v>5400</v>
      </c>
      <c r="B64" s="27">
        <f t="shared" si="11"/>
        <v>370.23250297481434</v>
      </c>
    </row>
    <row r="65" spans="1:2" x14ac:dyDescent="0.4">
      <c r="A65" s="15">
        <f t="shared" si="10"/>
        <v>5500</v>
      </c>
      <c r="B65" s="27">
        <f t="shared" si="11"/>
        <v>371.05343858205475</v>
      </c>
    </row>
    <row r="66" spans="1:2" x14ac:dyDescent="0.4">
      <c r="A66" s="15">
        <f t="shared" si="10"/>
        <v>5600</v>
      </c>
      <c r="B66" s="27">
        <f t="shared" si="11"/>
        <v>371.84851034343455</v>
      </c>
    </row>
    <row r="67" spans="1:2" x14ac:dyDescent="0.4">
      <c r="A67" s="15">
        <f t="shared" si="10"/>
        <v>5700</v>
      </c>
      <c r="B67" s="27">
        <f t="shared" si="11"/>
        <v>372.61892157692409</v>
      </c>
    </row>
    <row r="68" spans="1:2" x14ac:dyDescent="0.4">
      <c r="A68" s="15">
        <f t="shared" si="10"/>
        <v>5800</v>
      </c>
      <c r="B68" s="27">
        <f t="shared" si="11"/>
        <v>373.36580209446987</v>
      </c>
    </row>
    <row r="69" spans="1:2" x14ac:dyDescent="0.4">
      <c r="A69" s="15">
        <f t="shared" si="10"/>
        <v>5900</v>
      </c>
      <c r="B69" s="27">
        <f t="shared" si="11"/>
        <v>374.09021373031527</v>
      </c>
    </row>
    <row r="70" spans="1:2" x14ac:dyDescent="0.4">
      <c r="A70" s="15">
        <f t="shared" si="10"/>
        <v>6000</v>
      </c>
      <c r="B70" s="27">
        <f t="shared" si="11"/>
        <v>374.79315537777978</v>
      </c>
    </row>
    <row r="71" spans="1:2" x14ac:dyDescent="0.4">
      <c r="A71" s="15">
        <f t="shared" si="10"/>
        <v>6100</v>
      </c>
      <c r="B71" s="27">
        <f t="shared" si="11"/>
        <v>375.47556758473957</v>
      </c>
    </row>
    <row r="72" spans="1:2" x14ac:dyDescent="0.4">
      <c r="A72" s="15">
        <f t="shared" si="10"/>
        <v>6200</v>
      </c>
      <c r="B72" s="27">
        <f t="shared" si="11"/>
        <v>376.13833675226988</v>
      </c>
    </row>
    <row r="73" spans="1:2" x14ac:dyDescent="0.4">
      <c r="A73" s="15">
        <f t="shared" si="10"/>
        <v>6300</v>
      </c>
      <c r="B73" s="27">
        <f t="shared" si="11"/>
        <v>376.7822989758609</v>
      </c>
    </row>
    <row r="74" spans="1:2" x14ac:dyDescent="0.4">
      <c r="A74" s="15">
        <f t="shared" si="10"/>
        <v>6400</v>
      </c>
      <c r="B74" s="27">
        <f t="shared" si="11"/>
        <v>377.40824356421001</v>
      </c>
    </row>
    <row r="75" spans="1:2" x14ac:dyDescent="0.4">
      <c r="A75" s="15">
        <f t="shared" si="10"/>
        <v>6500</v>
      </c>
      <c r="B75" s="27">
        <f t="shared" si="11"/>
        <v>378.01691626672846</v>
      </c>
    </row>
    <row r="76" spans="1:2" x14ac:dyDescent="0.4">
      <c r="A76" s="15">
        <f t="shared" ref="A76:A139" si="14">A75+100</f>
        <v>6600</v>
      </c>
      <c r="B76" s="27">
        <f t="shared" ref="B76:B139" si="15">4*$B$4*$B$5*A76/($B$6*(1-$B$4)+A76*(5*$B$4-1))</f>
        <v>378.60902223751123</v>
      </c>
    </row>
    <row r="77" spans="1:2" x14ac:dyDescent="0.4">
      <c r="A77" s="15">
        <f t="shared" si="14"/>
        <v>6700</v>
      </c>
      <c r="B77" s="27">
        <f t="shared" si="15"/>
        <v>379.18522876053805</v>
      </c>
    </row>
    <row r="78" spans="1:2" x14ac:dyDescent="0.4">
      <c r="A78" s="15">
        <f t="shared" si="14"/>
        <v>6800</v>
      </c>
      <c r="B78" s="27">
        <f t="shared" si="15"/>
        <v>379.74616775824842</v>
      </c>
    </row>
    <row r="79" spans="1:2" x14ac:dyDescent="0.4">
      <c r="A79" s="15">
        <f t="shared" si="14"/>
        <v>6900</v>
      </c>
      <c r="B79" s="27">
        <f t="shared" si="15"/>
        <v>380.29243810331781</v>
      </c>
    </row>
    <row r="80" spans="1:2" x14ac:dyDescent="0.4">
      <c r="A80" s="15">
        <f t="shared" si="14"/>
        <v>7000</v>
      </c>
      <c r="B80" s="27">
        <f t="shared" si="15"/>
        <v>380.82460775141436</v>
      </c>
    </row>
    <row r="81" spans="1:2" x14ac:dyDescent="0.4">
      <c r="A81" s="15">
        <f t="shared" si="14"/>
        <v>7100</v>
      </c>
      <c r="B81" s="27">
        <f t="shared" si="15"/>
        <v>381.34321571090368</v>
      </c>
    </row>
    <row r="82" spans="1:2" x14ac:dyDescent="0.4">
      <c r="A82" s="15">
        <f t="shared" si="14"/>
        <v>7200</v>
      </c>
      <c r="B82" s="27">
        <f t="shared" si="15"/>
        <v>381.8487738638616</v>
      </c>
    </row>
    <row r="83" spans="1:2" x14ac:dyDescent="0.4">
      <c r="A83" s="15">
        <f t="shared" si="14"/>
        <v>7300</v>
      </c>
      <c r="B83" s="27">
        <f t="shared" si="15"/>
        <v>382.34176865132787</v>
      </c>
    </row>
    <row r="84" spans="1:2" x14ac:dyDescent="0.4">
      <c r="A84" s="15">
        <f t="shared" si="14"/>
        <v>7400</v>
      </c>
      <c r="B84" s="27">
        <f t="shared" si="15"/>
        <v>382.82266263446365</v>
      </c>
    </row>
    <row r="85" spans="1:2" x14ac:dyDescent="0.4">
      <c r="A85" s="15">
        <f t="shared" si="14"/>
        <v>7500</v>
      </c>
      <c r="B85" s="27">
        <f t="shared" si="15"/>
        <v>383.29189594214444</v>
      </c>
    </row>
    <row r="86" spans="1:2" x14ac:dyDescent="0.4">
      <c r="A86" s="15">
        <f t="shared" si="14"/>
        <v>7600</v>
      </c>
      <c r="B86" s="27">
        <f t="shared" si="15"/>
        <v>383.74988761451135</v>
      </c>
    </row>
    <row r="87" spans="1:2" x14ac:dyDescent="0.4">
      <c r="A87" s="15">
        <f t="shared" si="14"/>
        <v>7700</v>
      </c>
      <c r="B87" s="27">
        <f t="shared" si="15"/>
        <v>384.19703685110107</v>
      </c>
    </row>
    <row r="88" spans="1:2" x14ac:dyDescent="0.4">
      <c r="A88" s="15">
        <f t="shared" si="14"/>
        <v>7800</v>
      </c>
      <c r="B88" s="27">
        <f t="shared" si="15"/>
        <v>384.63372417136839</v>
      </c>
    </row>
    <row r="89" spans="1:2" x14ac:dyDescent="0.4">
      <c r="A89" s="15">
        <f t="shared" si="14"/>
        <v>7900</v>
      </c>
      <c r="B89" s="27">
        <f t="shared" si="15"/>
        <v>385.06031249469311</v>
      </c>
    </row>
    <row r="90" spans="1:2" x14ac:dyDescent="0.4">
      <c r="A90" s="15">
        <f t="shared" si="14"/>
        <v>8000</v>
      </c>
      <c r="B90" s="27">
        <f t="shared" si="15"/>
        <v>385.47714814631325</v>
      </c>
    </row>
    <row r="91" spans="1:2" x14ac:dyDescent="0.4">
      <c r="A91" s="15">
        <f t="shared" si="14"/>
        <v>8100</v>
      </c>
      <c r="B91" s="27">
        <f t="shared" si="15"/>
        <v>385.88456179504487</v>
      </c>
    </row>
    <row r="92" spans="1:2" x14ac:dyDescent="0.4">
      <c r="A92" s="15">
        <f t="shared" si="14"/>
        <v>8200</v>
      </c>
      <c r="B92" s="27">
        <f t="shared" si="15"/>
        <v>386.28286932812534</v>
      </c>
    </row>
    <row r="93" spans="1:2" x14ac:dyDescent="0.4">
      <c r="A93" s="15">
        <f t="shared" si="14"/>
        <v>8300</v>
      </c>
      <c r="B93" s="27">
        <f t="shared" si="15"/>
        <v>386.67237266804364</v>
      </c>
    </row>
    <row r="94" spans="1:2" x14ac:dyDescent="0.4">
      <c r="A94" s="15">
        <f t="shared" si="14"/>
        <v>8400</v>
      </c>
      <c r="B94" s="27">
        <f t="shared" si="15"/>
        <v>387.05336053579686</v>
      </c>
    </row>
    <row r="95" spans="1:2" x14ac:dyDescent="0.4">
      <c r="A95" s="15">
        <f t="shared" si="14"/>
        <v>8500</v>
      </c>
      <c r="B95" s="27">
        <f t="shared" si="15"/>
        <v>387.42610916462883</v>
      </c>
    </row>
    <row r="96" spans="1:2" x14ac:dyDescent="0.4">
      <c r="A96" s="15">
        <f t="shared" si="14"/>
        <v>8600</v>
      </c>
      <c r="B96" s="27">
        <f t="shared" si="15"/>
        <v>387.79088296795754</v>
      </c>
    </row>
    <row r="97" spans="1:2" x14ac:dyDescent="0.4">
      <c r="A97" s="15">
        <f t="shared" si="14"/>
        <v>8700</v>
      </c>
      <c r="B97" s="27">
        <f t="shared" si="15"/>
        <v>388.14793516488646</v>
      </c>
    </row>
    <row r="98" spans="1:2" x14ac:dyDescent="0.4">
      <c r="A98" s="15">
        <f t="shared" si="14"/>
        <v>8800</v>
      </c>
      <c r="B98" s="27">
        <f t="shared" si="15"/>
        <v>388.49750836640908</v>
      </c>
    </row>
    <row r="99" spans="1:2" x14ac:dyDescent="0.4">
      <c r="A99" s="15">
        <f t="shared" si="14"/>
        <v>8900</v>
      </c>
      <c r="B99" s="27">
        <f t="shared" si="15"/>
        <v>388.839835125158</v>
      </c>
    </row>
    <row r="100" spans="1:2" x14ac:dyDescent="0.4">
      <c r="A100" s="15">
        <f t="shared" si="14"/>
        <v>9000</v>
      </c>
      <c r="B100" s="27">
        <f t="shared" si="15"/>
        <v>389.17513845131742</v>
      </c>
    </row>
    <row r="101" spans="1:2" x14ac:dyDescent="0.4">
      <c r="A101" s="15">
        <f t="shared" si="14"/>
        <v>9100</v>
      </c>
      <c r="B101" s="27">
        <f t="shared" si="15"/>
        <v>389.50363229710291</v>
      </c>
    </row>
    <row r="102" spans="1:2" x14ac:dyDescent="0.4">
      <c r="A102" s="15">
        <f t="shared" si="14"/>
        <v>9200</v>
      </c>
      <c r="B102" s="27">
        <f t="shared" si="15"/>
        <v>389.82552201202157</v>
      </c>
    </row>
    <row r="103" spans="1:2" x14ac:dyDescent="0.4">
      <c r="A103" s="15">
        <f t="shared" si="14"/>
        <v>9300</v>
      </c>
      <c r="B103" s="27">
        <f t="shared" si="15"/>
        <v>390.14100477094667</v>
      </c>
    </row>
    <row r="104" spans="1:2" x14ac:dyDescent="0.4">
      <c r="A104" s="15">
        <f t="shared" si="14"/>
        <v>9400</v>
      </c>
      <c r="B104" s="27">
        <f t="shared" si="15"/>
        <v>390.45026997688336</v>
      </c>
    </row>
    <row r="105" spans="1:2" x14ac:dyDescent="0.4">
      <c r="A105" s="15">
        <f t="shared" si="14"/>
        <v>9500</v>
      </c>
      <c r="B105" s="27">
        <f t="shared" si="15"/>
        <v>390.75349964015288</v>
      </c>
    </row>
    <row r="106" spans="1:2" x14ac:dyDescent="0.4">
      <c r="A106" s="15">
        <f t="shared" si="14"/>
        <v>9600</v>
      </c>
      <c r="B106" s="27">
        <f t="shared" si="15"/>
        <v>391.05086873559191</v>
      </c>
    </row>
    <row r="107" spans="1:2" x14ac:dyDescent="0.4">
      <c r="A107" s="15">
        <f t="shared" si="14"/>
        <v>9700</v>
      </c>
      <c r="B107" s="27">
        <f t="shared" si="15"/>
        <v>391.34254553923859</v>
      </c>
    </row>
    <row r="108" spans="1:2" x14ac:dyDescent="0.4">
      <c r="A108" s="15">
        <f t="shared" si="14"/>
        <v>9800</v>
      </c>
      <c r="B108" s="27">
        <f t="shared" si="15"/>
        <v>391.62869194586727</v>
      </c>
    </row>
    <row r="109" spans="1:2" x14ac:dyDescent="0.4">
      <c r="A109" s="15">
        <f t="shared" si="14"/>
        <v>9900</v>
      </c>
      <c r="B109" s="27">
        <f t="shared" si="15"/>
        <v>391.90946376863116</v>
      </c>
    </row>
    <row r="110" spans="1:2" x14ac:dyDescent="0.4">
      <c r="A110" s="15">
        <f t="shared" si="14"/>
        <v>10000</v>
      </c>
      <c r="B110" s="27">
        <f t="shared" si="15"/>
        <v>392.18501102197723</v>
      </c>
    </row>
    <row r="111" spans="1:2" x14ac:dyDescent="0.4">
      <c r="A111" s="15">
        <f t="shared" si="14"/>
        <v>10100</v>
      </c>
      <c r="B111" s="27">
        <f t="shared" si="15"/>
        <v>392.45547818891401</v>
      </c>
    </row>
    <row r="112" spans="1:2" x14ac:dyDescent="0.4">
      <c r="A112" s="15">
        <f t="shared" si="14"/>
        <v>10200</v>
      </c>
      <c r="B112" s="27">
        <f t="shared" si="15"/>
        <v>392.72100447363152</v>
      </c>
    </row>
    <row r="113" spans="1:2" x14ac:dyDescent="0.4">
      <c r="A113" s="15">
        <f t="shared" si="14"/>
        <v>10300</v>
      </c>
      <c r="B113" s="27">
        <f t="shared" si="15"/>
        <v>392.98172404040258</v>
      </c>
    </row>
    <row r="114" spans="1:2" x14ac:dyDescent="0.4">
      <c r="A114" s="15">
        <f t="shared" si="14"/>
        <v>10400</v>
      </c>
      <c r="B114" s="27">
        <f t="shared" si="15"/>
        <v>393.23776623962516</v>
      </c>
    </row>
    <row r="115" spans="1:2" x14ac:dyDescent="0.4">
      <c r="A115" s="15">
        <f t="shared" si="14"/>
        <v>10500</v>
      </c>
      <c r="B115" s="27">
        <f t="shared" si="15"/>
        <v>393.48925582180897</v>
      </c>
    </row>
    <row r="116" spans="1:2" x14ac:dyDescent="0.4">
      <c r="A116" s="15">
        <f t="shared" si="14"/>
        <v>10600</v>
      </c>
      <c r="B116" s="27">
        <f t="shared" si="15"/>
        <v>393.73631314024612</v>
      </c>
    </row>
    <row r="117" spans="1:2" x14ac:dyDescent="0.4">
      <c r="A117" s="15">
        <f t="shared" si="14"/>
        <v>10700</v>
      </c>
      <c r="B117" s="27">
        <f t="shared" si="15"/>
        <v>393.97905434306131</v>
      </c>
    </row>
    <row r="118" spans="1:2" x14ac:dyDescent="0.4">
      <c r="A118" s="15">
        <f t="shared" si="14"/>
        <v>10800</v>
      </c>
      <c r="B118" s="27">
        <f t="shared" si="15"/>
        <v>394.21759155528264</v>
      </c>
    </row>
    <row r="119" spans="1:2" x14ac:dyDescent="0.4">
      <c r="A119" s="15">
        <f t="shared" si="14"/>
        <v>10900</v>
      </c>
      <c r="B119" s="27">
        <f t="shared" si="15"/>
        <v>394.45203305153478</v>
      </c>
    </row>
    <row r="120" spans="1:2" x14ac:dyDescent="0.4">
      <c r="A120" s="15">
        <f t="shared" si="14"/>
        <v>11000</v>
      </c>
      <c r="B120" s="27">
        <f t="shared" si="15"/>
        <v>394.68248341991182</v>
      </c>
    </row>
    <row r="121" spans="1:2" x14ac:dyDescent="0.4">
      <c r="A121" s="15">
        <f t="shared" si="14"/>
        <v>11100</v>
      </c>
      <c r="B121" s="27">
        <f t="shared" si="15"/>
        <v>394.90904371755153</v>
      </c>
    </row>
    <row r="122" spans="1:2" x14ac:dyDescent="0.4">
      <c r="A122" s="15">
        <f t="shared" si="14"/>
        <v>11200</v>
      </c>
      <c r="B122" s="27">
        <f t="shared" si="15"/>
        <v>395.13181161839731</v>
      </c>
    </row>
    <row r="123" spans="1:2" x14ac:dyDescent="0.4">
      <c r="A123" s="15">
        <f t="shared" si="14"/>
        <v>11300</v>
      </c>
      <c r="B123" s="27">
        <f t="shared" si="15"/>
        <v>395.35088155360137</v>
      </c>
    </row>
    <row r="124" spans="1:2" x14ac:dyDescent="0.4">
      <c r="A124" s="15">
        <f t="shared" si="14"/>
        <v>11400</v>
      </c>
      <c r="B124" s="27">
        <f t="shared" si="15"/>
        <v>395.56634484499369</v>
      </c>
    </row>
    <row r="125" spans="1:2" x14ac:dyDescent="0.4">
      <c r="A125" s="15">
        <f t="shared" si="14"/>
        <v>11500</v>
      </c>
      <c r="B125" s="27">
        <f t="shared" si="15"/>
        <v>395.77828983201198</v>
      </c>
    </row>
    <row r="126" spans="1:2" x14ac:dyDescent="0.4">
      <c r="A126" s="15">
        <f t="shared" si="14"/>
        <v>11600</v>
      </c>
      <c r="B126" s="27">
        <f t="shared" si="15"/>
        <v>395.98680199246525</v>
      </c>
    </row>
    <row r="127" spans="1:2" x14ac:dyDescent="0.4">
      <c r="A127" s="15">
        <f t="shared" si="14"/>
        <v>11700</v>
      </c>
      <c r="B127" s="27">
        <f t="shared" si="15"/>
        <v>396.19196405747522</v>
      </c>
    </row>
    <row r="128" spans="1:2" x14ac:dyDescent="0.4">
      <c r="A128" s="15">
        <f t="shared" si="14"/>
        <v>11800</v>
      </c>
      <c r="B128" s="27">
        <f t="shared" si="15"/>
        <v>396.39385612092281</v>
      </c>
    </row>
    <row r="129" spans="1:2" x14ac:dyDescent="0.4">
      <c r="A129" s="15">
        <f t="shared" si="14"/>
        <v>11900</v>
      </c>
      <c r="B129" s="27">
        <f t="shared" si="15"/>
        <v>396.59255574370218</v>
      </c>
    </row>
    <row r="130" spans="1:2" x14ac:dyDescent="0.4">
      <c r="A130" s="15">
        <f t="shared" si="14"/>
        <v>12000</v>
      </c>
      <c r="B130" s="27">
        <f t="shared" si="15"/>
        <v>396.78813805306788</v>
      </c>
    </row>
    <row r="131" spans="1:2" x14ac:dyDescent="0.4">
      <c r="A131" s="15">
        <f t="shared" si="14"/>
        <v>12100</v>
      </c>
      <c r="B131" s="27">
        <f t="shared" si="15"/>
        <v>396.98067583734343</v>
      </c>
    </row>
    <row r="132" spans="1:2" x14ac:dyDescent="0.4">
      <c r="A132" s="15">
        <f t="shared" si="14"/>
        <v>12200</v>
      </c>
      <c r="B132" s="27">
        <f t="shared" si="15"/>
        <v>397.17023963623967</v>
      </c>
    </row>
    <row r="133" spans="1:2" x14ac:dyDescent="0.4">
      <c r="A133" s="15">
        <f t="shared" si="14"/>
        <v>12300</v>
      </c>
      <c r="B133" s="27">
        <f t="shared" si="15"/>
        <v>397.35689782702144</v>
      </c>
    </row>
    <row r="134" spans="1:2" x14ac:dyDescent="0.4">
      <c r="A134" s="15">
        <f t="shared" si="14"/>
        <v>12400</v>
      </c>
      <c r="B134" s="27">
        <f t="shared" si="15"/>
        <v>397.54071670674131</v>
      </c>
    </row>
    <row r="135" spans="1:2" x14ac:dyDescent="0.4">
      <c r="A135" s="15">
        <f t="shared" si="14"/>
        <v>12500</v>
      </c>
      <c r="B135" s="27">
        <f t="shared" si="15"/>
        <v>397.72176057074927</v>
      </c>
    </row>
    <row r="136" spans="1:2" x14ac:dyDescent="0.4">
      <c r="A136" s="15">
        <f t="shared" si="14"/>
        <v>12600</v>
      </c>
      <c r="B136" s="27">
        <f t="shared" si="15"/>
        <v>397.90009178767349</v>
      </c>
    </row>
    <row r="137" spans="1:2" x14ac:dyDescent="0.4">
      <c r="A137" s="15">
        <f t="shared" si="14"/>
        <v>12700</v>
      </c>
      <c r="B137" s="27">
        <f t="shared" si="15"/>
        <v>398.07577087105528</v>
      </c>
    </row>
    <row r="138" spans="1:2" x14ac:dyDescent="0.4">
      <c r="A138" s="15">
        <f t="shared" si="14"/>
        <v>12800</v>
      </c>
      <c r="B138" s="27">
        <f t="shared" si="15"/>
        <v>398.24885654781224</v>
      </c>
    </row>
    <row r="139" spans="1:2" x14ac:dyDescent="0.4">
      <c r="A139" s="15">
        <f t="shared" si="14"/>
        <v>12900</v>
      </c>
      <c r="B139" s="27">
        <f t="shared" si="15"/>
        <v>398.41940582369114</v>
      </c>
    </row>
    <row r="140" spans="1:2" x14ac:dyDescent="0.4">
      <c r="A140" s="15">
        <f t="shared" ref="A140:A203" si="16">A139+100</f>
        <v>13000</v>
      </c>
      <c r="B140" s="27">
        <f t="shared" ref="B140:B203" si="17">4*$B$4*$B$5*A140/($B$6*(1-$B$4)+A140*(5*$B$4-1))</f>
        <v>398.58747404586455</v>
      </c>
    </row>
    <row r="141" spans="1:2" x14ac:dyDescent="0.4">
      <c r="A141" s="15">
        <f t="shared" si="16"/>
        <v>13100</v>
      </c>
      <c r="B141" s="27">
        <f t="shared" si="17"/>
        <v>398.75311496281506</v>
      </c>
    </row>
    <row r="142" spans="1:2" x14ac:dyDescent="0.4">
      <c r="A142" s="15">
        <f t="shared" si="16"/>
        <v>13200</v>
      </c>
      <c r="B142" s="27">
        <f t="shared" si="17"/>
        <v>398.91638078164391</v>
      </c>
    </row>
    <row r="143" spans="1:2" x14ac:dyDescent="0.4">
      <c r="A143" s="15">
        <f t="shared" si="16"/>
        <v>13300</v>
      </c>
      <c r="B143" s="27">
        <f t="shared" si="17"/>
        <v>399.07732222293157</v>
      </c>
    </row>
    <row r="144" spans="1:2" x14ac:dyDescent="0.4">
      <c r="A144" s="15">
        <f t="shared" si="16"/>
        <v>13400</v>
      </c>
      <c r="B144" s="27">
        <f t="shared" si="17"/>
        <v>399.23598857327187</v>
      </c>
    </row>
    <row r="145" spans="1:2" x14ac:dyDescent="0.4">
      <c r="A145" s="15">
        <f t="shared" si="16"/>
        <v>13500</v>
      </c>
      <c r="B145" s="27">
        <f t="shared" si="17"/>
        <v>399.39242773559403</v>
      </c>
    </row>
    <row r="146" spans="1:2" x14ac:dyDescent="0.4">
      <c r="A146" s="15">
        <f t="shared" si="16"/>
        <v>13600</v>
      </c>
      <c r="B146" s="27">
        <f t="shared" si="17"/>
        <v>399.54668627738016</v>
      </c>
    </row>
    <row r="147" spans="1:2" x14ac:dyDescent="0.4">
      <c r="A147" s="15">
        <f t="shared" si="16"/>
        <v>13700</v>
      </c>
      <c r="B147" s="27">
        <f t="shared" si="17"/>
        <v>399.69880947688051</v>
      </c>
    </row>
    <row r="148" spans="1:2" x14ac:dyDescent="0.4">
      <c r="A148" s="15">
        <f t="shared" si="16"/>
        <v>13800</v>
      </c>
      <c r="B148" s="27">
        <f t="shared" si="17"/>
        <v>399.84884136742266</v>
      </c>
    </row>
    <row r="149" spans="1:2" x14ac:dyDescent="0.4">
      <c r="A149" s="15">
        <f t="shared" si="16"/>
        <v>13900</v>
      </c>
      <c r="B149" s="27">
        <f t="shared" si="17"/>
        <v>399.99682477990586</v>
      </c>
    </row>
    <row r="150" spans="1:2" x14ac:dyDescent="0.4">
      <c r="A150" s="15">
        <f t="shared" si="16"/>
        <v>14000</v>
      </c>
      <c r="B150" s="27">
        <f t="shared" si="17"/>
        <v>400.14280138356611</v>
      </c>
    </row>
    <row r="151" spans="1:2" x14ac:dyDescent="0.4">
      <c r="A151" s="15">
        <f t="shared" si="16"/>
        <v>14100</v>
      </c>
      <c r="B151" s="27">
        <f t="shared" si="17"/>
        <v>400.28681172509488</v>
      </c>
    </row>
    <row r="152" spans="1:2" x14ac:dyDescent="0.4">
      <c r="A152" s="15">
        <f t="shared" si="16"/>
        <v>14200</v>
      </c>
      <c r="B152" s="27">
        <f t="shared" si="17"/>
        <v>400.42889526618654</v>
      </c>
    </row>
    <row r="153" spans="1:2" x14ac:dyDescent="0.4">
      <c r="A153" s="15">
        <f t="shared" si="16"/>
        <v>14300</v>
      </c>
      <c r="B153" s="27">
        <f t="shared" si="17"/>
        <v>400.56909041958977</v>
      </c>
    </row>
    <row r="154" spans="1:2" x14ac:dyDescent="0.4">
      <c r="A154" s="15">
        <f t="shared" si="16"/>
        <v>14400</v>
      </c>
      <c r="B154" s="27">
        <f t="shared" si="17"/>
        <v>400.70743458373005</v>
      </c>
    </row>
    <row r="155" spans="1:2" x14ac:dyDescent="0.4">
      <c r="A155" s="15">
        <f t="shared" si="16"/>
        <v>14500</v>
      </c>
      <c r="B155" s="27">
        <f t="shared" si="17"/>
        <v>400.84396417597043</v>
      </c>
    </row>
    <row r="156" spans="1:2" x14ac:dyDescent="0.4">
      <c r="A156" s="15">
        <f t="shared" si="16"/>
        <v>14600</v>
      </c>
      <c r="B156" s="27">
        <f t="shared" si="17"/>
        <v>400.97871466457184</v>
      </c>
    </row>
    <row r="157" spans="1:2" x14ac:dyDescent="0.4">
      <c r="A157" s="15">
        <f t="shared" si="16"/>
        <v>14700</v>
      </c>
      <c r="B157" s="27">
        <f t="shared" si="17"/>
        <v>401.11172059941214</v>
      </c>
    </row>
    <row r="158" spans="1:2" x14ac:dyDescent="0.4">
      <c r="A158" s="15">
        <f t="shared" si="16"/>
        <v>14800</v>
      </c>
      <c r="B158" s="27">
        <f t="shared" si="17"/>
        <v>401.24301564151955</v>
      </c>
    </row>
    <row r="159" spans="1:2" x14ac:dyDescent="0.4">
      <c r="A159" s="15">
        <f t="shared" si="16"/>
        <v>14900</v>
      </c>
      <c r="B159" s="27">
        <f t="shared" si="17"/>
        <v>401.37263259147386</v>
      </c>
    </row>
    <row r="160" spans="1:2" x14ac:dyDescent="0.4">
      <c r="A160" s="15">
        <f t="shared" si="16"/>
        <v>15000</v>
      </c>
      <c r="B160" s="27">
        <f t="shared" si="17"/>
        <v>401.50060341672548</v>
      </c>
    </row>
    <row r="161" spans="1:2" x14ac:dyDescent="0.4">
      <c r="A161" s="15">
        <f t="shared" si="16"/>
        <v>15100</v>
      </c>
      <c r="B161" s="27">
        <f t="shared" si="17"/>
        <v>401.62695927788025</v>
      </c>
    </row>
    <row r="162" spans="1:2" x14ac:dyDescent="0.4">
      <c r="A162" s="15">
        <f t="shared" si="16"/>
        <v>15200</v>
      </c>
      <c r="B162" s="27">
        <f t="shared" si="17"/>
        <v>401.75173055399523</v>
      </c>
    </row>
    <row r="163" spans="1:2" x14ac:dyDescent="0.4">
      <c r="A163" s="15">
        <f t="shared" si="16"/>
        <v>15300</v>
      </c>
      <c r="B163" s="27">
        <f t="shared" si="17"/>
        <v>401.87494686692901</v>
      </c>
    </row>
    <row r="164" spans="1:2" x14ac:dyDescent="0.4">
      <c r="A164" s="15">
        <f t="shared" si="16"/>
        <v>15400</v>
      </c>
      <c r="B164" s="27">
        <f t="shared" si="17"/>
        <v>401.99663710478688</v>
      </c>
    </row>
    <row r="165" spans="1:2" x14ac:dyDescent="0.4">
      <c r="A165" s="15">
        <f t="shared" si="16"/>
        <v>15500</v>
      </c>
      <c r="B165" s="27">
        <f t="shared" si="17"/>
        <v>402.11682944450075</v>
      </c>
    </row>
    <row r="166" spans="1:2" x14ac:dyDescent="0.4">
      <c r="A166" s="15">
        <f t="shared" si="16"/>
        <v>15600</v>
      </c>
      <c r="B166" s="27">
        <f t="shared" si="17"/>
        <v>402.23555137357977</v>
      </c>
    </row>
    <row r="167" spans="1:2" x14ac:dyDescent="0.4">
      <c r="A167" s="15">
        <f t="shared" si="16"/>
        <v>15700</v>
      </c>
      <c r="B167" s="27">
        <f t="shared" si="17"/>
        <v>402.35282971106795</v>
      </c>
    </row>
    <row r="168" spans="1:2" x14ac:dyDescent="0.4">
      <c r="A168" s="15">
        <f t="shared" si="16"/>
        <v>15800</v>
      </c>
      <c r="B168" s="27">
        <f t="shared" si="17"/>
        <v>402.46869062774175</v>
      </c>
    </row>
    <row r="169" spans="1:2" x14ac:dyDescent="0.4">
      <c r="A169" s="15">
        <f t="shared" si="16"/>
        <v>15900</v>
      </c>
      <c r="B169" s="27">
        <f t="shared" si="17"/>
        <v>402.58315966557973</v>
      </c>
    </row>
    <row r="170" spans="1:2" x14ac:dyDescent="0.4">
      <c r="A170" s="15">
        <f t="shared" si="16"/>
        <v>16000</v>
      </c>
      <c r="B170" s="27">
        <f t="shared" si="17"/>
        <v>402.69626175653474</v>
      </c>
    </row>
    <row r="171" spans="1:2" x14ac:dyDescent="0.4">
      <c r="A171" s="15">
        <f t="shared" si="16"/>
        <v>16100</v>
      </c>
      <c r="B171" s="27">
        <f t="shared" si="17"/>
        <v>402.80802124063752</v>
      </c>
    </row>
    <row r="172" spans="1:2" x14ac:dyDescent="0.4">
      <c r="A172" s="15">
        <f t="shared" si="16"/>
        <v>16200</v>
      </c>
      <c r="B172" s="27">
        <f t="shared" si="17"/>
        <v>402.91846188345966</v>
      </c>
    </row>
    <row r="173" spans="1:2" x14ac:dyDescent="0.4">
      <c r="A173" s="15">
        <f t="shared" si="16"/>
        <v>16300</v>
      </c>
      <c r="B173" s="27">
        <f t="shared" si="17"/>
        <v>403.0276068929615</v>
      </c>
    </row>
    <row r="174" spans="1:2" x14ac:dyDescent="0.4">
      <c r="A174" s="15">
        <f t="shared" si="16"/>
        <v>16400</v>
      </c>
      <c r="B174" s="27">
        <f t="shared" si="17"/>
        <v>403.13547893575083</v>
      </c>
    </row>
    <row r="175" spans="1:2" x14ac:dyDescent="0.4">
      <c r="A175" s="15">
        <f t="shared" si="16"/>
        <v>16500</v>
      </c>
      <c r="B175" s="27">
        <f t="shared" si="17"/>
        <v>403.24210015277629</v>
      </c>
    </row>
    <row r="176" spans="1:2" x14ac:dyDescent="0.4">
      <c r="A176" s="15">
        <f t="shared" si="16"/>
        <v>16600</v>
      </c>
      <c r="B176" s="27">
        <f t="shared" si="17"/>
        <v>403.34749217447711</v>
      </c>
    </row>
    <row r="177" spans="1:2" x14ac:dyDescent="0.4">
      <c r="A177" s="15">
        <f t="shared" si="16"/>
        <v>16700</v>
      </c>
      <c r="B177" s="27">
        <f t="shared" si="17"/>
        <v>403.45167613541304</v>
      </c>
    </row>
    <row r="178" spans="1:2" x14ac:dyDescent="0.4">
      <c r="A178" s="15">
        <f t="shared" si="16"/>
        <v>16800</v>
      </c>
      <c r="B178" s="27">
        <f t="shared" si="17"/>
        <v>403.55467268839294</v>
      </c>
    </row>
    <row r="179" spans="1:2" x14ac:dyDescent="0.4">
      <c r="A179" s="15">
        <f t="shared" si="16"/>
        <v>16900</v>
      </c>
      <c r="B179" s="27">
        <f t="shared" si="17"/>
        <v>403.65650201812406</v>
      </c>
    </row>
    <row r="180" spans="1:2" x14ac:dyDescent="0.4">
      <c r="A180" s="15">
        <f t="shared" si="16"/>
        <v>17000</v>
      </c>
      <c r="B180" s="27">
        <f t="shared" si="17"/>
        <v>403.75718385439893</v>
      </c>
    </row>
    <row r="181" spans="1:2" x14ac:dyDescent="0.4">
      <c r="A181" s="15">
        <f t="shared" si="16"/>
        <v>17100</v>
      </c>
      <c r="B181" s="27">
        <f t="shared" si="17"/>
        <v>403.85673748483981</v>
      </c>
    </row>
    <row r="182" spans="1:2" x14ac:dyDescent="0.4">
      <c r="A182" s="15">
        <f t="shared" si="16"/>
        <v>17200</v>
      </c>
      <c r="B182" s="27">
        <f t="shared" si="17"/>
        <v>403.9551817672164</v>
      </c>
    </row>
    <row r="183" spans="1:2" x14ac:dyDescent="0.4">
      <c r="A183" s="15">
        <f t="shared" si="16"/>
        <v>17300</v>
      </c>
      <c r="B183" s="27">
        <f t="shared" si="17"/>
        <v>404.05253514135444</v>
      </c>
    </row>
    <row r="184" spans="1:2" x14ac:dyDescent="0.4">
      <c r="A184" s="15">
        <f t="shared" si="16"/>
        <v>17400</v>
      </c>
      <c r="B184" s="27">
        <f t="shared" si="17"/>
        <v>404.14881564065053</v>
      </c>
    </row>
    <row r="185" spans="1:2" x14ac:dyDescent="0.4">
      <c r="A185" s="15">
        <f t="shared" si="16"/>
        <v>17500</v>
      </c>
      <c r="B185" s="27">
        <f t="shared" si="17"/>
        <v>404.24404090320826</v>
      </c>
    </row>
    <row r="186" spans="1:2" x14ac:dyDescent="0.4">
      <c r="A186" s="15">
        <f t="shared" si="16"/>
        <v>17600</v>
      </c>
      <c r="B186" s="27">
        <f t="shared" si="17"/>
        <v>404.33822818261035</v>
      </c>
    </row>
    <row r="187" spans="1:2" x14ac:dyDescent="0.4">
      <c r="A187" s="15">
        <f t="shared" si="16"/>
        <v>17700</v>
      </c>
      <c r="B187" s="27">
        <f t="shared" si="17"/>
        <v>404.43139435834019</v>
      </c>
    </row>
    <row r="188" spans="1:2" x14ac:dyDescent="0.4">
      <c r="A188" s="15">
        <f t="shared" si="16"/>
        <v>17800</v>
      </c>
      <c r="B188" s="27">
        <f t="shared" si="17"/>
        <v>404.52355594586641</v>
      </c>
    </row>
    <row r="189" spans="1:2" x14ac:dyDescent="0.4">
      <c r="A189" s="15">
        <f t="shared" si="16"/>
        <v>17900</v>
      </c>
      <c r="B189" s="27">
        <f t="shared" si="17"/>
        <v>404.61472910640305</v>
      </c>
    </row>
    <row r="190" spans="1:2" x14ac:dyDescent="0.4">
      <c r="A190" s="15">
        <f t="shared" si="16"/>
        <v>18000</v>
      </c>
      <c r="B190" s="27">
        <f t="shared" si="17"/>
        <v>404.70492965635719</v>
      </c>
    </row>
    <row r="191" spans="1:2" x14ac:dyDescent="0.4">
      <c r="A191" s="15">
        <f t="shared" si="16"/>
        <v>18100</v>
      </c>
      <c r="B191" s="27">
        <f t="shared" si="17"/>
        <v>404.79417307647606</v>
      </c>
    </row>
    <row r="192" spans="1:2" x14ac:dyDescent="0.4">
      <c r="A192" s="15">
        <f t="shared" si="16"/>
        <v>18200</v>
      </c>
      <c r="B192" s="27">
        <f t="shared" si="17"/>
        <v>404.88247452070425</v>
      </c>
    </row>
    <row r="193" spans="1:2" x14ac:dyDescent="0.4">
      <c r="A193" s="15">
        <f t="shared" si="16"/>
        <v>18300</v>
      </c>
      <c r="B193" s="27">
        <f t="shared" si="17"/>
        <v>404.9698488247621</v>
      </c>
    </row>
    <row r="194" spans="1:2" x14ac:dyDescent="0.4">
      <c r="A194" s="15">
        <f t="shared" si="16"/>
        <v>18400</v>
      </c>
      <c r="B194" s="27">
        <f t="shared" si="17"/>
        <v>405.05631051445516</v>
      </c>
    </row>
    <row r="195" spans="1:2" x14ac:dyDescent="0.4">
      <c r="A195" s="15">
        <f t="shared" si="16"/>
        <v>18500</v>
      </c>
      <c r="B195" s="27">
        <f t="shared" si="17"/>
        <v>405.14187381372494</v>
      </c>
    </row>
    <row r="196" spans="1:2" x14ac:dyDescent="0.4">
      <c r="A196" s="15">
        <f t="shared" si="16"/>
        <v>18600</v>
      </c>
      <c r="B196" s="27">
        <f t="shared" si="17"/>
        <v>405.22655265244936</v>
      </c>
    </row>
    <row r="197" spans="1:2" x14ac:dyDescent="0.4">
      <c r="A197" s="15">
        <f t="shared" si="16"/>
        <v>18700</v>
      </c>
      <c r="B197" s="27">
        <f t="shared" si="17"/>
        <v>405.31036067400345</v>
      </c>
    </row>
    <row r="198" spans="1:2" x14ac:dyDescent="0.4">
      <c r="A198" s="15">
        <f t="shared" si="16"/>
        <v>18800</v>
      </c>
      <c r="B198" s="27">
        <f t="shared" si="17"/>
        <v>405.39331124258712</v>
      </c>
    </row>
    <row r="199" spans="1:2" x14ac:dyDescent="0.4">
      <c r="A199" s="15">
        <f t="shared" si="16"/>
        <v>18900</v>
      </c>
      <c r="B199" s="27">
        <f t="shared" si="17"/>
        <v>405.47541745032964</v>
      </c>
    </row>
    <row r="200" spans="1:2" x14ac:dyDescent="0.4">
      <c r="A200" s="15">
        <f t="shared" si="16"/>
        <v>19000</v>
      </c>
      <c r="B200" s="27">
        <f t="shared" si="17"/>
        <v>405.55669212417808</v>
      </c>
    </row>
    <row r="201" spans="1:2" x14ac:dyDescent="0.4">
      <c r="A201" s="15">
        <f t="shared" si="16"/>
        <v>19100</v>
      </c>
      <c r="B201" s="27">
        <f t="shared" si="17"/>
        <v>405.63714783257785</v>
      </c>
    </row>
    <row r="202" spans="1:2" x14ac:dyDescent="0.4">
      <c r="A202" s="15">
        <f t="shared" si="16"/>
        <v>19200</v>
      </c>
      <c r="B202" s="27">
        <f t="shared" si="17"/>
        <v>405.71679689195167</v>
      </c>
    </row>
    <row r="203" spans="1:2" x14ac:dyDescent="0.4">
      <c r="A203" s="15">
        <f t="shared" si="16"/>
        <v>19300</v>
      </c>
      <c r="B203" s="27">
        <f t="shared" si="17"/>
        <v>405.79565137298533</v>
      </c>
    </row>
    <row r="204" spans="1:2" x14ac:dyDescent="0.4">
      <c r="A204" s="2"/>
      <c r="B204" s="3"/>
    </row>
    <row r="205" spans="1:2" x14ac:dyDescent="0.4">
      <c r="A205" s="2"/>
      <c r="B205" s="3"/>
    </row>
    <row r="206" spans="1:2" x14ac:dyDescent="0.4">
      <c r="A206" s="2"/>
      <c r="B206" s="3"/>
    </row>
    <row r="207" spans="1:2" x14ac:dyDescent="0.4">
      <c r="A207" s="2"/>
      <c r="B207" s="3"/>
    </row>
    <row r="208" spans="1:2" x14ac:dyDescent="0.4">
      <c r="A208" s="2"/>
      <c r="B208" s="3"/>
    </row>
    <row r="209" spans="1:2" x14ac:dyDescent="0.4">
      <c r="A209" s="2"/>
      <c r="B209" s="3"/>
    </row>
    <row r="210" spans="1:2" x14ac:dyDescent="0.4">
      <c r="A210" s="2"/>
      <c r="B210" s="3"/>
    </row>
    <row r="211" spans="1:2" x14ac:dyDescent="0.4">
      <c r="A211" s="2"/>
      <c r="B211" s="3"/>
    </row>
    <row r="212" spans="1:2" x14ac:dyDescent="0.4">
      <c r="A212" s="2"/>
      <c r="B212" s="3"/>
    </row>
    <row r="213" spans="1:2" x14ac:dyDescent="0.4">
      <c r="A213" s="2"/>
      <c r="B213" s="3"/>
    </row>
    <row r="214" spans="1:2" x14ac:dyDescent="0.4">
      <c r="A214" s="2"/>
      <c r="B214" s="3"/>
    </row>
    <row r="215" spans="1:2" x14ac:dyDescent="0.4">
      <c r="A215" s="2"/>
      <c r="B215" s="3"/>
    </row>
    <row r="216" spans="1:2" x14ac:dyDescent="0.4">
      <c r="A216" s="2"/>
      <c r="B216" s="3"/>
    </row>
    <row r="217" spans="1:2" x14ac:dyDescent="0.4">
      <c r="A217" s="2"/>
      <c r="B217" s="3"/>
    </row>
    <row r="218" spans="1:2" x14ac:dyDescent="0.4">
      <c r="A218" s="2"/>
      <c r="B218" s="3"/>
    </row>
    <row r="219" spans="1:2" x14ac:dyDescent="0.4">
      <c r="A219" s="2"/>
      <c r="B219" s="3"/>
    </row>
    <row r="220" spans="1:2" x14ac:dyDescent="0.4">
      <c r="A220" s="2"/>
      <c r="B220" s="3"/>
    </row>
    <row r="221" spans="1:2" x14ac:dyDescent="0.4">
      <c r="A221" s="2"/>
      <c r="B221" s="3"/>
    </row>
    <row r="222" spans="1:2" x14ac:dyDescent="0.4">
      <c r="A222" s="2"/>
      <c r="B222" s="3"/>
    </row>
    <row r="223" spans="1:2" x14ac:dyDescent="0.4">
      <c r="A223" s="2"/>
      <c r="B223" s="3"/>
    </row>
    <row r="224" spans="1:2" x14ac:dyDescent="0.4">
      <c r="A224" s="2"/>
      <c r="B224" s="3"/>
    </row>
    <row r="225" spans="1:2" x14ac:dyDescent="0.4">
      <c r="A225" s="2"/>
      <c r="B225" s="3"/>
    </row>
    <row r="226" spans="1:2" x14ac:dyDescent="0.4">
      <c r="A226" s="2"/>
      <c r="B226" s="3"/>
    </row>
    <row r="227" spans="1:2" x14ac:dyDescent="0.4">
      <c r="A227" s="2"/>
      <c r="B227" s="3"/>
    </row>
    <row r="228" spans="1:2" x14ac:dyDescent="0.4">
      <c r="A228" s="2"/>
      <c r="B228" s="3"/>
    </row>
    <row r="229" spans="1:2" x14ac:dyDescent="0.4">
      <c r="A229" s="2"/>
      <c r="B229" s="3"/>
    </row>
    <row r="230" spans="1:2" x14ac:dyDescent="0.4">
      <c r="A230" s="2"/>
      <c r="B230" s="3"/>
    </row>
    <row r="231" spans="1:2" x14ac:dyDescent="0.4">
      <c r="A231" s="2"/>
      <c r="B231" s="3"/>
    </row>
    <row r="1048576" spans="18:18" x14ac:dyDescent="0.4">
      <c r="R1048576" s="28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DF89E3-B1DB-4550-A8F6-99D6EACDBD0D}">
  <dimension ref="A1:AT61"/>
  <sheetViews>
    <sheetView topLeftCell="Y13" zoomScale="70" zoomScaleNormal="70" workbookViewId="0">
      <selection activeCell="AC14" sqref="AC14"/>
    </sheetView>
  </sheetViews>
  <sheetFormatPr defaultRowHeight="14.6" x14ac:dyDescent="0.4"/>
  <cols>
    <col min="3" max="6" width="14.23046875" customWidth="1"/>
    <col min="7" max="8" width="15.69140625" customWidth="1"/>
    <col min="9" max="10" width="13.765625" customWidth="1"/>
    <col min="11" max="15" width="13.4609375" customWidth="1"/>
    <col min="16" max="19" width="13.4609375" style="2" customWidth="1"/>
    <col min="20" max="20" width="13.3046875" customWidth="1"/>
    <col min="21" max="23" width="13.765625" customWidth="1"/>
    <col min="24" max="25" width="13.3046875" customWidth="1"/>
    <col min="26" max="26" width="12" customWidth="1"/>
    <col min="27" max="27" width="11.84375" customWidth="1"/>
    <col min="28" max="30" width="12.4609375" customWidth="1"/>
    <col min="31" max="31" width="13.3046875" customWidth="1"/>
    <col min="32" max="33" width="15.53515625" customWidth="1"/>
    <col min="34" max="35" width="14.07421875" customWidth="1"/>
    <col min="36" max="36" width="15.765625" customWidth="1"/>
    <col min="37" max="41" width="10.53515625" customWidth="1"/>
    <col min="42" max="42" width="13.53515625" customWidth="1"/>
    <col min="43" max="46" width="10.53515625" customWidth="1"/>
  </cols>
  <sheetData>
    <row r="1" spans="1:46" ht="26.6" thickBot="1" x14ac:dyDescent="0.75">
      <c r="A1" s="17" t="s">
        <v>60</v>
      </c>
      <c r="Q1" s="2" t="s">
        <v>61</v>
      </c>
      <c r="T1" s="68" t="s">
        <v>62</v>
      </c>
      <c r="U1" s="68"/>
      <c r="V1" s="68"/>
      <c r="AA1" s="30"/>
      <c r="AB1" s="69" t="s">
        <v>63</v>
      </c>
      <c r="AC1" s="69"/>
      <c r="AD1" s="70"/>
    </row>
    <row r="2" spans="1:46" ht="29.6" thickBot="1" x14ac:dyDescent="0.45">
      <c r="C2" s="22" t="s">
        <v>33</v>
      </c>
      <c r="D2" s="22"/>
      <c r="P2" s="2" t="s">
        <v>64</v>
      </c>
      <c r="Q2" s="23" t="s">
        <v>65</v>
      </c>
      <c r="R2" s="23" t="s">
        <v>66</v>
      </c>
      <c r="S2" s="23" t="s">
        <v>67</v>
      </c>
      <c r="T2" s="23" t="s">
        <v>65</v>
      </c>
      <c r="U2" s="23" t="s">
        <v>66</v>
      </c>
      <c r="V2" s="23" t="s">
        <v>67</v>
      </c>
      <c r="W2" s="23" t="s">
        <v>68</v>
      </c>
      <c r="AA2" s="31" t="s">
        <v>64</v>
      </c>
      <c r="AB2" s="32" t="s">
        <v>69</v>
      </c>
      <c r="AC2" s="32" t="s">
        <v>70</v>
      </c>
      <c r="AD2" s="33" t="s">
        <v>71</v>
      </c>
    </row>
    <row r="3" spans="1:46" x14ac:dyDescent="0.4">
      <c r="C3" s="22"/>
      <c r="D3" s="22"/>
      <c r="P3" s="2" t="s">
        <v>72</v>
      </c>
      <c r="Q3" s="34">
        <f>AVERAGE(T16:T59)</f>
        <v>30453.188638477059</v>
      </c>
      <c r="R3" s="34">
        <f>AVERAGE(U16:U59)</f>
        <v>40705.349100124593</v>
      </c>
      <c r="S3" s="34">
        <f>AVERAGE(V16:V59)</f>
        <v>13627.88317076511</v>
      </c>
      <c r="T3" s="35">
        <f t="shared" ref="T3:V7" si="0">1/Q3</f>
        <v>3.283728386775623E-5</v>
      </c>
      <c r="U3" s="35">
        <f t="shared" si="0"/>
        <v>2.4566795816939428E-5</v>
      </c>
      <c r="V3" s="35">
        <f t="shared" si="0"/>
        <v>7.3378967772869236E-5</v>
      </c>
      <c r="W3" s="35">
        <f>SUM(T3:V3)</f>
        <v>1.3078304745756488E-4</v>
      </c>
      <c r="AA3" s="36" t="s">
        <v>73</v>
      </c>
      <c r="AB3" s="28">
        <f>$T$4/$W$4</f>
        <v>0.14606315182300858</v>
      </c>
      <c r="AC3" s="28">
        <f>$U$4/$W$4</f>
        <v>0.11072917626465151</v>
      </c>
      <c r="AD3" s="37">
        <f>$V$4/$W$4</f>
        <v>0.74320767191233983</v>
      </c>
      <c r="AE3" s="3">
        <f t="shared" ref="AE3:AE7" si="1">SUM(AB3:AD3)</f>
        <v>0.99999999999999989</v>
      </c>
      <c r="AF3" s="22" t="s">
        <v>33</v>
      </c>
      <c r="AG3" s="22"/>
      <c r="AH3" s="21" t="s">
        <v>74</v>
      </c>
      <c r="AI3" t="s">
        <v>39</v>
      </c>
    </row>
    <row r="4" spans="1:46" x14ac:dyDescent="0.4">
      <c r="C4" s="21" t="s">
        <v>34</v>
      </c>
      <c r="D4" s="19">
        <v>0.87</v>
      </c>
      <c r="P4" s="2" t="s">
        <v>73</v>
      </c>
      <c r="Q4" s="7">
        <f>AVERAGE(T16:T31)</f>
        <v>71706.61513298229</v>
      </c>
      <c r="R4" s="7">
        <f>AVERAGE(U16:U31)</f>
        <v>94588.387326659751</v>
      </c>
      <c r="S4" s="7">
        <f>AVERAGE(V16:V31)</f>
        <v>14092.553950543977</v>
      </c>
      <c r="T4" s="35">
        <f t="shared" si="0"/>
        <v>1.3945714745361595E-5</v>
      </c>
      <c r="U4" s="35">
        <f t="shared" si="0"/>
        <v>1.0572122310812987E-5</v>
      </c>
      <c r="V4" s="35">
        <f t="shared" si="0"/>
        <v>7.0959458697789817E-5</v>
      </c>
      <c r="W4" s="35">
        <f>SUM(T4:V4)</f>
        <v>9.5477295753964404E-5</v>
      </c>
      <c r="AA4" s="36" t="s">
        <v>75</v>
      </c>
      <c r="AB4" s="28">
        <f>$T$6/$W$6</f>
        <v>0.16615231817417156</v>
      </c>
      <c r="AC4" s="28">
        <f>$U$6/$W$6</f>
        <v>0.12340470487738218</v>
      </c>
      <c r="AD4" s="37">
        <f>$V$6/$W$6</f>
        <v>0.71044297694844627</v>
      </c>
      <c r="AE4" s="3">
        <f t="shared" si="1"/>
        <v>1</v>
      </c>
      <c r="AF4" s="21" t="s">
        <v>34</v>
      </c>
      <c r="AG4" s="19">
        <v>0.87</v>
      </c>
      <c r="AH4" s="21" t="s">
        <v>41</v>
      </c>
      <c r="AI4" t="s">
        <v>42</v>
      </c>
    </row>
    <row r="5" spans="1:46" x14ac:dyDescent="0.4">
      <c r="C5" s="21" t="s">
        <v>35</v>
      </c>
      <c r="D5" s="2">
        <v>405.779</v>
      </c>
      <c r="P5" s="2" t="s">
        <v>76</v>
      </c>
      <c r="Q5" s="7">
        <f>AVERAGE(T32:T59)</f>
        <v>6879.8020701883379</v>
      </c>
      <c r="R5" s="7">
        <f>AVERAGE(U32:U59)</f>
        <v>9915.0415421045072</v>
      </c>
      <c r="S5" s="7">
        <f>AVERAGE(V32:V59)</f>
        <v>13362.357010891472</v>
      </c>
      <c r="T5" s="35">
        <f t="shared" si="0"/>
        <v>1.4535301885111129E-4</v>
      </c>
      <c r="U5" s="35">
        <f t="shared" si="0"/>
        <v>1.0085686436647505E-4</v>
      </c>
      <c r="V5" s="35">
        <f t="shared" si="0"/>
        <v>7.4837096418312572E-5</v>
      </c>
      <c r="W5" s="35">
        <f t="shared" ref="W5:W7" si="2">SUM(T5:V5)</f>
        <v>3.2104697963589895E-4</v>
      </c>
      <c r="AA5" s="36" t="s">
        <v>72</v>
      </c>
      <c r="AB5" s="28">
        <f>$T$3/$W$3</f>
        <v>0.2510821127517382</v>
      </c>
      <c r="AC5" s="28">
        <f>$U$3/$W$3</f>
        <v>0.18784388569099986</v>
      </c>
      <c r="AD5" s="37">
        <f>$V$3/$W$3</f>
        <v>0.56107400155726206</v>
      </c>
      <c r="AE5" s="3">
        <f t="shared" si="1"/>
        <v>1</v>
      </c>
      <c r="AF5" s="21" t="s">
        <v>35</v>
      </c>
      <c r="AG5" s="2">
        <v>405.779</v>
      </c>
    </row>
    <row r="6" spans="1:46" x14ac:dyDescent="0.4">
      <c r="C6" s="21" t="s">
        <v>77</v>
      </c>
      <c r="D6" s="2">
        <v>19278.8</v>
      </c>
      <c r="P6" s="2" t="s">
        <v>75</v>
      </c>
      <c r="Q6" s="7">
        <f>AVERAGE(T16:T39)</f>
        <v>51161.679376166045</v>
      </c>
      <c r="R6" s="7">
        <f>AVERAGE(U16:U39)</f>
        <v>68884.177783011764</v>
      </c>
      <c r="S6" s="7">
        <f>AVERAGE(V16:V39)</f>
        <v>11965.255348918095</v>
      </c>
      <c r="T6" s="35">
        <f t="shared" si="0"/>
        <v>1.9545879107046192E-5</v>
      </c>
      <c r="U6" s="35">
        <f t="shared" si="0"/>
        <v>1.4517121814969538E-5</v>
      </c>
      <c r="V6" s="35">
        <f t="shared" si="0"/>
        <v>8.3575316266896094E-5</v>
      </c>
      <c r="W6" s="35">
        <f t="shared" si="2"/>
        <v>1.1763831718891181E-4</v>
      </c>
      <c r="AA6" s="36" t="s">
        <v>76</v>
      </c>
      <c r="AB6" s="28">
        <f>$T$5/$W$5</f>
        <v>0.45274688151857684</v>
      </c>
      <c r="AC6" s="28">
        <f>$U$5/$W$5</f>
        <v>0.31414986205712742</v>
      </c>
      <c r="AD6" s="37">
        <f>$V$5/$W$5</f>
        <v>0.23310325642429564</v>
      </c>
      <c r="AE6" s="3">
        <f t="shared" si="1"/>
        <v>0.99999999999999989</v>
      </c>
      <c r="AF6" s="21" t="s">
        <v>77</v>
      </c>
      <c r="AG6" s="2">
        <v>19278.8</v>
      </c>
    </row>
    <row r="7" spans="1:46" ht="15" thickBot="1" x14ac:dyDescent="0.45">
      <c r="C7" s="21" t="s">
        <v>78</v>
      </c>
      <c r="D7" s="38">
        <f>D5/D6</f>
        <v>2.1047938668381849E-2</v>
      </c>
      <c r="P7" s="2" t="s">
        <v>79</v>
      </c>
      <c r="Q7" s="7">
        <f>AVERAGE(T40:T59)</f>
        <v>5602.9997532502503</v>
      </c>
      <c r="R7" s="7">
        <f>AVERAGE(U40:U59)</f>
        <v>6890.754680660003</v>
      </c>
      <c r="S7" s="7">
        <f>AVERAGE(V40:V59)</f>
        <v>15623.036556981524</v>
      </c>
      <c r="T7" s="35">
        <f t="shared" si="0"/>
        <v>1.7847582438673299E-4</v>
      </c>
      <c r="U7" s="35">
        <f t="shared" si="0"/>
        <v>1.4512198537653049E-4</v>
      </c>
      <c r="V7" s="35">
        <f t="shared" si="0"/>
        <v>6.4008043273324243E-5</v>
      </c>
      <c r="W7" s="35">
        <f t="shared" si="2"/>
        <v>3.8760585303658772E-4</v>
      </c>
      <c r="AA7" s="39" t="s">
        <v>79</v>
      </c>
      <c r="AB7" s="40">
        <f>$T$7/$W$7</f>
        <v>0.46045698997709905</v>
      </c>
      <c r="AC7" s="40">
        <f>$U$7/$W$7</f>
        <v>0.37440607317875518</v>
      </c>
      <c r="AD7" s="41">
        <f>$V$7/$W$7</f>
        <v>0.16513693684414579</v>
      </c>
      <c r="AE7" s="3">
        <f t="shared" si="1"/>
        <v>1</v>
      </c>
      <c r="AF7" s="21" t="s">
        <v>78</v>
      </c>
      <c r="AG7" s="38">
        <f>AG5/AG6</f>
        <v>2.1047938668381849E-2</v>
      </c>
    </row>
    <row r="8" spans="1:46" ht="43.75" x14ac:dyDescent="0.4">
      <c r="W8" s="42" t="s">
        <v>80</v>
      </c>
      <c r="X8" s="42" t="s">
        <v>81</v>
      </c>
      <c r="Y8" s="42" t="s">
        <v>82</v>
      </c>
      <c r="AF8" s="42" t="s">
        <v>83</v>
      </c>
      <c r="AH8" s="22"/>
    </row>
    <row r="9" spans="1:46" x14ac:dyDescent="0.4">
      <c r="D9" s="43" t="s">
        <v>84</v>
      </c>
      <c r="I9" s="43" t="s">
        <v>85</v>
      </c>
      <c r="W9" s="7">
        <f>C57</f>
        <v>176.89529656342353</v>
      </c>
      <c r="X9" s="7">
        <f>G57</f>
        <v>135.36581080558591</v>
      </c>
      <c r="Y9" s="7">
        <f>AVERAGE(Z16:Z57)</f>
        <v>302.61055526521216</v>
      </c>
      <c r="AF9" s="7">
        <f>AVERAGE(AC16:AC57)</f>
        <v>284.16189155523676</v>
      </c>
    </row>
    <row r="10" spans="1:46" x14ac:dyDescent="0.4">
      <c r="D10" s="2"/>
      <c r="E10" s="2" t="s">
        <v>86</v>
      </c>
      <c r="F10" s="2" t="s">
        <v>87</v>
      </c>
      <c r="G10" s="2" t="s">
        <v>88</v>
      </c>
      <c r="I10" s="2"/>
      <c r="J10" s="2" t="s">
        <v>86</v>
      </c>
      <c r="K10" s="2" t="s">
        <v>87</v>
      </c>
      <c r="L10" s="2" t="s">
        <v>88</v>
      </c>
      <c r="M10" s="2"/>
      <c r="N10" s="2"/>
      <c r="O10" s="2"/>
      <c r="W10" s="7"/>
      <c r="X10" s="7" t="s">
        <v>89</v>
      </c>
      <c r="Y10" s="7">
        <f>STDEV(Z16:Z57)</f>
        <v>41.185597379392817</v>
      </c>
      <c r="Z10" s="7"/>
      <c r="AC10" s="7"/>
    </row>
    <row r="11" spans="1:46" x14ac:dyDescent="0.4">
      <c r="D11" s="2" t="s">
        <v>86</v>
      </c>
      <c r="E11" s="44">
        <f>_xlfn.COVARIANCE.S(T$16:T$38,T$16:T$38 )</f>
        <v>2132346940.106662</v>
      </c>
      <c r="F11" s="44">
        <f>_xlfn.COVARIANCE.S(T$16:T$38,U$16:U$38 )</f>
        <v>2579718518.0402932</v>
      </c>
      <c r="G11" s="44">
        <f>_xlfn.COVARIANCE.S(T$16:T$38,V$16:V$38 )</f>
        <v>457335912.74786568</v>
      </c>
      <c r="I11" s="2" t="s">
        <v>86</v>
      </c>
      <c r="J11" s="28">
        <f>CORREL(T$16:T$38,T$16:T$38 )</f>
        <v>0.99999999999999989</v>
      </c>
      <c r="K11" s="28">
        <f>CORREL(T$16:T$38,U$16:U$38 )</f>
        <v>0.99830945290501494</v>
      </c>
      <c r="L11" s="28">
        <f>CORREL(T$16:T$38,V$16:V$38 )</f>
        <v>0.67371384701057857</v>
      </c>
      <c r="M11" s="28"/>
      <c r="N11" s="28"/>
      <c r="O11" s="28"/>
      <c r="W11" s="7"/>
      <c r="X11" s="7" t="s">
        <v>90</v>
      </c>
      <c r="Y11" s="4">
        <f>Y10/Y9</f>
        <v>0.13610099404264725</v>
      </c>
      <c r="Z11" s="7"/>
      <c r="AC11" s="7"/>
    </row>
    <row r="12" spans="1:46" ht="15" thickBot="1" x14ac:dyDescent="0.45">
      <c r="D12" s="2" t="s">
        <v>87</v>
      </c>
      <c r="E12" s="44">
        <f>F11</f>
        <v>2579718518.0402932</v>
      </c>
      <c r="F12" s="44">
        <f>_xlfn.COVARIANCE.S(U$16:U$38,U$16:U$38 )</f>
        <v>3131528785.9105945</v>
      </c>
      <c r="G12" s="44">
        <f>_xlfn.COVARIANCE.S(U$16:U$38,V$16:V$38 )</f>
        <v>522131219.46511453</v>
      </c>
      <c r="I12" s="2" t="s">
        <v>87</v>
      </c>
      <c r="J12" s="28">
        <f>K11</f>
        <v>0.99830945290501494</v>
      </c>
      <c r="K12" s="28">
        <f>CORREL(U$16:U$38,U$16:U$38 )</f>
        <v>1.0000000000000002</v>
      </c>
      <c r="L12" s="28">
        <f>CORREL(U$16:U$38,V$16:V$38 )</f>
        <v>0.63470301089145675</v>
      </c>
      <c r="M12" s="28"/>
      <c r="N12" s="28"/>
      <c r="O12" s="28"/>
      <c r="W12" s="7"/>
      <c r="X12" s="7"/>
      <c r="Y12" s="7"/>
      <c r="Z12" s="7"/>
      <c r="AC12" s="7"/>
    </row>
    <row r="13" spans="1:46" ht="15" thickBot="1" x14ac:dyDescent="0.45">
      <c r="D13" s="2" t="s">
        <v>88</v>
      </c>
      <c r="E13" s="44">
        <f>G11</f>
        <v>457335912.74786568</v>
      </c>
      <c r="F13" s="44">
        <f>G12</f>
        <v>522131219.46511453</v>
      </c>
      <c r="G13" s="44">
        <f>_xlfn.COVARIANCE.S(V$16:V$38,V$16:V$38 )</f>
        <v>216103498.49406564</v>
      </c>
      <c r="I13" s="2" t="s">
        <v>88</v>
      </c>
      <c r="J13" s="28">
        <f>L11</f>
        <v>0.67371384701057857</v>
      </c>
      <c r="K13" s="28">
        <f>L12</f>
        <v>0.63470301089145675</v>
      </c>
      <c r="L13" s="28">
        <f>CORREL(V$16:V$38,V$16:V$38 )</f>
        <v>1</v>
      </c>
      <c r="M13" s="71" t="s">
        <v>91</v>
      </c>
      <c r="N13" s="72"/>
      <c r="O13" s="73"/>
      <c r="P13" s="71" t="s">
        <v>91</v>
      </c>
      <c r="Q13" s="72"/>
      <c r="R13" s="73"/>
      <c r="T13" s="71" t="s">
        <v>91</v>
      </c>
      <c r="U13" s="72"/>
      <c r="V13" s="73"/>
      <c r="W13" s="7"/>
      <c r="X13" s="7"/>
      <c r="Y13" s="7"/>
      <c r="Z13" s="7"/>
      <c r="AC13" s="57" t="s">
        <v>144</v>
      </c>
    </row>
    <row r="14" spans="1:46" ht="15" thickBot="1" x14ac:dyDescent="0.45">
      <c r="M14" s="45" t="s">
        <v>86</v>
      </c>
      <c r="N14" s="46" t="s">
        <v>87</v>
      </c>
      <c r="O14" s="47" t="s">
        <v>88</v>
      </c>
      <c r="P14" s="45" t="s">
        <v>86</v>
      </c>
      <c r="Q14" s="46" t="s">
        <v>87</v>
      </c>
      <c r="R14" s="47" t="s">
        <v>88</v>
      </c>
      <c r="S14" s="38"/>
      <c r="T14" s="45" t="s">
        <v>86</v>
      </c>
      <c r="U14" s="46" t="s">
        <v>87</v>
      </c>
      <c r="V14" s="47" t="s">
        <v>88</v>
      </c>
      <c r="AC14" s="57">
        <f>AVERAGE(AC39:AC57)</f>
        <v>177.40429189463305</v>
      </c>
    </row>
    <row r="15" spans="1:46" s="51" customFormat="1" ht="131.15" x14ac:dyDescent="0.4">
      <c r="A15" s="42" t="s">
        <v>92</v>
      </c>
      <c r="B15" s="42" t="s">
        <v>93</v>
      </c>
      <c r="C15" s="42" t="s">
        <v>94</v>
      </c>
      <c r="D15" s="42" t="s">
        <v>95</v>
      </c>
      <c r="E15" s="42" t="s">
        <v>96</v>
      </c>
      <c r="F15" s="42" t="s">
        <v>97</v>
      </c>
      <c r="G15" s="42" t="s">
        <v>98</v>
      </c>
      <c r="H15" s="42" t="s">
        <v>99</v>
      </c>
      <c r="I15" s="42" t="s">
        <v>100</v>
      </c>
      <c r="J15" s="42" t="s">
        <v>101</v>
      </c>
      <c r="K15" s="42" t="s">
        <v>92</v>
      </c>
      <c r="L15" s="42" t="s">
        <v>93</v>
      </c>
      <c r="M15" s="48" t="s">
        <v>102</v>
      </c>
      <c r="N15" s="49" t="s">
        <v>103</v>
      </c>
      <c r="O15" s="50" t="s">
        <v>104</v>
      </c>
      <c r="P15" s="48" t="s">
        <v>105</v>
      </c>
      <c r="Q15" s="49" t="s">
        <v>106</v>
      </c>
      <c r="R15" s="50" t="s">
        <v>107</v>
      </c>
      <c r="S15" s="42" t="s">
        <v>108</v>
      </c>
      <c r="T15" s="48" t="s">
        <v>109</v>
      </c>
      <c r="U15" s="49" t="s">
        <v>110</v>
      </c>
      <c r="V15" s="50" t="s">
        <v>111</v>
      </c>
      <c r="W15" s="42" t="s">
        <v>112</v>
      </c>
      <c r="X15" s="42" t="s">
        <v>113</v>
      </c>
      <c r="Y15" s="42" t="s">
        <v>114</v>
      </c>
      <c r="Z15" s="42" t="s">
        <v>115</v>
      </c>
      <c r="AA15" s="42" t="s">
        <v>92</v>
      </c>
      <c r="AB15" s="42" t="s">
        <v>93</v>
      </c>
      <c r="AC15" s="42" t="s">
        <v>116</v>
      </c>
      <c r="AD15" s="42" t="s">
        <v>117</v>
      </c>
      <c r="AE15" s="42" t="s">
        <v>118</v>
      </c>
      <c r="AF15" s="42" t="s">
        <v>119</v>
      </c>
      <c r="AG15" s="42" t="s">
        <v>120</v>
      </c>
      <c r="AH15" s="42" t="s">
        <v>121</v>
      </c>
      <c r="AI15" s="42" t="s">
        <v>122</v>
      </c>
      <c r="AJ15" s="42" t="s">
        <v>123</v>
      </c>
      <c r="AK15" s="42" t="s">
        <v>124</v>
      </c>
      <c r="AL15" s="42" t="s">
        <v>125</v>
      </c>
      <c r="AM15" s="42" t="s">
        <v>126</v>
      </c>
      <c r="AN15" s="42" t="s">
        <v>127</v>
      </c>
      <c r="AO15" s="42" t="s">
        <v>128</v>
      </c>
      <c r="AP15" s="42" t="s">
        <v>129</v>
      </c>
      <c r="AQ15" s="42" t="s">
        <v>130</v>
      </c>
      <c r="AR15" s="42" t="s">
        <v>131</v>
      </c>
      <c r="AS15" s="42" t="s">
        <v>132</v>
      </c>
      <c r="AT15" s="42" t="s">
        <v>133</v>
      </c>
    </row>
    <row r="16" spans="1:46" x14ac:dyDescent="0.4">
      <c r="A16" s="2">
        <v>1977</v>
      </c>
      <c r="B16" s="2">
        <v>1978</v>
      </c>
      <c r="K16" s="2">
        <v>1977</v>
      </c>
      <c r="L16" s="2">
        <v>1978</v>
      </c>
      <c r="M16" s="3">
        <f>P16/$S16</f>
        <v>3.6824108030448555E-2</v>
      </c>
      <c r="N16" s="3">
        <f t="shared" ref="N16:O31" si="3">Q16/$S16</f>
        <v>2.6689457243825432E-2</v>
      </c>
      <c r="O16" s="3">
        <f t="shared" si="3"/>
        <v>0.9364864347257259</v>
      </c>
      <c r="P16" s="2">
        <f>1/T16</f>
        <v>1.7679072080689309E-5</v>
      </c>
      <c r="Q16" s="2">
        <f t="shared" ref="Q16:R31" si="4">1/U16</f>
        <v>1.2813476378515764E-5</v>
      </c>
      <c r="R16" s="2">
        <f t="shared" si="4"/>
        <v>4.4960250410991913E-4</v>
      </c>
      <c r="S16" s="2">
        <f>SUM(P16:R16)</f>
        <v>4.8009505256912423E-4</v>
      </c>
      <c r="T16" s="52">
        <f>W16^2</f>
        <v>56564.05468770564</v>
      </c>
      <c r="U16" s="53">
        <f t="shared" ref="U16:V31" si="5">X16^2</f>
        <v>78042.833221801586</v>
      </c>
      <c r="V16" s="54">
        <f t="shared" si="5"/>
        <v>2224.1869003370125</v>
      </c>
      <c r="W16" s="7">
        <f>AC16-$W$9</f>
        <v>237.83198836091339</v>
      </c>
      <c r="X16" s="7">
        <f>AC16-$X$9</f>
        <v>279.361474118751</v>
      </c>
      <c r="Y16" s="7">
        <f>AC16-Z16</f>
        <v>47.161286033536157</v>
      </c>
      <c r="Z16" s="7">
        <v>367.56599889080076</v>
      </c>
      <c r="AA16" s="2">
        <v>1977</v>
      </c>
      <c r="AB16" s="2">
        <v>1978</v>
      </c>
      <c r="AC16" s="7">
        <v>414.72728492433691</v>
      </c>
      <c r="AD16" s="7">
        <v>210.2064676990789</v>
      </c>
      <c r="AE16" s="4">
        <f t="shared" ref="AE16:AE59" si="6">AC16/$AG$5</f>
        <v>1.0220521143882184</v>
      </c>
      <c r="AF16" s="7">
        <v>5096.18</v>
      </c>
      <c r="AG16" s="4">
        <f t="shared" ref="AG16:AG59" si="7">AF16/$AG$6</f>
        <v>0.26434114156482769</v>
      </c>
      <c r="AH16" s="38">
        <v>8.1380030714051879E-2</v>
      </c>
      <c r="AI16" s="7">
        <f t="shared" ref="AI16:AI59" si="8">AH16/$AG$7</f>
        <v>3.8664133336867197</v>
      </c>
      <c r="AJ16" s="24">
        <v>543.27800000000002</v>
      </c>
      <c r="AK16" s="28">
        <v>0.53400400000000003</v>
      </c>
      <c r="AL16" s="28"/>
      <c r="AM16" s="28"/>
      <c r="AN16" s="28"/>
      <c r="AO16" s="28"/>
      <c r="AP16" s="44">
        <v>5813.34</v>
      </c>
      <c r="AQ16" s="28"/>
      <c r="AR16" s="28"/>
      <c r="AS16" s="28"/>
      <c r="AT16" s="28"/>
    </row>
    <row r="17" spans="1:46" x14ac:dyDescent="0.4">
      <c r="A17" s="2">
        <v>1978</v>
      </c>
      <c r="B17" s="2">
        <v>1979</v>
      </c>
      <c r="K17" s="2">
        <v>1978</v>
      </c>
      <c r="L17" s="2">
        <v>1979</v>
      </c>
      <c r="M17" s="3">
        <f t="shared" ref="M17:O59" si="9">P17/$S17</f>
        <v>0.15843856582526156</v>
      </c>
      <c r="N17" s="3">
        <f t="shared" si="3"/>
        <v>0.12742052584957181</v>
      </c>
      <c r="O17" s="3">
        <f t="shared" si="3"/>
        <v>0.71414090832516663</v>
      </c>
      <c r="P17" s="2">
        <f t="shared" ref="P17:R59" si="10">1/T17</f>
        <v>7.6803007524056078E-6</v>
      </c>
      <c r="Q17" s="2">
        <f t="shared" si="4"/>
        <v>6.176702972896713E-6</v>
      </c>
      <c r="R17" s="2">
        <f t="shared" si="4"/>
        <v>3.4617941199887448E-5</v>
      </c>
      <c r="S17" s="2">
        <f t="shared" ref="S17:S59" si="11">SUM(P17:R17)</f>
        <v>4.8474944925189768E-5</v>
      </c>
      <c r="T17" s="52">
        <f t="shared" ref="T17:V59" si="12">W17^2</f>
        <v>130203.23451354195</v>
      </c>
      <c r="U17" s="53">
        <f t="shared" si="5"/>
        <v>161898.67059950691</v>
      </c>
      <c r="V17" s="54">
        <f t="shared" si="5"/>
        <v>28886.755403098647</v>
      </c>
      <c r="W17" s="7">
        <f t="shared" ref="W17:W59" si="13">AC17-$W$9</f>
        <v>360.83685304239913</v>
      </c>
      <c r="X17" s="7">
        <f t="shared" ref="X17:X59" si="14">AC17-$X$9</f>
        <v>402.36633880023675</v>
      </c>
      <c r="Y17" s="7">
        <f t="shared" ref="Y17:Y59" si="15">AC17-Z17</f>
        <v>169.96104083906596</v>
      </c>
      <c r="Z17" s="7">
        <v>367.7711087667567</v>
      </c>
      <c r="AA17" s="2">
        <v>1978</v>
      </c>
      <c r="AB17" s="2">
        <v>1979</v>
      </c>
      <c r="AC17" s="7">
        <v>537.73214960582266</v>
      </c>
      <c r="AD17" s="7">
        <v>223.64271017890184</v>
      </c>
      <c r="AE17" s="4">
        <f t="shared" si="6"/>
        <v>1.325184767091995</v>
      </c>
      <c r="AF17" s="7">
        <v>5118.4799999999996</v>
      </c>
      <c r="AG17" s="4">
        <f t="shared" si="7"/>
        <v>0.26549785256343755</v>
      </c>
      <c r="AH17" s="38">
        <v>0.10505699926654451</v>
      </c>
      <c r="AI17" s="7">
        <f t="shared" si="8"/>
        <v>4.9913200965546718</v>
      </c>
      <c r="AJ17" s="24">
        <v>704.41</v>
      </c>
      <c r="AK17" s="28">
        <v>0.64474799999999999</v>
      </c>
      <c r="AL17" s="28"/>
      <c r="AM17" s="28"/>
      <c r="AN17" s="28"/>
      <c r="AO17" s="28"/>
      <c r="AP17" s="44">
        <v>7638.96</v>
      </c>
      <c r="AQ17" s="28"/>
      <c r="AR17" s="28"/>
      <c r="AS17" s="28"/>
      <c r="AT17" s="28"/>
    </row>
    <row r="18" spans="1:46" x14ac:dyDescent="0.4">
      <c r="A18" s="2">
        <v>1979</v>
      </c>
      <c r="B18" s="2">
        <v>1980</v>
      </c>
      <c r="K18" s="2">
        <v>1979</v>
      </c>
      <c r="L18" s="2">
        <v>1980</v>
      </c>
      <c r="M18" s="3">
        <f t="shared" si="9"/>
        <v>6.367140715644869E-4</v>
      </c>
      <c r="N18" s="3">
        <f t="shared" si="3"/>
        <v>4.2307077019121988E-4</v>
      </c>
      <c r="O18" s="3">
        <f t="shared" si="3"/>
        <v>0.99894021515824427</v>
      </c>
      <c r="P18" s="2">
        <f t="shared" si="10"/>
        <v>2.9818504648578451E-5</v>
      </c>
      <c r="Q18" s="2">
        <f t="shared" si="4"/>
        <v>1.9813191338189021E-5</v>
      </c>
      <c r="R18" s="2">
        <f t="shared" si="4"/>
        <v>4.6782228915025988E-2</v>
      </c>
      <c r="S18" s="2">
        <f t="shared" si="11"/>
        <v>4.6831860611012757E-2</v>
      </c>
      <c r="T18" s="52">
        <f t="shared" si="12"/>
        <v>33536.222281611743</v>
      </c>
      <c r="U18" s="53">
        <f t="shared" si="5"/>
        <v>50471.424967897306</v>
      </c>
      <c r="V18" s="54">
        <f t="shared" si="5"/>
        <v>21.375638211175737</v>
      </c>
      <c r="W18" s="7">
        <f t="shared" si="13"/>
        <v>183.12897717622883</v>
      </c>
      <c r="X18" s="7">
        <f t="shared" si="14"/>
        <v>224.65846293406645</v>
      </c>
      <c r="Y18" s="7">
        <f t="shared" si="15"/>
        <v>4.6233795227274754</v>
      </c>
      <c r="Z18" s="7">
        <v>355.40089421692488</v>
      </c>
      <c r="AA18" s="2">
        <v>1979</v>
      </c>
      <c r="AB18" s="2">
        <v>1980</v>
      </c>
      <c r="AC18" s="7">
        <v>360.02427373965236</v>
      </c>
      <c r="AD18" s="7">
        <v>181.91180674148345</v>
      </c>
      <c r="AE18" s="4">
        <f t="shared" si="6"/>
        <v>0.88724225191459483</v>
      </c>
      <c r="AF18" s="7">
        <v>4020.99</v>
      </c>
      <c r="AG18" s="4">
        <f t="shared" si="7"/>
        <v>0.20857055418387035</v>
      </c>
      <c r="AH18" s="38">
        <v>8.9536227083293507E-2</v>
      </c>
      <c r="AI18" s="7">
        <f t="shared" si="8"/>
        <v>4.2539190413831145</v>
      </c>
      <c r="AJ18" s="24">
        <v>471.61900000000003</v>
      </c>
      <c r="AK18" s="28">
        <v>0.69714699999999996</v>
      </c>
      <c r="AL18" s="28">
        <f>AVERAGE(AK16:AK18)</f>
        <v>0.6252996666666667</v>
      </c>
      <c r="AM18" s="28">
        <f t="shared" ref="AM18:AM59" si="16">STDEV(AK16:AK18)/SQRT(3)</f>
        <v>4.8088764676493145E-2</v>
      </c>
      <c r="AN18" s="28">
        <f>MEDIAN(AK16:AK18)</f>
        <v>0.64474799999999999</v>
      </c>
      <c r="AO18" s="28">
        <f>(MAX(AK16:AK18)-MIN(AK16:AK18))/4</f>
        <v>4.0785749999999982E-2</v>
      </c>
      <c r="AP18" s="44">
        <v>7894.8</v>
      </c>
      <c r="AQ18" s="44">
        <f>AVERAGE(AP16:AP18)</f>
        <v>7115.7</v>
      </c>
      <c r="AR18" s="44">
        <f t="shared" ref="AR18:AR59" si="17">STDEV(AP16:AP18)/SQRT(3)</f>
        <v>655.3547903235326</v>
      </c>
      <c r="AS18" s="44">
        <f>MEDIAN(AP16:AP18)</f>
        <v>7638.96</v>
      </c>
      <c r="AT18" s="44">
        <f>(MAX(AP16:AP18)-MIN(AP16:AP18))/4</f>
        <v>520.36500000000001</v>
      </c>
    </row>
    <row r="19" spans="1:46" x14ac:dyDescent="0.4">
      <c r="A19" s="2">
        <v>1980</v>
      </c>
      <c r="B19" s="2">
        <v>1981</v>
      </c>
      <c r="K19" s="2">
        <v>1980</v>
      </c>
      <c r="L19" s="2">
        <v>1981</v>
      </c>
      <c r="M19" s="3">
        <f t="shared" si="9"/>
        <v>3.3648529521678283E-3</v>
      </c>
      <c r="N19" s="3">
        <f t="shared" si="3"/>
        <v>2.2871697163813582E-3</v>
      </c>
      <c r="O19" s="3">
        <f t="shared" si="3"/>
        <v>0.99434797733145086</v>
      </c>
      <c r="P19" s="2">
        <f t="shared" si="10"/>
        <v>2.6286882328195524E-5</v>
      </c>
      <c r="Q19" s="2">
        <f t="shared" si="4"/>
        <v>1.7867812369154124E-5</v>
      </c>
      <c r="R19" s="2">
        <f t="shared" si="4"/>
        <v>7.7680387954401709E-3</v>
      </c>
      <c r="S19" s="2">
        <f t="shared" si="11"/>
        <v>7.8121934901375202E-3</v>
      </c>
      <c r="T19" s="52">
        <f t="shared" si="12"/>
        <v>38041.787820817073</v>
      </c>
      <c r="U19" s="53">
        <f t="shared" si="5"/>
        <v>55966.560390254461</v>
      </c>
      <c r="V19" s="54">
        <f t="shared" si="5"/>
        <v>128.73262175093652</v>
      </c>
      <c r="W19" s="7">
        <f t="shared" si="13"/>
        <v>195.04304094434406</v>
      </c>
      <c r="X19" s="7">
        <f t="shared" si="14"/>
        <v>236.57252670218168</v>
      </c>
      <c r="Y19" s="7">
        <f t="shared" si="15"/>
        <v>11.346039914919061</v>
      </c>
      <c r="Z19" s="7">
        <v>360.59229759284852</v>
      </c>
      <c r="AA19" s="2">
        <v>1980</v>
      </c>
      <c r="AB19" s="2">
        <v>1981</v>
      </c>
      <c r="AC19" s="7">
        <v>371.93833750776759</v>
      </c>
      <c r="AD19" s="7">
        <v>141.45269354163023</v>
      </c>
      <c r="AE19" s="4">
        <f t="shared" si="6"/>
        <v>0.91660321876629292</v>
      </c>
      <c r="AF19" s="7">
        <v>4427.3100000000004</v>
      </c>
      <c r="AG19" s="4">
        <f t="shared" si="7"/>
        <v>0.2296465547648194</v>
      </c>
      <c r="AH19" s="38">
        <v>8.4010005513001695E-2</v>
      </c>
      <c r="AI19" s="7">
        <f t="shared" si="8"/>
        <v>3.9913649900168742</v>
      </c>
      <c r="AJ19" s="24">
        <v>487.226</v>
      </c>
      <c r="AK19" s="28">
        <v>0.90138200000000002</v>
      </c>
      <c r="AL19" s="28">
        <f t="shared" ref="AL19:AL59" si="18">AVERAGE(AK17:AK19)</f>
        <v>0.74775899999999995</v>
      </c>
      <c r="AM19" s="28">
        <f t="shared" si="16"/>
        <v>7.8286723857454416E-2</v>
      </c>
      <c r="AN19" s="28">
        <f t="shared" ref="AN19:AN59" si="19">MEDIAN(AK17:AK19)</f>
        <v>0.69714699999999996</v>
      </c>
      <c r="AO19" s="28">
        <f t="shared" ref="AO19:AO59" si="20">(MAX(AK17:AK19)-MIN(AK17:AK19))/4</f>
        <v>6.4158500000000007E-2</v>
      </c>
      <c r="AP19" s="44">
        <v>10100.9</v>
      </c>
      <c r="AQ19" s="44">
        <f t="shared" ref="AQ19:AQ59" si="21">AVERAGE(AP17:AP19)</f>
        <v>8544.8866666666672</v>
      </c>
      <c r="AR19" s="44">
        <f t="shared" si="17"/>
        <v>781.50424322442109</v>
      </c>
      <c r="AS19" s="44">
        <f t="shared" ref="AS19:AS59" si="22">MEDIAN(AP17:AP19)</f>
        <v>7894.8</v>
      </c>
      <c r="AT19" s="44">
        <f t="shared" ref="AT19:AT59" si="23">(MAX(AP17:AP19)-MIN(AP17:AP19))/4</f>
        <v>615.4849999999999</v>
      </c>
    </row>
    <row r="20" spans="1:46" x14ac:dyDescent="0.4">
      <c r="A20" s="2">
        <v>1981</v>
      </c>
      <c r="B20" s="2">
        <v>1982</v>
      </c>
      <c r="G20" s="7">
        <f>AVERAGE(AC16:AC20)</f>
        <v>398.93845951886658</v>
      </c>
      <c r="H20" s="7">
        <f>MEDIAN(AC16:AC20)</f>
        <v>371.93833750776759</v>
      </c>
      <c r="I20" s="7">
        <f>STDEV(AC16:AC20)</f>
        <v>86.049908361684217</v>
      </c>
      <c r="J20" s="4">
        <f t="shared" ref="J20:J59" si="24">I20/G20</f>
        <v>0.21569719917569077</v>
      </c>
      <c r="K20" s="2">
        <v>1981</v>
      </c>
      <c r="L20" s="2">
        <v>1982</v>
      </c>
      <c r="M20" s="3">
        <f t="shared" si="9"/>
        <v>7.0255117590425104E-2</v>
      </c>
      <c r="N20" s="3">
        <f t="shared" si="3"/>
        <v>4.0853085677712189E-2</v>
      </c>
      <c r="O20" s="3">
        <f t="shared" si="3"/>
        <v>0.88889179673186269</v>
      </c>
      <c r="P20" s="2">
        <f t="shared" si="10"/>
        <v>5.6214897942276938E-5</v>
      </c>
      <c r="Q20" s="2">
        <f t="shared" si="4"/>
        <v>3.2688750951755257E-5</v>
      </c>
      <c r="R20" s="2">
        <f t="shared" si="4"/>
        <v>7.1125013164619597E-4</v>
      </c>
      <c r="S20" s="2">
        <f t="shared" si="11"/>
        <v>8.0015378054022822E-4</v>
      </c>
      <c r="T20" s="52">
        <f t="shared" si="12"/>
        <v>17788.878688827801</v>
      </c>
      <c r="U20" s="53">
        <f t="shared" si="5"/>
        <v>30591.563485429044</v>
      </c>
      <c r="V20" s="54">
        <f t="shared" si="5"/>
        <v>1405.9751351967968</v>
      </c>
      <c r="W20" s="7">
        <f t="shared" si="13"/>
        <v>133.37495525333009</v>
      </c>
      <c r="X20" s="7">
        <f t="shared" si="14"/>
        <v>174.90444101116771</v>
      </c>
      <c r="Y20" s="7">
        <f t="shared" si="15"/>
        <v>-37.496334956856742</v>
      </c>
      <c r="Z20" s="7">
        <v>347.76658677361036</v>
      </c>
      <c r="AA20" s="2">
        <v>1981</v>
      </c>
      <c r="AB20" s="2">
        <v>1982</v>
      </c>
      <c r="AC20" s="7">
        <v>310.27025181675361</v>
      </c>
      <c r="AD20" s="7">
        <v>153.33545875047767</v>
      </c>
      <c r="AE20" s="4">
        <f t="shared" si="6"/>
        <v>0.76462865701959348</v>
      </c>
      <c r="AF20" s="7">
        <v>3527.37</v>
      </c>
      <c r="AG20" s="4">
        <f t="shared" si="7"/>
        <v>0.18296626346038136</v>
      </c>
      <c r="AH20" s="38">
        <v>8.7960789998427616E-2</v>
      </c>
      <c r="AI20" s="7">
        <f t="shared" si="8"/>
        <v>4.1790690948069917</v>
      </c>
      <c r="AJ20" s="24">
        <v>406.44299999999998</v>
      </c>
      <c r="AK20" s="28">
        <v>1.0004900000000001</v>
      </c>
      <c r="AL20" s="28">
        <f t="shared" si="18"/>
        <v>0.86633966666666673</v>
      </c>
      <c r="AM20" s="28">
        <f t="shared" si="16"/>
        <v>8.9303261897001204E-2</v>
      </c>
      <c r="AN20" s="28">
        <f t="shared" si="19"/>
        <v>0.90138200000000002</v>
      </c>
      <c r="AO20" s="28">
        <f t="shared" si="20"/>
        <v>7.5835750000000035E-2</v>
      </c>
      <c r="AP20" s="44">
        <v>8675.1299999999992</v>
      </c>
      <c r="AQ20" s="44">
        <f t="shared" si="21"/>
        <v>8890.2766666666666</v>
      </c>
      <c r="AR20" s="44">
        <f t="shared" si="17"/>
        <v>645.86772862388148</v>
      </c>
      <c r="AS20" s="44">
        <f t="shared" si="22"/>
        <v>8675.1299999999992</v>
      </c>
      <c r="AT20" s="44">
        <f t="shared" si="23"/>
        <v>551.52499999999986</v>
      </c>
    </row>
    <row r="21" spans="1:46" x14ac:dyDescent="0.4">
      <c r="A21" s="2">
        <v>1982</v>
      </c>
      <c r="B21" s="2">
        <v>1983</v>
      </c>
      <c r="G21" s="7">
        <f t="shared" ref="G21:G59" si="25">AVERAGE(AC17:AC21)</f>
        <v>417.39239541496573</v>
      </c>
      <c r="H21" s="7">
        <f t="shared" ref="H21:H59" si="26">MEDIAN(AC17:AC21)</f>
        <v>371.93833750776759</v>
      </c>
      <c r="I21" s="7">
        <f t="shared" ref="I21:I59" si="27">STDEV(AC17:AC21)</f>
        <v>99.175301406696079</v>
      </c>
      <c r="J21" s="4">
        <f t="shared" si="24"/>
        <v>0.23760687184561033</v>
      </c>
      <c r="K21" s="2">
        <v>1982</v>
      </c>
      <c r="L21" s="2">
        <v>1983</v>
      </c>
      <c r="M21" s="3">
        <f t="shared" si="9"/>
        <v>0.19493397751761302</v>
      </c>
      <c r="N21" s="3">
        <f t="shared" si="3"/>
        <v>0.15380085674162078</v>
      </c>
      <c r="O21" s="3">
        <f t="shared" si="3"/>
        <v>0.65126516574076621</v>
      </c>
      <c r="P21" s="2">
        <f t="shared" si="10"/>
        <v>9.1770809540422288E-6</v>
      </c>
      <c r="Q21" s="2">
        <f t="shared" si="4"/>
        <v>7.2406202915106285E-6</v>
      </c>
      <c r="R21" s="2">
        <f t="shared" si="4"/>
        <v>3.0660191848856735E-5</v>
      </c>
      <c r="S21" s="2">
        <f t="shared" si="11"/>
        <v>4.7077893094409594E-5</v>
      </c>
      <c r="T21" s="52">
        <f t="shared" si="12"/>
        <v>108967.1111116798</v>
      </c>
      <c r="U21" s="53">
        <f t="shared" si="5"/>
        <v>138109.71432550671</v>
      </c>
      <c r="V21" s="54">
        <f t="shared" si="5"/>
        <v>32615.581954921399</v>
      </c>
      <c r="W21" s="7">
        <f t="shared" si="13"/>
        <v>330.10166784140881</v>
      </c>
      <c r="X21" s="7">
        <f t="shared" si="14"/>
        <v>371.63115359924643</v>
      </c>
      <c r="Y21" s="7">
        <f t="shared" si="15"/>
        <v>180.59784593101159</v>
      </c>
      <c r="Z21" s="7">
        <v>326.39911847382075</v>
      </c>
      <c r="AA21" s="2">
        <v>1982</v>
      </c>
      <c r="AB21" s="2">
        <v>1983</v>
      </c>
      <c r="AC21" s="7">
        <v>506.99696440483234</v>
      </c>
      <c r="AD21" s="7">
        <v>228.5031474193446</v>
      </c>
      <c r="AE21" s="4">
        <f t="shared" si="6"/>
        <v>1.2494411105671619</v>
      </c>
      <c r="AF21" s="7">
        <v>2567</v>
      </c>
      <c r="AG21" s="4">
        <f t="shared" si="7"/>
        <v>0.13315144096105566</v>
      </c>
      <c r="AH21" s="38">
        <v>0.19750563475061642</v>
      </c>
      <c r="AI21" s="7">
        <f t="shared" si="8"/>
        <v>9.383609381535722</v>
      </c>
      <c r="AJ21" s="24">
        <v>664.14800000000002</v>
      </c>
      <c r="AK21" s="28">
        <v>0.70250699999999999</v>
      </c>
      <c r="AL21" s="28">
        <f t="shared" si="18"/>
        <v>0.86812633333333322</v>
      </c>
      <c r="AM21" s="28">
        <f t="shared" si="16"/>
        <v>8.7612635307040804E-2</v>
      </c>
      <c r="AN21" s="28">
        <f t="shared" si="19"/>
        <v>0.90138200000000002</v>
      </c>
      <c r="AO21" s="28">
        <f t="shared" si="20"/>
        <v>7.4495750000000027E-2</v>
      </c>
      <c r="AP21" s="44">
        <v>4930.3900000000003</v>
      </c>
      <c r="AQ21" s="44">
        <f t="shared" si="21"/>
        <v>7902.1399999999994</v>
      </c>
      <c r="AR21" s="44">
        <f t="shared" si="17"/>
        <v>1541.8256029893059</v>
      </c>
      <c r="AS21" s="44">
        <f t="shared" si="22"/>
        <v>8675.1299999999992</v>
      </c>
      <c r="AT21" s="44">
        <f t="shared" si="23"/>
        <v>1292.6274999999998</v>
      </c>
    </row>
    <row r="22" spans="1:46" x14ac:dyDescent="0.4">
      <c r="A22" s="2">
        <v>1983</v>
      </c>
      <c r="B22" s="2">
        <v>1984</v>
      </c>
      <c r="G22" s="7">
        <f t="shared" si="25"/>
        <v>400.35590256395136</v>
      </c>
      <c r="H22" s="7">
        <f t="shared" si="26"/>
        <v>371.93833750776759</v>
      </c>
      <c r="I22" s="7">
        <f t="shared" si="27"/>
        <v>78.495429468911667</v>
      </c>
      <c r="J22" s="4">
        <f t="shared" si="24"/>
        <v>0.19606412436088189</v>
      </c>
      <c r="K22" s="2">
        <v>1983</v>
      </c>
      <c r="L22" s="2">
        <v>1984</v>
      </c>
      <c r="M22" s="3">
        <f t="shared" si="9"/>
        <v>0.12309170863127158</v>
      </c>
      <c r="N22" s="3">
        <f t="shared" si="3"/>
        <v>9.2968628286000804E-2</v>
      </c>
      <c r="O22" s="3">
        <f t="shared" si="3"/>
        <v>0.78393966308272756</v>
      </c>
      <c r="P22" s="2">
        <f t="shared" si="10"/>
        <v>1.3160432958773116E-5</v>
      </c>
      <c r="Q22" s="2">
        <f t="shared" si="4"/>
        <v>9.9398035288639916E-6</v>
      </c>
      <c r="R22" s="2">
        <f t="shared" si="4"/>
        <v>8.381543724141935E-5</v>
      </c>
      <c r="S22" s="2">
        <f t="shared" si="11"/>
        <v>1.0691567372905646E-4</v>
      </c>
      <c r="T22" s="52">
        <f t="shared" si="12"/>
        <v>75985.342057714879</v>
      </c>
      <c r="U22" s="53">
        <f t="shared" si="5"/>
        <v>100605.61027148279</v>
      </c>
      <c r="V22" s="54">
        <f t="shared" si="5"/>
        <v>11930.976356057554</v>
      </c>
      <c r="W22" s="7">
        <f t="shared" si="13"/>
        <v>275.65438878732709</v>
      </c>
      <c r="X22" s="7">
        <f t="shared" si="14"/>
        <v>317.18387454516471</v>
      </c>
      <c r="Y22" s="7">
        <f t="shared" si="15"/>
        <v>109.22900876625016</v>
      </c>
      <c r="Z22" s="7">
        <v>343.32067658450046</v>
      </c>
      <c r="AA22" s="2">
        <v>1983</v>
      </c>
      <c r="AB22" s="2">
        <v>1984</v>
      </c>
      <c r="AC22" s="7">
        <v>452.54968535075062</v>
      </c>
      <c r="AD22" s="7">
        <v>240.48209844447851</v>
      </c>
      <c r="AE22" s="4">
        <f t="shared" si="6"/>
        <v>1.1152614732422097</v>
      </c>
      <c r="AF22" s="7">
        <v>3284.31</v>
      </c>
      <c r="AG22" s="4">
        <f t="shared" si="7"/>
        <v>0.17035863228001744</v>
      </c>
      <c r="AH22" s="38">
        <v>0.13779140378062688</v>
      </c>
      <c r="AI22" s="7">
        <f t="shared" si="8"/>
        <v>6.5465509925500074</v>
      </c>
      <c r="AJ22" s="24">
        <v>592.82399999999996</v>
      </c>
      <c r="AK22" s="28">
        <v>0.57435599999999998</v>
      </c>
      <c r="AL22" s="28">
        <f t="shared" si="18"/>
        <v>0.75911766666666669</v>
      </c>
      <c r="AM22" s="28">
        <f t="shared" si="16"/>
        <v>0.12622878986762279</v>
      </c>
      <c r="AN22" s="28">
        <f t="shared" si="19"/>
        <v>0.70250699999999999</v>
      </c>
      <c r="AO22" s="28">
        <f t="shared" si="20"/>
        <v>0.10653350000000003</v>
      </c>
      <c r="AP22" s="44">
        <v>5249.24</v>
      </c>
      <c r="AQ22" s="44">
        <f t="shared" si="21"/>
        <v>6284.920000000001</v>
      </c>
      <c r="AR22" s="44">
        <f t="shared" si="17"/>
        <v>1198.6442638386618</v>
      </c>
      <c r="AS22" s="44">
        <f t="shared" si="22"/>
        <v>5249.24</v>
      </c>
      <c r="AT22" s="44">
        <f t="shared" si="23"/>
        <v>936.18499999999972</v>
      </c>
    </row>
    <row r="23" spans="1:46" x14ac:dyDescent="0.4">
      <c r="A23" s="2">
        <v>1984</v>
      </c>
      <c r="B23" s="2">
        <v>1985</v>
      </c>
      <c r="G23" s="7">
        <f t="shared" si="25"/>
        <v>403.84393614947527</v>
      </c>
      <c r="H23" s="7">
        <f t="shared" si="26"/>
        <v>377.46444166727207</v>
      </c>
      <c r="I23" s="7">
        <f t="shared" si="27"/>
        <v>76.620292020016038</v>
      </c>
      <c r="J23" s="4">
        <f t="shared" si="24"/>
        <v>0.1897274792598507</v>
      </c>
      <c r="K23" s="2">
        <v>1984</v>
      </c>
      <c r="L23" s="2">
        <v>1985</v>
      </c>
      <c r="M23" s="3">
        <f t="shared" si="9"/>
        <v>6.9485969988423461E-3</v>
      </c>
      <c r="N23" s="3">
        <f t="shared" si="3"/>
        <v>4.7691469503490435E-3</v>
      </c>
      <c r="O23" s="3">
        <f t="shared" si="3"/>
        <v>0.98828225605080866</v>
      </c>
      <c r="P23" s="2">
        <f t="shared" si="10"/>
        <v>2.4858318789225017E-5</v>
      </c>
      <c r="Q23" s="2">
        <f t="shared" si="4"/>
        <v>1.7061426251110554E-5</v>
      </c>
      <c r="R23" s="2">
        <f t="shared" si="4"/>
        <v>3.535538955380264E-3</v>
      </c>
      <c r="S23" s="2">
        <f t="shared" si="11"/>
        <v>3.5774587004205995E-3</v>
      </c>
      <c r="T23" s="52">
        <f t="shared" si="12"/>
        <v>40227.981967688655</v>
      </c>
      <c r="U23" s="53">
        <f t="shared" si="5"/>
        <v>58611.74706510298</v>
      </c>
      <c r="V23" s="54">
        <f t="shared" si="5"/>
        <v>282.84230851939384</v>
      </c>
      <c r="W23" s="7">
        <f t="shared" si="13"/>
        <v>200.56914510384854</v>
      </c>
      <c r="X23" s="7">
        <f t="shared" si="14"/>
        <v>242.09863086168616</v>
      </c>
      <c r="Y23" s="7">
        <f t="shared" si="15"/>
        <v>16.817916295409304</v>
      </c>
      <c r="Z23" s="7">
        <v>360.64652537186277</v>
      </c>
      <c r="AA23" s="2">
        <v>1984</v>
      </c>
      <c r="AB23" s="2">
        <v>1985</v>
      </c>
      <c r="AC23" s="7">
        <v>377.46444166727207</v>
      </c>
      <c r="AD23" s="7">
        <v>215.7539464844248</v>
      </c>
      <c r="AE23" s="4">
        <f t="shared" si="6"/>
        <v>0.93022172578490281</v>
      </c>
      <c r="AF23" s="7">
        <v>4431.92</v>
      </c>
      <c r="AG23" s="4">
        <f t="shared" si="7"/>
        <v>0.22988567753179659</v>
      </c>
      <c r="AH23" s="38">
        <v>8.5169507045991813E-2</v>
      </c>
      <c r="AI23" s="7">
        <f t="shared" si="8"/>
        <v>4.0464535928134948</v>
      </c>
      <c r="AJ23" s="24">
        <v>494.46499999999997</v>
      </c>
      <c r="AK23" s="28">
        <v>0.61264799999999997</v>
      </c>
      <c r="AL23" s="28">
        <f t="shared" si="18"/>
        <v>0.62983700000000009</v>
      </c>
      <c r="AM23" s="28">
        <f t="shared" si="16"/>
        <v>3.7979231127025212E-2</v>
      </c>
      <c r="AN23" s="28">
        <f t="shared" si="19"/>
        <v>0.61264799999999997</v>
      </c>
      <c r="AO23" s="28">
        <f t="shared" si="20"/>
        <v>3.2037750000000004E-2</v>
      </c>
      <c r="AP23" s="44">
        <v>6978.79</v>
      </c>
      <c r="AQ23" s="44">
        <f t="shared" si="21"/>
        <v>5719.4733333333343</v>
      </c>
      <c r="AR23" s="44">
        <f t="shared" si="17"/>
        <v>636.35031778450593</v>
      </c>
      <c r="AS23" s="44">
        <f t="shared" si="22"/>
        <v>5249.24</v>
      </c>
      <c r="AT23" s="44">
        <f t="shared" si="23"/>
        <v>512.09999999999991</v>
      </c>
    </row>
    <row r="24" spans="1:46" x14ac:dyDescent="0.4">
      <c r="A24" s="2">
        <v>1985</v>
      </c>
      <c r="B24" s="2">
        <v>1986</v>
      </c>
      <c r="G24" s="7">
        <f t="shared" si="25"/>
        <v>435.08692139009844</v>
      </c>
      <c r="H24" s="7">
        <f t="shared" si="26"/>
        <v>452.54968535075062</v>
      </c>
      <c r="I24" s="7">
        <f t="shared" si="27"/>
        <v>90.880275166404132</v>
      </c>
      <c r="J24" s="4">
        <f t="shared" si="24"/>
        <v>0.20887843485628699</v>
      </c>
      <c r="K24" s="2">
        <v>1985</v>
      </c>
      <c r="L24" s="2">
        <v>1986</v>
      </c>
      <c r="M24" s="3">
        <f t="shared" si="9"/>
        <v>0.16927365375642014</v>
      </c>
      <c r="N24" s="3">
        <f t="shared" si="3"/>
        <v>0.13537127613062422</v>
      </c>
      <c r="O24" s="3">
        <f t="shared" si="3"/>
        <v>0.69535507011295561</v>
      </c>
      <c r="P24" s="2">
        <f t="shared" si="10"/>
        <v>8.1048994779921049E-6</v>
      </c>
      <c r="Q24" s="2">
        <f t="shared" si="4"/>
        <v>6.4816382283861954E-6</v>
      </c>
      <c r="R24" s="2">
        <f t="shared" si="4"/>
        <v>3.3293916801059807E-5</v>
      </c>
      <c r="S24" s="2">
        <f t="shared" si="11"/>
        <v>4.788045450743811E-5</v>
      </c>
      <c r="T24" s="52">
        <f t="shared" si="12"/>
        <v>123382.15948456631</v>
      </c>
      <c r="U24" s="53">
        <f t="shared" si="5"/>
        <v>154281.98315983164</v>
      </c>
      <c r="V24" s="54">
        <f t="shared" si="5"/>
        <v>30035.516877610753</v>
      </c>
      <c r="W24" s="7">
        <f t="shared" si="13"/>
        <v>351.25796714746031</v>
      </c>
      <c r="X24" s="7">
        <f t="shared" si="14"/>
        <v>392.78745290529793</v>
      </c>
      <c r="Y24" s="7">
        <f t="shared" si="15"/>
        <v>173.30757882334734</v>
      </c>
      <c r="Z24" s="7">
        <v>354.84568488753649</v>
      </c>
      <c r="AA24" s="2">
        <v>1985</v>
      </c>
      <c r="AB24" s="2">
        <v>1986</v>
      </c>
      <c r="AC24" s="7">
        <v>528.15326371088383</v>
      </c>
      <c r="AD24" s="7">
        <v>229.28103112407385</v>
      </c>
      <c r="AE24" s="4">
        <f t="shared" si="6"/>
        <v>1.3015786024187646</v>
      </c>
      <c r="AF24" s="7">
        <v>3981.28</v>
      </c>
      <c r="AG24" s="4">
        <f t="shared" si="7"/>
        <v>0.20651077867917092</v>
      </c>
      <c r="AH24" s="38">
        <v>0.13265916080026618</v>
      </c>
      <c r="AI24" s="7">
        <f t="shared" si="8"/>
        <v>6.3027150967304166</v>
      </c>
      <c r="AJ24" s="24">
        <v>691.86199999999997</v>
      </c>
      <c r="AK24" s="28">
        <v>0.81863300000000006</v>
      </c>
      <c r="AL24" s="28">
        <f t="shared" si="18"/>
        <v>0.6685456666666667</v>
      </c>
      <c r="AM24" s="28">
        <f t="shared" si="16"/>
        <v>7.5853422327392298E-2</v>
      </c>
      <c r="AN24" s="28">
        <f t="shared" si="19"/>
        <v>0.61264799999999997</v>
      </c>
      <c r="AO24" s="28">
        <f t="shared" si="20"/>
        <v>6.1069250000000019E-2</v>
      </c>
      <c r="AP24" s="44">
        <v>9436.42</v>
      </c>
      <c r="AQ24" s="44">
        <f t="shared" si="21"/>
        <v>7221.4833333333327</v>
      </c>
      <c r="AR24" s="44">
        <f t="shared" si="17"/>
        <v>1214.8105652917457</v>
      </c>
      <c r="AS24" s="44">
        <f t="shared" si="22"/>
        <v>6978.79</v>
      </c>
      <c r="AT24" s="44">
        <f t="shared" si="23"/>
        <v>1046.7950000000001</v>
      </c>
    </row>
    <row r="25" spans="1:46" x14ac:dyDescent="0.4">
      <c r="A25" s="2">
        <v>1986</v>
      </c>
      <c r="B25" s="2">
        <v>1987</v>
      </c>
      <c r="G25" s="7">
        <f t="shared" si="25"/>
        <v>472.5786258195655</v>
      </c>
      <c r="H25" s="7">
        <f t="shared" si="26"/>
        <v>497.72877396408859</v>
      </c>
      <c r="I25" s="7">
        <f t="shared" si="27"/>
        <v>59.903169454279016</v>
      </c>
      <c r="J25" s="4">
        <f t="shared" si="24"/>
        <v>0.1267581015759916</v>
      </c>
      <c r="K25" s="2">
        <v>1986</v>
      </c>
      <c r="L25" s="2">
        <v>1987</v>
      </c>
      <c r="M25" s="3">
        <f t="shared" si="9"/>
        <v>0.17449869016815595</v>
      </c>
      <c r="N25" s="3">
        <f t="shared" si="3"/>
        <v>0.1367930155784283</v>
      </c>
      <c r="O25" s="3">
        <f t="shared" si="3"/>
        <v>0.68870829425341573</v>
      </c>
      <c r="P25" s="2">
        <f t="shared" si="10"/>
        <v>9.7149516394851963E-6</v>
      </c>
      <c r="Q25" s="2">
        <f t="shared" si="4"/>
        <v>7.615745021828778E-6</v>
      </c>
      <c r="R25" s="2">
        <f t="shared" si="4"/>
        <v>3.8342796532952226E-5</v>
      </c>
      <c r="S25" s="2">
        <f t="shared" si="11"/>
        <v>5.5673493194266202E-5</v>
      </c>
      <c r="T25" s="52">
        <f t="shared" si="12"/>
        <v>102934.12022100306</v>
      </c>
      <c r="U25" s="53">
        <f t="shared" si="5"/>
        <v>131306.91706901038</v>
      </c>
      <c r="V25" s="54">
        <f t="shared" si="5"/>
        <v>26080.518126542724</v>
      </c>
      <c r="W25" s="7">
        <f t="shared" si="13"/>
        <v>320.83347740066506</v>
      </c>
      <c r="X25" s="7">
        <f t="shared" si="14"/>
        <v>362.36296315850268</v>
      </c>
      <c r="Y25" s="7">
        <f t="shared" si="15"/>
        <v>161.49463807366089</v>
      </c>
      <c r="Z25" s="7">
        <v>336.23413589042769</v>
      </c>
      <c r="AA25" s="2">
        <v>1986</v>
      </c>
      <c r="AB25" s="2">
        <v>1987</v>
      </c>
      <c r="AC25" s="7">
        <v>497.72877396408859</v>
      </c>
      <c r="AD25" s="7">
        <v>263.44913391109702</v>
      </c>
      <c r="AE25" s="4">
        <f t="shared" si="6"/>
        <v>1.2266006224178398</v>
      </c>
      <c r="AF25" s="7">
        <v>2949.27</v>
      </c>
      <c r="AG25" s="4">
        <f t="shared" si="7"/>
        <v>0.15297995725875055</v>
      </c>
      <c r="AH25" s="38">
        <v>0.16876338007849012</v>
      </c>
      <c r="AI25" s="7">
        <f t="shared" si="8"/>
        <v>8.0180478828554342</v>
      </c>
      <c r="AJ25" s="24">
        <v>652.00699999999995</v>
      </c>
      <c r="AK25" s="28">
        <v>1.0211399999999999</v>
      </c>
      <c r="AL25" s="28">
        <f t="shared" si="18"/>
        <v>0.81747366666666677</v>
      </c>
      <c r="AM25" s="28">
        <f t="shared" si="16"/>
        <v>0.11792290780609323</v>
      </c>
      <c r="AN25" s="28">
        <f t="shared" si="19"/>
        <v>0.81863300000000006</v>
      </c>
      <c r="AO25" s="28">
        <f t="shared" si="20"/>
        <v>0.10212299999999999</v>
      </c>
      <c r="AP25" s="44">
        <v>10132.299999999999</v>
      </c>
      <c r="AQ25" s="44">
        <f t="shared" si="21"/>
        <v>8849.17</v>
      </c>
      <c r="AR25" s="44">
        <f t="shared" si="17"/>
        <v>956.52204224471529</v>
      </c>
      <c r="AS25" s="44">
        <f t="shared" si="22"/>
        <v>9436.42</v>
      </c>
      <c r="AT25" s="44">
        <f t="shared" si="23"/>
        <v>788.37749999999983</v>
      </c>
    </row>
    <row r="26" spans="1:46" x14ac:dyDescent="0.4">
      <c r="A26" s="2">
        <v>1987</v>
      </c>
      <c r="B26" s="2">
        <v>1988</v>
      </c>
      <c r="G26" s="7">
        <f t="shared" si="25"/>
        <v>479.80508146475586</v>
      </c>
      <c r="H26" s="7">
        <f t="shared" si="26"/>
        <v>497.72877396408859</v>
      </c>
      <c r="I26" s="7">
        <f t="shared" si="27"/>
        <v>66.867813703953317</v>
      </c>
      <c r="J26" s="4">
        <f t="shared" si="24"/>
        <v>0.13936453840759314</v>
      </c>
      <c r="K26" s="2">
        <v>1987</v>
      </c>
      <c r="L26" s="2">
        <v>1988</v>
      </c>
      <c r="M26" s="3">
        <f t="shared" si="9"/>
        <v>0.19194083242786031</v>
      </c>
      <c r="N26" s="3">
        <f t="shared" si="3"/>
        <v>0.15483459959018292</v>
      </c>
      <c r="O26" s="3">
        <f t="shared" si="3"/>
        <v>0.65322456798195683</v>
      </c>
      <c r="P26" s="2">
        <f t="shared" si="10"/>
        <v>7.4556035628380733E-6</v>
      </c>
      <c r="Q26" s="2">
        <f t="shared" si="4"/>
        <v>6.0142773049035428E-6</v>
      </c>
      <c r="R26" s="2">
        <f t="shared" si="4"/>
        <v>2.5373357793527674E-5</v>
      </c>
      <c r="S26" s="2">
        <f t="shared" si="11"/>
        <v>3.8843238661269289E-5</v>
      </c>
      <c r="T26" s="52">
        <f t="shared" si="12"/>
        <v>134127.30325207056</v>
      </c>
      <c r="U26" s="53">
        <f t="shared" si="5"/>
        <v>166271.01633386326</v>
      </c>
      <c r="V26" s="54">
        <f t="shared" si="5"/>
        <v>39411.41760335258</v>
      </c>
      <c r="W26" s="7">
        <f t="shared" si="13"/>
        <v>366.23394606736082</v>
      </c>
      <c r="X26" s="7">
        <f t="shared" si="14"/>
        <v>407.76343182519844</v>
      </c>
      <c r="Y26" s="7">
        <f t="shared" si="15"/>
        <v>198.52309085683856</v>
      </c>
      <c r="Z26" s="7">
        <v>344.60615177394578</v>
      </c>
      <c r="AA26" s="2">
        <v>1987</v>
      </c>
      <c r="AB26" s="2">
        <v>1988</v>
      </c>
      <c r="AC26" s="7">
        <v>543.12924263078435</v>
      </c>
      <c r="AD26" s="7">
        <v>243.37530672801515</v>
      </c>
      <c r="AE26" s="4">
        <f t="shared" si="6"/>
        <v>1.3384853396326186</v>
      </c>
      <c r="AF26" s="7">
        <v>3351.7</v>
      </c>
      <c r="AG26" s="4">
        <f t="shared" si="7"/>
        <v>0.17385418179554743</v>
      </c>
      <c r="AH26" s="38">
        <v>0.1620458998808916</v>
      </c>
      <c r="AI26" s="7">
        <f t="shared" si="8"/>
        <v>7.6988964303813976</v>
      </c>
      <c r="AJ26" s="24">
        <v>711.48</v>
      </c>
      <c r="AK26" s="28">
        <v>0.77448300000000003</v>
      </c>
      <c r="AL26" s="28">
        <f t="shared" si="18"/>
        <v>0.87141866666666667</v>
      </c>
      <c r="AM26" s="28">
        <f t="shared" si="16"/>
        <v>7.5937833930861273E-2</v>
      </c>
      <c r="AN26" s="28">
        <f t="shared" si="19"/>
        <v>0.81863300000000006</v>
      </c>
      <c r="AO26" s="28">
        <f t="shared" si="20"/>
        <v>6.1664249999999976E-2</v>
      </c>
      <c r="AP26" s="44">
        <v>8115.75</v>
      </c>
      <c r="AQ26" s="44">
        <f t="shared" si="21"/>
        <v>9228.1566666666677</v>
      </c>
      <c r="AR26" s="44">
        <f t="shared" si="17"/>
        <v>591.3680995886665</v>
      </c>
      <c r="AS26" s="44">
        <f t="shared" si="22"/>
        <v>9436.42</v>
      </c>
      <c r="AT26" s="44">
        <f t="shared" si="23"/>
        <v>504.13749999999982</v>
      </c>
    </row>
    <row r="27" spans="1:46" x14ac:dyDescent="0.4">
      <c r="A27" s="2">
        <v>1988</v>
      </c>
      <c r="B27" s="2">
        <v>1989</v>
      </c>
      <c r="G27" s="7">
        <f t="shared" si="25"/>
        <v>460.79204642700449</v>
      </c>
      <c r="H27" s="7">
        <f t="shared" si="26"/>
        <v>497.72877396408859</v>
      </c>
      <c r="I27" s="7">
        <f t="shared" si="27"/>
        <v>87.03046316944922</v>
      </c>
      <c r="J27" s="4">
        <f t="shared" si="24"/>
        <v>0.18887145263093422</v>
      </c>
      <c r="K27" s="2">
        <v>1988</v>
      </c>
      <c r="L27" s="2">
        <v>1989</v>
      </c>
      <c r="M27" s="3">
        <f t="shared" si="9"/>
        <v>1.4997074517840334E-2</v>
      </c>
      <c r="N27" s="3">
        <f t="shared" si="3"/>
        <v>9.9133381284424778E-3</v>
      </c>
      <c r="O27" s="3">
        <f t="shared" si="3"/>
        <v>0.97508958735371709</v>
      </c>
      <c r="P27" s="2">
        <f t="shared" si="10"/>
        <v>3.0663123090310162E-5</v>
      </c>
      <c r="Q27" s="2">
        <f t="shared" si="4"/>
        <v>2.0268880234387918E-5</v>
      </c>
      <c r="R27" s="2">
        <f t="shared" si="4"/>
        <v>1.9936749667769501E-3</v>
      </c>
      <c r="S27" s="2">
        <f t="shared" si="11"/>
        <v>2.0446069701016483E-3</v>
      </c>
      <c r="T27" s="52">
        <f t="shared" si="12"/>
        <v>32612.464068149977</v>
      </c>
      <c r="U27" s="53">
        <f t="shared" si="5"/>
        <v>49336.716603782239</v>
      </c>
      <c r="V27" s="54">
        <f t="shared" si="5"/>
        <v>501.58627492656819</v>
      </c>
      <c r="W27" s="7">
        <f t="shared" si="13"/>
        <v>180.5892135985701</v>
      </c>
      <c r="X27" s="7">
        <f t="shared" si="14"/>
        <v>222.11869935640772</v>
      </c>
      <c r="Y27" s="7">
        <f t="shared" si="15"/>
        <v>22.396121872470871</v>
      </c>
      <c r="Z27" s="7">
        <v>335.08838828952275</v>
      </c>
      <c r="AA27" s="2">
        <v>1988</v>
      </c>
      <c r="AB27" s="2">
        <v>1989</v>
      </c>
      <c r="AC27" s="7">
        <v>357.48451016199363</v>
      </c>
      <c r="AD27" s="7">
        <v>196.10226816171121</v>
      </c>
      <c r="AE27" s="4">
        <f t="shared" si="6"/>
        <v>0.88098326961718976</v>
      </c>
      <c r="AF27" s="7">
        <v>2900.26</v>
      </c>
      <c r="AG27" s="4">
        <f t="shared" si="7"/>
        <v>0.15043778658422724</v>
      </c>
      <c r="AH27" s="38">
        <v>0.12325946989648984</v>
      </c>
      <c r="AI27" s="7">
        <f t="shared" si="8"/>
        <v>5.8561302291159683</v>
      </c>
      <c r="AJ27" s="24">
        <v>468.29199999999997</v>
      </c>
      <c r="AK27" s="28">
        <v>1.0239799999999999</v>
      </c>
      <c r="AL27" s="28">
        <f t="shared" si="18"/>
        <v>0.93986766666666666</v>
      </c>
      <c r="AM27" s="28">
        <f t="shared" si="16"/>
        <v>8.2696397294226218E-2</v>
      </c>
      <c r="AN27" s="28">
        <f t="shared" si="19"/>
        <v>1.0211399999999999</v>
      </c>
      <c r="AO27" s="28">
        <f t="shared" si="20"/>
        <v>6.2374249999999964E-2</v>
      </c>
      <c r="AP27" s="44">
        <v>10912.1</v>
      </c>
      <c r="AQ27" s="44">
        <f t="shared" si="21"/>
        <v>9720.0500000000011</v>
      </c>
      <c r="AR27" s="44">
        <f t="shared" si="17"/>
        <v>833.1378192312078</v>
      </c>
      <c r="AS27" s="44">
        <f t="shared" si="22"/>
        <v>10132.299999999999</v>
      </c>
      <c r="AT27" s="44">
        <f t="shared" si="23"/>
        <v>699.08750000000009</v>
      </c>
    </row>
    <row r="28" spans="1:46" x14ac:dyDescent="0.4">
      <c r="A28" s="2">
        <v>1989</v>
      </c>
      <c r="B28" s="2">
        <v>1990</v>
      </c>
      <c r="G28" s="7">
        <f t="shared" si="25"/>
        <v>465.75737200996912</v>
      </c>
      <c r="H28" s="7">
        <f t="shared" si="26"/>
        <v>497.72877396408859</v>
      </c>
      <c r="I28" s="7">
        <f t="shared" si="27"/>
        <v>81.628439229299204</v>
      </c>
      <c r="J28" s="4">
        <f t="shared" si="24"/>
        <v>0.17525957533862077</v>
      </c>
      <c r="K28" s="2">
        <v>1989</v>
      </c>
      <c r="L28" s="2">
        <v>1990</v>
      </c>
      <c r="M28" s="3">
        <f t="shared" si="9"/>
        <v>7.4944280230717072E-2</v>
      </c>
      <c r="N28" s="3">
        <f t="shared" si="3"/>
        <v>5.3438059908769021E-2</v>
      </c>
      <c r="O28" s="3">
        <f t="shared" si="3"/>
        <v>0.87161765986051398</v>
      </c>
      <c r="P28" s="2">
        <f t="shared" si="10"/>
        <v>1.9683778331654479E-5</v>
      </c>
      <c r="Q28" s="2">
        <f t="shared" si="4"/>
        <v>1.4035266233523173E-5</v>
      </c>
      <c r="R28" s="2">
        <f t="shared" si="4"/>
        <v>2.2892646048280836E-4</v>
      </c>
      <c r="S28" s="2">
        <f t="shared" si="11"/>
        <v>2.6264550504798601E-4</v>
      </c>
      <c r="T28" s="52">
        <f t="shared" si="12"/>
        <v>50803.254494684559</v>
      </c>
      <c r="U28" s="53">
        <f t="shared" si="5"/>
        <v>71249.093772906446</v>
      </c>
      <c r="V28" s="54">
        <f t="shared" si="5"/>
        <v>4368.2150062119917</v>
      </c>
      <c r="W28" s="7">
        <f t="shared" si="13"/>
        <v>225.39577301867166</v>
      </c>
      <c r="X28" s="7">
        <f t="shared" si="14"/>
        <v>266.92525877650928</v>
      </c>
      <c r="Y28" s="7">
        <f t="shared" si="15"/>
        <v>66.092473143407119</v>
      </c>
      <c r="Z28" s="7">
        <v>336.19859643868807</v>
      </c>
      <c r="AA28" s="2">
        <v>1989</v>
      </c>
      <c r="AB28" s="2">
        <v>1990</v>
      </c>
      <c r="AC28" s="7">
        <v>402.29106958209519</v>
      </c>
      <c r="AD28" s="7">
        <v>206.02009455213562</v>
      </c>
      <c r="AE28" s="4">
        <f t="shared" si="6"/>
        <v>0.99140435947176964</v>
      </c>
      <c r="AF28" s="7">
        <v>2947.73</v>
      </c>
      <c r="AG28" s="4">
        <f t="shared" si="7"/>
        <v>0.15290007676826359</v>
      </c>
      <c r="AH28" s="38">
        <v>0.13647487035179451</v>
      </c>
      <c r="AI28" s="7">
        <f t="shared" si="8"/>
        <v>6.4840017116168553</v>
      </c>
      <c r="AJ28" s="24">
        <v>526.98699999999997</v>
      </c>
      <c r="AK28" s="28">
        <v>0.87204800000000005</v>
      </c>
      <c r="AL28" s="28">
        <f t="shared" si="18"/>
        <v>0.89017033333333329</v>
      </c>
      <c r="AM28" s="28">
        <f t="shared" si="16"/>
        <v>7.2591327480935483E-2</v>
      </c>
      <c r="AN28" s="28">
        <f t="shared" si="19"/>
        <v>0.87204800000000005</v>
      </c>
      <c r="AO28" s="28">
        <f t="shared" si="20"/>
        <v>6.2374249999999964E-2</v>
      </c>
      <c r="AP28" s="44">
        <v>8402.35</v>
      </c>
      <c r="AQ28" s="44">
        <f t="shared" si="21"/>
        <v>9143.4</v>
      </c>
      <c r="AR28" s="44">
        <f t="shared" si="17"/>
        <v>888.21162221249267</v>
      </c>
      <c r="AS28" s="44">
        <f t="shared" si="22"/>
        <v>8402.35</v>
      </c>
      <c r="AT28" s="44">
        <f t="shared" si="23"/>
        <v>699.08750000000009</v>
      </c>
    </row>
    <row r="29" spans="1:46" x14ac:dyDescent="0.4">
      <c r="A29" s="2">
        <v>1990</v>
      </c>
      <c r="B29" s="2">
        <v>1991</v>
      </c>
      <c r="G29" s="7">
        <f t="shared" si="25"/>
        <v>463.31929058095602</v>
      </c>
      <c r="H29" s="7">
        <f t="shared" si="26"/>
        <v>497.72877396408859</v>
      </c>
      <c r="I29" s="7">
        <f t="shared" si="27"/>
        <v>79.451920268028388</v>
      </c>
      <c r="J29" s="4">
        <f t="shared" si="24"/>
        <v>0.17148416196615435</v>
      </c>
      <c r="K29" s="2">
        <v>1990</v>
      </c>
      <c r="L29" s="2">
        <v>1991</v>
      </c>
      <c r="M29" s="3">
        <f t="shared" si="9"/>
        <v>0.18581724220024362</v>
      </c>
      <c r="N29" s="3">
        <f t="shared" si="3"/>
        <v>0.14747814502042417</v>
      </c>
      <c r="O29" s="3">
        <f t="shared" si="3"/>
        <v>0.66670461277933224</v>
      </c>
      <c r="P29" s="2">
        <f t="shared" si="10"/>
        <v>8.6981625206478697E-6</v>
      </c>
      <c r="Q29" s="2">
        <f t="shared" si="4"/>
        <v>6.9034975357612049E-6</v>
      </c>
      <c r="R29" s="2">
        <f t="shared" si="4"/>
        <v>3.1208648920593201E-5</v>
      </c>
      <c r="S29" s="2">
        <f t="shared" si="11"/>
        <v>4.6810308977002276E-5</v>
      </c>
      <c r="T29" s="52">
        <f t="shared" si="12"/>
        <v>114966.81024597785</v>
      </c>
      <c r="U29" s="53">
        <f t="shared" si="5"/>
        <v>144854.11124141674</v>
      </c>
      <c r="V29" s="54">
        <f t="shared" si="5"/>
        <v>32042.39960994096</v>
      </c>
      <c r="W29" s="7">
        <f t="shared" si="13"/>
        <v>339.06756000239517</v>
      </c>
      <c r="X29" s="7">
        <f t="shared" si="14"/>
        <v>380.59704576023279</v>
      </c>
      <c r="Y29" s="7">
        <f t="shared" si="15"/>
        <v>179.00390948228187</v>
      </c>
      <c r="Z29" s="7">
        <v>336.95894708353683</v>
      </c>
      <c r="AA29" s="2">
        <v>1990</v>
      </c>
      <c r="AB29" s="2">
        <v>1991</v>
      </c>
      <c r="AC29" s="7">
        <v>515.9628565658187</v>
      </c>
      <c r="AD29" s="7">
        <v>197.15267834591867</v>
      </c>
      <c r="AE29" s="4">
        <f t="shared" si="6"/>
        <v>1.2715366161526809</v>
      </c>
      <c r="AF29" s="7">
        <v>2980.96</v>
      </c>
      <c r="AG29" s="4">
        <f t="shared" si="7"/>
        <v>0.15462373176753741</v>
      </c>
      <c r="AH29" s="38">
        <v>0.17308613888338611</v>
      </c>
      <c r="AI29" s="7">
        <f t="shared" si="8"/>
        <v>8.2234247073037903</v>
      </c>
      <c r="AJ29" s="24">
        <v>675.89300000000003</v>
      </c>
      <c r="AK29" s="28">
        <v>0.77564299999999997</v>
      </c>
      <c r="AL29" s="28">
        <f t="shared" si="18"/>
        <v>0.89055699999999993</v>
      </c>
      <c r="AM29" s="28">
        <f t="shared" si="16"/>
        <v>7.2283593581116259E-2</v>
      </c>
      <c r="AN29" s="28">
        <f t="shared" si="19"/>
        <v>0.87204800000000005</v>
      </c>
      <c r="AO29" s="28">
        <f t="shared" si="20"/>
        <v>6.208424999999998E-2</v>
      </c>
      <c r="AP29" s="44">
        <v>6824.55</v>
      </c>
      <c r="AQ29" s="44">
        <f t="shared" si="21"/>
        <v>8713</v>
      </c>
      <c r="AR29" s="44">
        <f t="shared" si="17"/>
        <v>1190.1531858686647</v>
      </c>
      <c r="AS29" s="44">
        <f t="shared" si="22"/>
        <v>8402.35</v>
      </c>
      <c r="AT29" s="44">
        <f t="shared" si="23"/>
        <v>1021.8875</v>
      </c>
    </row>
    <row r="30" spans="1:46" x14ac:dyDescent="0.4">
      <c r="A30" s="2">
        <v>1991</v>
      </c>
      <c r="B30" s="2">
        <v>1992</v>
      </c>
      <c r="G30" s="7">
        <f t="shared" si="25"/>
        <v>418.49425737709151</v>
      </c>
      <c r="H30" s="7">
        <f t="shared" si="26"/>
        <v>402.29106958209519</v>
      </c>
      <c r="I30" s="7">
        <f t="shared" si="27"/>
        <v>111.81685943976893</v>
      </c>
      <c r="J30" s="4">
        <f t="shared" si="24"/>
        <v>0.26718851565749063</v>
      </c>
      <c r="K30" s="2">
        <v>1991</v>
      </c>
      <c r="L30" s="2">
        <v>1992</v>
      </c>
      <c r="M30" s="3">
        <f t="shared" si="9"/>
        <v>0.28358985817680671</v>
      </c>
      <c r="N30" s="3">
        <f t="shared" si="3"/>
        <v>0.13879208071959712</v>
      </c>
      <c r="O30" s="3">
        <f t="shared" si="3"/>
        <v>0.57761806110359604</v>
      </c>
      <c r="P30" s="2">
        <f t="shared" si="10"/>
        <v>1.0692331123794142E-4</v>
      </c>
      <c r="Q30" s="2">
        <f t="shared" si="4"/>
        <v>5.2329476588301572E-5</v>
      </c>
      <c r="R30" s="2">
        <f t="shared" si="4"/>
        <v>2.1778224412218121E-4</v>
      </c>
      <c r="S30" s="2">
        <f t="shared" si="11"/>
        <v>3.7703503194842422E-4</v>
      </c>
      <c r="T30" s="52">
        <f t="shared" si="12"/>
        <v>9352.4974902306712</v>
      </c>
      <c r="U30" s="53">
        <f t="shared" si="5"/>
        <v>19109.688557893074</v>
      </c>
      <c r="V30" s="54">
        <f t="shared" si="5"/>
        <v>4591.7425639115709</v>
      </c>
      <c r="W30" s="7">
        <f t="shared" si="13"/>
        <v>96.708311381342355</v>
      </c>
      <c r="X30" s="7">
        <f t="shared" si="14"/>
        <v>138.23779713917997</v>
      </c>
      <c r="Y30" s="7">
        <f t="shared" si="15"/>
        <v>-67.762397861288605</v>
      </c>
      <c r="Z30" s="7">
        <v>341.36600580605449</v>
      </c>
      <c r="AA30" s="2">
        <v>1991</v>
      </c>
      <c r="AB30" s="2">
        <v>1992</v>
      </c>
      <c r="AC30" s="7">
        <v>273.60360794476588</v>
      </c>
      <c r="AD30" s="7">
        <v>142.83746394435727</v>
      </c>
      <c r="AE30" s="4">
        <f t="shared" si="6"/>
        <v>0.67426753958377805</v>
      </c>
      <c r="AF30" s="7">
        <v>3185.98</v>
      </c>
      <c r="AG30" s="4">
        <f t="shared" si="7"/>
        <v>0.16525821109197669</v>
      </c>
      <c r="AH30" s="38">
        <v>8.5877377743980146E-2</v>
      </c>
      <c r="AI30" s="7">
        <f t="shared" si="8"/>
        <v>4.0800849478426544</v>
      </c>
      <c r="AJ30" s="24">
        <v>358.411</v>
      </c>
      <c r="AK30" s="28">
        <v>0.75595000000000001</v>
      </c>
      <c r="AL30" s="28">
        <f t="shared" si="18"/>
        <v>0.8012136666666666</v>
      </c>
      <c r="AM30" s="28">
        <f t="shared" si="16"/>
        <v>3.5870510851920952E-2</v>
      </c>
      <c r="AN30" s="28">
        <f t="shared" si="19"/>
        <v>0.77564299999999997</v>
      </c>
      <c r="AO30" s="28">
        <f t="shared" si="20"/>
        <v>2.9024500000000009E-2</v>
      </c>
      <c r="AP30" s="44">
        <v>7295.33</v>
      </c>
      <c r="AQ30" s="44">
        <f t="shared" si="21"/>
        <v>7507.4100000000008</v>
      </c>
      <c r="AR30" s="44">
        <f t="shared" si="17"/>
        <v>467.65252584941038</v>
      </c>
      <c r="AS30" s="44">
        <f t="shared" si="22"/>
        <v>7295.33</v>
      </c>
      <c r="AT30" s="44">
        <f t="shared" si="23"/>
        <v>394.45000000000005</v>
      </c>
    </row>
    <row r="31" spans="1:46" x14ac:dyDescent="0.4">
      <c r="A31" s="2">
        <v>1992</v>
      </c>
      <c r="B31" s="2">
        <v>1993</v>
      </c>
      <c r="G31" s="7">
        <f t="shared" si="25"/>
        <v>401.0372951005964</v>
      </c>
      <c r="H31" s="7">
        <f t="shared" si="26"/>
        <v>402.29106958209519</v>
      </c>
      <c r="I31" s="7">
        <f t="shared" si="27"/>
        <v>92.668048025329554</v>
      </c>
      <c r="J31" s="4">
        <f t="shared" si="24"/>
        <v>0.23107089828661609</v>
      </c>
      <c r="K31" s="2">
        <v>1992</v>
      </c>
      <c r="L31" s="2">
        <v>1993</v>
      </c>
      <c r="M31" s="3">
        <f t="shared" si="9"/>
        <v>0.11284359489935986</v>
      </c>
      <c r="N31" s="3">
        <f t="shared" si="3"/>
        <v>8.5492659118420897E-2</v>
      </c>
      <c r="O31" s="3">
        <f t="shared" si="3"/>
        <v>0.80166374598221923</v>
      </c>
      <c r="P31" s="2">
        <f t="shared" si="10"/>
        <v>1.2851385846187626E-5</v>
      </c>
      <c r="Q31" s="2">
        <f t="shared" si="4"/>
        <v>9.7364777356419596E-6</v>
      </c>
      <c r="R31" s="2">
        <f t="shared" si="4"/>
        <v>9.1298847114060612E-5</v>
      </c>
      <c r="S31" s="2">
        <f t="shared" si="11"/>
        <v>1.138867106958902E-4</v>
      </c>
      <c r="T31" s="52">
        <f t="shared" si="12"/>
        <v>77812.619741446077</v>
      </c>
      <c r="U31" s="53">
        <f t="shared" si="5"/>
        <v>102706.54616087062</v>
      </c>
      <c r="V31" s="54">
        <f t="shared" si="5"/>
        <v>10953.040828113519</v>
      </c>
      <c r="W31" s="7">
        <f t="shared" si="13"/>
        <v>278.94913468488494</v>
      </c>
      <c r="X31" s="7">
        <f t="shared" si="14"/>
        <v>320.47862044272256</v>
      </c>
      <c r="Y31" s="7">
        <f t="shared" si="15"/>
        <v>104.65677631244677</v>
      </c>
      <c r="Z31" s="7">
        <v>351.1876549358617</v>
      </c>
      <c r="AA31" s="2">
        <v>1992</v>
      </c>
      <c r="AB31" s="2">
        <v>1993</v>
      </c>
      <c r="AC31" s="7">
        <v>455.84443124830847</v>
      </c>
      <c r="AD31" s="7">
        <v>78.13112786588259</v>
      </c>
      <c r="AE31" s="4">
        <f t="shared" si="6"/>
        <v>1.1233810306800216</v>
      </c>
      <c r="AF31" s="7">
        <v>3735.32</v>
      </c>
      <c r="AG31" s="4">
        <f t="shared" si="7"/>
        <v>0.19375272319853934</v>
      </c>
      <c r="AH31" s="38">
        <v>0.12203624622477015</v>
      </c>
      <c r="AI31" s="7">
        <f t="shared" si="8"/>
        <v>5.7980141498650717</v>
      </c>
      <c r="AJ31" s="24">
        <v>597.14</v>
      </c>
      <c r="AK31" s="28">
        <v>0.65294399999999997</v>
      </c>
      <c r="AL31" s="28">
        <f t="shared" si="18"/>
        <v>0.72817899999999991</v>
      </c>
      <c r="AM31" s="28">
        <f t="shared" si="16"/>
        <v>3.8044633791552443E-2</v>
      </c>
      <c r="AN31" s="28">
        <f t="shared" si="19"/>
        <v>0.75595000000000001</v>
      </c>
      <c r="AO31" s="28">
        <f t="shared" si="20"/>
        <v>3.0674750000000001E-2</v>
      </c>
      <c r="AP31" s="44">
        <v>6741.74</v>
      </c>
      <c r="AQ31" s="44">
        <f t="shared" si="21"/>
        <v>6953.8733333333339</v>
      </c>
      <c r="AR31" s="44">
        <f t="shared" si="17"/>
        <v>172.39379864458905</v>
      </c>
      <c r="AS31" s="44">
        <f t="shared" si="22"/>
        <v>6824.55</v>
      </c>
      <c r="AT31" s="44">
        <f t="shared" si="23"/>
        <v>138.39750000000004</v>
      </c>
    </row>
    <row r="32" spans="1:46" x14ac:dyDescent="0.4">
      <c r="A32" s="2">
        <v>1993</v>
      </c>
      <c r="B32" s="2">
        <v>1994</v>
      </c>
      <c r="G32" s="7">
        <f t="shared" si="25"/>
        <v>355.66018584642745</v>
      </c>
      <c r="H32" s="7">
        <f t="shared" si="26"/>
        <v>402.29106958209519</v>
      </c>
      <c r="I32" s="7">
        <f t="shared" si="27"/>
        <v>154.34871572952736</v>
      </c>
      <c r="J32" s="4">
        <f t="shared" si="24"/>
        <v>0.43397805509828552</v>
      </c>
      <c r="K32" s="2">
        <v>1993</v>
      </c>
      <c r="L32" s="2">
        <v>1994</v>
      </c>
      <c r="M32" s="3">
        <f t="shared" si="9"/>
        <v>1.0484849427309234E-2</v>
      </c>
      <c r="N32" s="3">
        <f t="shared" si="9"/>
        <v>0.98899243188579677</v>
      </c>
      <c r="O32" s="3">
        <f t="shared" si="9"/>
        <v>5.2271868689410521E-4</v>
      </c>
      <c r="P32" s="2">
        <f t="shared" si="10"/>
        <v>4.6655926682876055E-4</v>
      </c>
      <c r="Q32" s="2">
        <f t="shared" si="10"/>
        <v>4.4008603759057234E-2</v>
      </c>
      <c r="R32" s="2">
        <f t="shared" si="10"/>
        <v>2.3260157335191588E-5</v>
      </c>
      <c r="S32" s="2">
        <f t="shared" si="11"/>
        <v>4.4498423183221184E-2</v>
      </c>
      <c r="T32" s="52">
        <f t="shared" si="12"/>
        <v>2143.3504189019272</v>
      </c>
      <c r="U32" s="53">
        <f t="shared" si="12"/>
        <v>22.722829505678057</v>
      </c>
      <c r="V32" s="54">
        <f t="shared" si="12"/>
        <v>42991.970586847419</v>
      </c>
      <c r="W32" s="7">
        <f t="shared" si="13"/>
        <v>-46.296332672274673</v>
      </c>
      <c r="X32" s="7">
        <f t="shared" si="14"/>
        <v>-4.7668469144370533</v>
      </c>
      <c r="Y32" s="7">
        <f t="shared" si="15"/>
        <v>-207.34505199509204</v>
      </c>
      <c r="Z32" s="7">
        <v>337.94401588624089</v>
      </c>
      <c r="AA32" s="2">
        <v>1993</v>
      </c>
      <c r="AB32" s="2">
        <v>1994</v>
      </c>
      <c r="AC32" s="7">
        <v>130.59896389114886</v>
      </c>
      <c r="AD32" s="7">
        <v>38.936323784550062</v>
      </c>
      <c r="AE32" s="4">
        <f t="shared" si="6"/>
        <v>0.32184751771567494</v>
      </c>
      <c r="AF32" s="7">
        <v>3024.91</v>
      </c>
      <c r="AG32" s="4">
        <f t="shared" si="7"/>
        <v>0.15690343797331785</v>
      </c>
      <c r="AH32" s="38">
        <v>4.3174495734137168E-2</v>
      </c>
      <c r="AI32" s="7">
        <f t="shared" si="8"/>
        <v>2.0512457972425473</v>
      </c>
      <c r="AJ32" s="24">
        <v>171.08</v>
      </c>
      <c r="AK32" s="28">
        <v>0.88946199999999997</v>
      </c>
      <c r="AL32" s="28">
        <f t="shared" si="18"/>
        <v>0.76611866666666673</v>
      </c>
      <c r="AM32" s="28">
        <f t="shared" si="16"/>
        <v>6.8465909807565756E-2</v>
      </c>
      <c r="AN32" s="28">
        <f t="shared" si="19"/>
        <v>0.75595000000000001</v>
      </c>
      <c r="AO32" s="28">
        <f t="shared" si="20"/>
        <v>5.9129500000000002E-2</v>
      </c>
      <c r="AP32" s="44">
        <v>8400.84</v>
      </c>
      <c r="AQ32" s="44">
        <f t="shared" si="21"/>
        <v>7479.3033333333333</v>
      </c>
      <c r="AR32" s="44">
        <f t="shared" si="17"/>
        <v>487.69452291139982</v>
      </c>
      <c r="AS32" s="44">
        <f t="shared" si="22"/>
        <v>7295.33</v>
      </c>
      <c r="AT32" s="44">
        <f t="shared" si="23"/>
        <v>414.77500000000009</v>
      </c>
    </row>
    <row r="33" spans="1:46" x14ac:dyDescent="0.4">
      <c r="A33" s="2">
        <v>1994</v>
      </c>
      <c r="B33" s="2">
        <v>1995</v>
      </c>
      <c r="G33" s="7">
        <f t="shared" si="25"/>
        <v>348.19097552203795</v>
      </c>
      <c r="H33" s="7">
        <f t="shared" si="26"/>
        <v>364.94501796014771</v>
      </c>
      <c r="I33" s="7">
        <f t="shared" si="27"/>
        <v>152.41959147734136</v>
      </c>
      <c r="J33" s="4">
        <f t="shared" si="24"/>
        <v>0.43774710487203394</v>
      </c>
      <c r="K33" s="2">
        <v>1994</v>
      </c>
      <c r="L33" s="2">
        <v>1995</v>
      </c>
      <c r="M33" s="3">
        <f t="shared" si="9"/>
        <v>3.401364321649325E-2</v>
      </c>
      <c r="N33" s="3">
        <f t="shared" si="9"/>
        <v>2.2820935164043793E-2</v>
      </c>
      <c r="O33" s="3">
        <f t="shared" si="9"/>
        <v>0.94316542161946293</v>
      </c>
      <c r="P33" s="2">
        <f t="shared" si="10"/>
        <v>2.8278385546031566E-5</v>
      </c>
      <c r="Q33" s="2">
        <f t="shared" si="10"/>
        <v>1.8972951500146679E-5</v>
      </c>
      <c r="R33" s="2">
        <f t="shared" si="10"/>
        <v>7.8413227470169086E-4</v>
      </c>
      <c r="S33" s="2">
        <f t="shared" si="11"/>
        <v>8.3138361174786915E-4</v>
      </c>
      <c r="T33" s="52">
        <f t="shared" si="12"/>
        <v>35362.697717385585</v>
      </c>
      <c r="U33" s="53">
        <f t="shared" si="12"/>
        <v>52706.612357717197</v>
      </c>
      <c r="V33" s="54">
        <f t="shared" si="12"/>
        <v>1275.2950391953095</v>
      </c>
      <c r="W33" s="7">
        <f t="shared" si="13"/>
        <v>188.04972139672418</v>
      </c>
      <c r="X33" s="7">
        <f t="shared" si="14"/>
        <v>229.5792071545618</v>
      </c>
      <c r="Y33" s="7">
        <f t="shared" si="15"/>
        <v>35.711273278830447</v>
      </c>
      <c r="Z33" s="7">
        <v>329.23374468131726</v>
      </c>
      <c r="AA33" s="2">
        <v>1994</v>
      </c>
      <c r="AB33" s="2">
        <v>1995</v>
      </c>
      <c r="AC33" s="7">
        <v>364.94501796014771</v>
      </c>
      <c r="AD33" s="7">
        <v>36.572519180336002</v>
      </c>
      <c r="AE33" s="4">
        <f t="shared" si="6"/>
        <v>0.8993689125364982</v>
      </c>
      <c r="AF33" s="7">
        <v>2668.82</v>
      </c>
      <c r="AG33" s="4">
        <f t="shared" si="7"/>
        <v>0.1384328900139013</v>
      </c>
      <c r="AH33" s="38">
        <v>0.13674396098655875</v>
      </c>
      <c r="AI33" s="7">
        <f t="shared" si="8"/>
        <v>6.4967863666371812</v>
      </c>
      <c r="AJ33" s="24">
        <v>478.065</v>
      </c>
      <c r="AK33" s="28">
        <v>0.951569</v>
      </c>
      <c r="AL33" s="28">
        <f t="shared" si="18"/>
        <v>0.83132499999999998</v>
      </c>
      <c r="AM33" s="28">
        <f t="shared" si="16"/>
        <v>9.0974640666140291E-2</v>
      </c>
      <c r="AN33" s="28">
        <f t="shared" si="19"/>
        <v>0.88946199999999997</v>
      </c>
      <c r="AO33" s="28">
        <f t="shared" si="20"/>
        <v>7.4656250000000007E-2</v>
      </c>
      <c r="AP33" s="44">
        <v>6811.99</v>
      </c>
      <c r="AQ33" s="44">
        <f t="shared" si="21"/>
        <v>7318.19</v>
      </c>
      <c r="AR33" s="44">
        <f t="shared" si="17"/>
        <v>541.70472661159044</v>
      </c>
      <c r="AS33" s="44">
        <f t="shared" si="22"/>
        <v>6811.99</v>
      </c>
      <c r="AT33" s="44">
        <f t="shared" si="23"/>
        <v>414.77500000000009</v>
      </c>
    </row>
    <row r="34" spans="1:46" x14ac:dyDescent="0.4">
      <c r="A34" s="2">
        <v>1995</v>
      </c>
      <c r="B34" s="2">
        <v>1996</v>
      </c>
      <c r="G34" s="7">
        <f t="shared" si="25"/>
        <v>294.32004798618055</v>
      </c>
      <c r="H34" s="7">
        <f t="shared" si="26"/>
        <v>273.60360794476588</v>
      </c>
      <c r="I34" s="7">
        <f t="shared" si="27"/>
        <v>123.07334771723595</v>
      </c>
      <c r="J34" s="4">
        <f t="shared" si="24"/>
        <v>0.41816161882052527</v>
      </c>
      <c r="K34" s="2">
        <v>1995</v>
      </c>
      <c r="L34" s="2">
        <v>1996</v>
      </c>
      <c r="M34" s="3">
        <f t="shared" si="9"/>
        <v>0.30589900726691854</v>
      </c>
      <c r="N34" s="3">
        <f t="shared" si="9"/>
        <v>0.12013343122205135</v>
      </c>
      <c r="O34" s="3">
        <f t="shared" si="9"/>
        <v>0.57396756151103001</v>
      </c>
      <c r="P34" s="2">
        <f t="shared" si="10"/>
        <v>2.0576590897360134E-4</v>
      </c>
      <c r="Q34" s="2">
        <f t="shared" si="10"/>
        <v>8.0808907797316312E-5</v>
      </c>
      <c r="R34" s="2">
        <f t="shared" si="10"/>
        <v>3.8608479991772356E-4</v>
      </c>
      <c r="S34" s="2">
        <f t="shared" si="11"/>
        <v>6.7265961668864127E-4</v>
      </c>
      <c r="T34" s="52">
        <f t="shared" si="12"/>
        <v>4859.8915388277201</v>
      </c>
      <c r="U34" s="53">
        <f t="shared" si="12"/>
        <v>12374.873355647684</v>
      </c>
      <c r="V34" s="54">
        <f t="shared" si="12"/>
        <v>2590.1045578927337</v>
      </c>
      <c r="W34" s="7">
        <f t="shared" si="13"/>
        <v>69.712922323108216</v>
      </c>
      <c r="X34" s="7">
        <f t="shared" si="14"/>
        <v>111.24240808094584</v>
      </c>
      <c r="Y34" s="7">
        <f t="shared" si="15"/>
        <v>-50.893069841509202</v>
      </c>
      <c r="Z34" s="7">
        <v>297.50128872804095</v>
      </c>
      <c r="AA34" s="2">
        <v>1995</v>
      </c>
      <c r="AB34" s="2">
        <v>1996</v>
      </c>
      <c r="AC34" s="7">
        <v>246.60821888653174</v>
      </c>
      <c r="AD34" s="7">
        <v>32.626992263855975</v>
      </c>
      <c r="AE34" s="4">
        <f t="shared" si="6"/>
        <v>0.60774022038235531</v>
      </c>
      <c r="AF34" s="7">
        <v>1794.57</v>
      </c>
      <c r="AG34" s="4">
        <f t="shared" si="7"/>
        <v>9.3085150528041158E-2</v>
      </c>
      <c r="AH34" s="38">
        <v>0.13741911370775828</v>
      </c>
      <c r="AI34" s="7">
        <f t="shared" si="8"/>
        <v>6.5288632712612786</v>
      </c>
      <c r="AJ34" s="24">
        <v>323.048</v>
      </c>
      <c r="AK34" s="28">
        <v>1.1658999999999999</v>
      </c>
      <c r="AL34" s="28">
        <f t="shared" si="18"/>
        <v>1.0023103333333332</v>
      </c>
      <c r="AM34" s="28">
        <f t="shared" si="16"/>
        <v>8.3736698729476533E-2</v>
      </c>
      <c r="AN34" s="28">
        <f t="shared" si="19"/>
        <v>0.951569</v>
      </c>
      <c r="AO34" s="28">
        <f t="shared" si="20"/>
        <v>6.910949999999999E-2</v>
      </c>
      <c r="AP34" s="44">
        <v>7047.15</v>
      </c>
      <c r="AQ34" s="44">
        <f t="shared" si="21"/>
        <v>7419.9933333333329</v>
      </c>
      <c r="AR34" s="44">
        <f t="shared" si="17"/>
        <v>495.09938195387724</v>
      </c>
      <c r="AS34" s="44">
        <f t="shared" si="22"/>
        <v>7047.15</v>
      </c>
      <c r="AT34" s="44">
        <f t="shared" si="23"/>
        <v>397.21250000000009</v>
      </c>
    </row>
    <row r="35" spans="1:46" x14ac:dyDescent="0.4">
      <c r="A35" s="2">
        <v>1996</v>
      </c>
      <c r="B35" s="2">
        <v>1997</v>
      </c>
      <c r="C35" s="7">
        <f>AVERAGE(AC16:AC35)</f>
        <v>393.37143821846581</v>
      </c>
      <c r="D35" s="7">
        <f>MEDIAN(AC16:AC35)</f>
        <v>389.87775562468363</v>
      </c>
      <c r="E35" s="7">
        <f>STDEV(AC16:AC35)</f>
        <v>115.67603228787829</v>
      </c>
      <c r="F35" s="4">
        <f>E35/C35</f>
        <v>0.29406311960970472</v>
      </c>
      <c r="G35" s="7">
        <f t="shared" si="25"/>
        <v>283.47441015833914</v>
      </c>
      <c r="H35" s="7">
        <f t="shared" si="26"/>
        <v>246.60821888653174</v>
      </c>
      <c r="I35" s="7">
        <f t="shared" si="27"/>
        <v>127.65929551826459</v>
      </c>
      <c r="J35" s="4">
        <f t="shared" si="24"/>
        <v>0.45033798799319646</v>
      </c>
      <c r="K35" s="2">
        <v>1996</v>
      </c>
      <c r="L35" s="2">
        <v>1997</v>
      </c>
      <c r="M35" s="3">
        <f t="shared" si="9"/>
        <v>0.46841649719459627</v>
      </c>
      <c r="N35" s="3">
        <f t="shared" si="9"/>
        <v>0.1197693744533059</v>
      </c>
      <c r="O35" s="3">
        <f t="shared" si="9"/>
        <v>0.41181412835209791</v>
      </c>
      <c r="P35" s="2">
        <f t="shared" si="10"/>
        <v>5.5415146329268548E-4</v>
      </c>
      <c r="Q35" s="2">
        <f t="shared" si="10"/>
        <v>1.416909406659444E-4</v>
      </c>
      <c r="R35" s="2">
        <f t="shared" si="10"/>
        <v>4.8718907894508177E-4</v>
      </c>
      <c r="S35" s="2">
        <f t="shared" si="11"/>
        <v>1.1830314829037116E-3</v>
      </c>
      <c r="T35" s="52">
        <f t="shared" si="12"/>
        <v>1804.5607857067614</v>
      </c>
      <c r="U35" s="53">
        <f t="shared" si="12"/>
        <v>7057.6142363091203</v>
      </c>
      <c r="V35" s="54">
        <f t="shared" si="12"/>
        <v>2052.5911667915789</v>
      </c>
      <c r="W35" s="7">
        <f t="shared" si="13"/>
        <v>42.480122242135337</v>
      </c>
      <c r="X35" s="7">
        <f t="shared" si="14"/>
        <v>84.009607999972957</v>
      </c>
      <c r="Y35" s="7">
        <f t="shared" si="15"/>
        <v>-45.305531304594354</v>
      </c>
      <c r="Z35" s="7">
        <v>264.68095011015322</v>
      </c>
      <c r="AA35" s="2">
        <v>1996</v>
      </c>
      <c r="AB35" s="2">
        <v>1997</v>
      </c>
      <c r="AC35" s="7">
        <v>219.37541880555887</v>
      </c>
      <c r="AD35" s="7">
        <v>31.122218604619164</v>
      </c>
      <c r="AE35" s="4">
        <f t="shared" si="6"/>
        <v>0.5406278264906732</v>
      </c>
      <c r="AF35" s="7">
        <v>1262.5</v>
      </c>
      <c r="AG35" s="4">
        <f t="shared" si="7"/>
        <v>6.5486441064796563E-2</v>
      </c>
      <c r="AH35" s="38">
        <v>0.17376270796479909</v>
      </c>
      <c r="AI35" s="7">
        <f t="shared" si="8"/>
        <v>8.2555689040383289</v>
      </c>
      <c r="AJ35" s="24">
        <v>287.37400000000002</v>
      </c>
      <c r="AK35" s="28">
        <v>1.1916899999999999</v>
      </c>
      <c r="AL35" s="28">
        <f t="shared" si="18"/>
        <v>1.1030529999999998</v>
      </c>
      <c r="AM35" s="28">
        <f t="shared" si="16"/>
        <v>7.6107013949657285E-2</v>
      </c>
      <c r="AN35" s="28">
        <f t="shared" si="19"/>
        <v>1.1658999999999999</v>
      </c>
      <c r="AO35" s="28">
        <f t="shared" si="20"/>
        <v>6.0030249999999979E-2</v>
      </c>
      <c r="AP35" s="44">
        <v>5510.05</v>
      </c>
      <c r="AQ35" s="44">
        <f t="shared" si="21"/>
        <v>6456.3966666666665</v>
      </c>
      <c r="AR35" s="44">
        <f t="shared" si="17"/>
        <v>478.01815395559402</v>
      </c>
      <c r="AS35" s="44">
        <f t="shared" si="22"/>
        <v>6811.99</v>
      </c>
      <c r="AT35" s="44">
        <f t="shared" si="23"/>
        <v>384.27499999999986</v>
      </c>
    </row>
    <row r="36" spans="1:46" x14ac:dyDescent="0.4">
      <c r="A36" s="2">
        <v>1997</v>
      </c>
      <c r="B36" s="2">
        <v>1998</v>
      </c>
      <c r="C36" s="7">
        <f t="shared" ref="C36:C59" si="28">AVERAGE(AC17:AC36)</f>
        <v>388.30469766967855</v>
      </c>
      <c r="D36" s="7">
        <f t="shared" ref="D36:D59" si="29">MEDIAN(AC17:AC36)</f>
        <v>374.70138958751983</v>
      </c>
      <c r="E36" s="7">
        <f t="shared" ref="E36:E59" si="30">STDEV(AC17:AC36)</f>
        <v>116.90415998470066</v>
      </c>
      <c r="F36" s="4">
        <f t="shared" ref="F36:F59" si="31">E36/C36</f>
        <v>0.30106295567958391</v>
      </c>
      <c r="G36" s="7">
        <f t="shared" si="25"/>
        <v>254.98401869839572</v>
      </c>
      <c r="H36" s="7">
        <f t="shared" si="26"/>
        <v>246.60821888653174</v>
      </c>
      <c r="I36" s="7">
        <f t="shared" si="27"/>
        <v>89.87872005037606</v>
      </c>
      <c r="J36" s="4">
        <f t="shared" si="24"/>
        <v>0.35248765985090169</v>
      </c>
      <c r="K36" s="2">
        <v>1997</v>
      </c>
      <c r="L36" s="2">
        <v>1998</v>
      </c>
      <c r="M36" s="3">
        <f t="shared" si="9"/>
        <v>0.11027789002341258</v>
      </c>
      <c r="N36" s="3">
        <f t="shared" si="9"/>
        <v>6.4828457173651655E-2</v>
      </c>
      <c r="O36" s="3">
        <f t="shared" si="9"/>
        <v>0.82489365280293581</v>
      </c>
      <c r="P36" s="2">
        <f t="shared" si="10"/>
        <v>5.3672603055278549E-5</v>
      </c>
      <c r="Q36" s="2">
        <f t="shared" si="10"/>
        <v>3.1552218199213023E-5</v>
      </c>
      <c r="R36" s="2">
        <f t="shared" si="10"/>
        <v>4.0147838864446072E-4</v>
      </c>
      <c r="S36" s="2">
        <f t="shared" si="11"/>
        <v>4.8670320989895228E-4</v>
      </c>
      <c r="T36" s="52">
        <f t="shared" si="12"/>
        <v>18631.479434117977</v>
      </c>
      <c r="U36" s="53">
        <f t="shared" si="12"/>
        <v>31693.492789833141</v>
      </c>
      <c r="V36" s="54">
        <f t="shared" si="12"/>
        <v>2490.7940957329465</v>
      </c>
      <c r="W36" s="7">
        <f t="shared" si="13"/>
        <v>136.49717738516784</v>
      </c>
      <c r="X36" s="7">
        <f t="shared" si="14"/>
        <v>178.02666314300546</v>
      </c>
      <c r="Y36" s="7">
        <f t="shared" si="15"/>
        <v>49.90785605225841</v>
      </c>
      <c r="Z36" s="7">
        <v>263.48461789633296</v>
      </c>
      <c r="AA36" s="2">
        <v>1997</v>
      </c>
      <c r="AB36" s="2">
        <v>1998</v>
      </c>
      <c r="AC36" s="7">
        <v>313.39247394859137</v>
      </c>
      <c r="AD36" s="7">
        <v>32.326678770783857</v>
      </c>
      <c r="AE36" s="4">
        <f t="shared" si="6"/>
        <v>0.7723230476406896</v>
      </c>
      <c r="AF36" s="7">
        <v>1247.28</v>
      </c>
      <c r="AG36" s="4">
        <f t="shared" si="7"/>
        <v>6.4696972840633235E-2</v>
      </c>
      <c r="AH36" s="38">
        <v>0.25126072249101356</v>
      </c>
      <c r="AI36" s="7">
        <f t="shared" si="8"/>
        <v>11.937545355377564</v>
      </c>
      <c r="AJ36" s="24">
        <v>410.53300000000002</v>
      </c>
      <c r="AK36" s="28">
        <v>1.09917</v>
      </c>
      <c r="AL36" s="28">
        <f t="shared" si="18"/>
        <v>1.1522533333333334</v>
      </c>
      <c r="AM36" s="28">
        <f t="shared" si="16"/>
        <v>2.756604936834034E-2</v>
      </c>
      <c r="AN36" s="28">
        <f t="shared" si="19"/>
        <v>1.1658999999999999</v>
      </c>
      <c r="AO36" s="28">
        <f t="shared" si="20"/>
        <v>2.3129999999999984E-2</v>
      </c>
      <c r="AP36" s="44">
        <v>4897.43</v>
      </c>
      <c r="AQ36" s="44">
        <f t="shared" si="21"/>
        <v>5818.21</v>
      </c>
      <c r="AR36" s="44">
        <f t="shared" si="17"/>
        <v>639.41274067172901</v>
      </c>
      <c r="AS36" s="44">
        <f t="shared" si="22"/>
        <v>5510.05</v>
      </c>
      <c r="AT36" s="44">
        <f t="shared" si="23"/>
        <v>537.42999999999984</v>
      </c>
    </row>
    <row r="37" spans="1:46" x14ac:dyDescent="0.4">
      <c r="A37" s="2">
        <v>1998</v>
      </c>
      <c r="B37" s="2">
        <v>1999</v>
      </c>
      <c r="C37" s="7">
        <f t="shared" si="28"/>
        <v>372.22170397606556</v>
      </c>
      <c r="D37" s="7">
        <f t="shared" si="29"/>
        <v>368.44167773395765</v>
      </c>
      <c r="E37" s="7">
        <f t="shared" si="30"/>
        <v>117.3898722125992</v>
      </c>
      <c r="F37" s="4">
        <f t="shared" si="31"/>
        <v>0.31537621519283454</v>
      </c>
      <c r="G37" s="7">
        <f t="shared" si="25"/>
        <v>272.07868106687863</v>
      </c>
      <c r="H37" s="7">
        <f t="shared" si="26"/>
        <v>246.60821888653174</v>
      </c>
      <c r="I37" s="7">
        <f t="shared" si="27"/>
        <v>64.98861774432612</v>
      </c>
      <c r="J37" s="4">
        <f t="shared" si="24"/>
        <v>0.23885964710462382</v>
      </c>
      <c r="K37" s="2">
        <v>1998</v>
      </c>
      <c r="L37" s="2">
        <v>1999</v>
      </c>
      <c r="M37" s="3">
        <f t="shared" si="9"/>
        <v>0.38192503564539482</v>
      </c>
      <c r="N37" s="3">
        <f t="shared" si="9"/>
        <v>8.9996033633967826E-2</v>
      </c>
      <c r="O37" s="3">
        <f t="shared" si="9"/>
        <v>0.52807893072063727</v>
      </c>
      <c r="P37" s="2">
        <f t="shared" si="10"/>
        <v>6.5153553700982264E-4</v>
      </c>
      <c r="Q37" s="2">
        <f t="shared" si="10"/>
        <v>1.5352650030751736E-4</v>
      </c>
      <c r="R37" s="2">
        <f t="shared" si="10"/>
        <v>9.0086314747403484E-4</v>
      </c>
      <c r="S37" s="2">
        <f t="shared" si="11"/>
        <v>1.705925184791375E-3</v>
      </c>
      <c r="T37" s="52">
        <f t="shared" si="12"/>
        <v>1534.8356968975645</v>
      </c>
      <c r="U37" s="53">
        <f t="shared" si="12"/>
        <v>6513.5334811708426</v>
      </c>
      <c r="V37" s="54">
        <f t="shared" si="12"/>
        <v>1110.0465179466369</v>
      </c>
      <c r="W37" s="7">
        <f t="shared" si="13"/>
        <v>39.176979170139759</v>
      </c>
      <c r="X37" s="7">
        <f t="shared" si="14"/>
        <v>80.706464927977379</v>
      </c>
      <c r="Y37" s="7">
        <f t="shared" si="15"/>
        <v>-33.317360608947354</v>
      </c>
      <c r="Z37" s="7">
        <v>249.38963634251064</v>
      </c>
      <c r="AA37" s="2">
        <v>1998</v>
      </c>
      <c r="AB37" s="2">
        <v>1999</v>
      </c>
      <c r="AC37" s="7">
        <v>216.07227573356329</v>
      </c>
      <c r="AD37" s="7">
        <v>29.012695709968707</v>
      </c>
      <c r="AE37" s="4">
        <f t="shared" si="6"/>
        <v>0.53248757509275568</v>
      </c>
      <c r="AF37" s="7">
        <v>1083.8900000000001</v>
      </c>
      <c r="AG37" s="4">
        <f t="shared" si="7"/>
        <v>5.622186028176028E-2</v>
      </c>
      <c r="AH37" s="38">
        <v>0.19934889678248094</v>
      </c>
      <c r="AI37" s="7">
        <f t="shared" si="8"/>
        <v>9.4711838495587344</v>
      </c>
      <c r="AJ37" s="24">
        <v>283.04700000000003</v>
      </c>
      <c r="AK37" s="28">
        <v>1.42235</v>
      </c>
      <c r="AL37" s="28">
        <f t="shared" si="18"/>
        <v>1.2377366666666667</v>
      </c>
      <c r="AM37" s="28">
        <f t="shared" si="16"/>
        <v>9.6092923314419321E-2</v>
      </c>
      <c r="AN37" s="28">
        <f t="shared" si="19"/>
        <v>1.1916899999999999</v>
      </c>
      <c r="AO37" s="28">
        <f t="shared" si="20"/>
        <v>8.0795000000000006E-2</v>
      </c>
      <c r="AP37" s="44">
        <v>6101.51</v>
      </c>
      <c r="AQ37" s="44">
        <f t="shared" si="21"/>
        <v>5502.996666666666</v>
      </c>
      <c r="AR37" s="44">
        <f t="shared" si="17"/>
        <v>347.60584658169631</v>
      </c>
      <c r="AS37" s="44">
        <f t="shared" si="22"/>
        <v>5510.05</v>
      </c>
      <c r="AT37" s="44">
        <f t="shared" si="23"/>
        <v>301.02</v>
      </c>
    </row>
    <row r="38" spans="1:46" x14ac:dyDescent="0.4">
      <c r="A38" s="2">
        <v>1999</v>
      </c>
      <c r="B38" s="2">
        <v>2000</v>
      </c>
      <c r="C38" s="7">
        <f t="shared" si="28"/>
        <v>362.58170955260499</v>
      </c>
      <c r="D38" s="7">
        <f t="shared" si="29"/>
        <v>368.44167773395765</v>
      </c>
      <c r="E38" s="7">
        <f t="shared" si="30"/>
        <v>126.04172103464985</v>
      </c>
      <c r="F38" s="4">
        <f t="shared" si="31"/>
        <v>0.34762294322616172</v>
      </c>
      <c r="G38" s="7">
        <f t="shared" si="25"/>
        <v>232.53455452893755</v>
      </c>
      <c r="H38" s="7">
        <f t="shared" si="26"/>
        <v>219.37541880555887</v>
      </c>
      <c r="I38" s="7">
        <f t="shared" si="27"/>
        <v>53.49219299585134</v>
      </c>
      <c r="J38" s="4">
        <f t="shared" si="24"/>
        <v>0.23003975948527061</v>
      </c>
      <c r="K38" s="2">
        <v>1999</v>
      </c>
      <c r="L38" s="2">
        <v>2000</v>
      </c>
      <c r="M38" s="3">
        <f t="shared" si="9"/>
        <v>0.90484536928549586</v>
      </c>
      <c r="N38" s="3">
        <f t="shared" si="9"/>
        <v>8.3378963001531442E-2</v>
      </c>
      <c r="O38" s="3">
        <f t="shared" si="9"/>
        <v>1.1775667712972789E-2</v>
      </c>
      <c r="P38" s="2">
        <f t="shared" si="10"/>
        <v>1.0692153883286667E-2</v>
      </c>
      <c r="Q38" s="2">
        <f t="shared" si="10"/>
        <v>9.8525199255338662E-4</v>
      </c>
      <c r="R38" s="2">
        <f t="shared" si="10"/>
        <v>1.3914780971358356E-4</v>
      </c>
      <c r="S38" s="2">
        <f t="shared" si="11"/>
        <v>1.1816553685553637E-2</v>
      </c>
      <c r="T38" s="52">
        <f t="shared" si="12"/>
        <v>93.526525236710256</v>
      </c>
      <c r="U38" s="53">
        <f t="shared" si="12"/>
        <v>1014.968766932805</v>
      </c>
      <c r="V38" s="54">
        <f t="shared" si="12"/>
        <v>7186.6025204303323</v>
      </c>
      <c r="W38" s="7">
        <f t="shared" si="13"/>
        <v>-9.6709112929811454</v>
      </c>
      <c r="X38" s="7">
        <f t="shared" si="14"/>
        <v>31.858574464856474</v>
      </c>
      <c r="Y38" s="7">
        <f t="shared" si="15"/>
        <v>-84.773831578089784</v>
      </c>
      <c r="Z38" s="7">
        <v>251.99821684853217</v>
      </c>
      <c r="AA38" s="2">
        <v>1999</v>
      </c>
      <c r="AB38" s="2">
        <v>2000</v>
      </c>
      <c r="AC38" s="7">
        <v>167.22438527044238</v>
      </c>
      <c r="AD38" s="7">
        <v>25.18831711923994</v>
      </c>
      <c r="AE38" s="4">
        <f t="shared" si="6"/>
        <v>0.41210704662006259</v>
      </c>
      <c r="AF38" s="7">
        <v>1112.08</v>
      </c>
      <c r="AG38" s="4">
        <f t="shared" si="7"/>
        <v>5.7684088221258582E-2</v>
      </c>
      <c r="AH38" s="38">
        <v>0.15037082338540608</v>
      </c>
      <c r="AI38" s="7">
        <f t="shared" si="8"/>
        <v>7.1442066491429248</v>
      </c>
      <c r="AJ38" s="24">
        <v>219.05799999999999</v>
      </c>
      <c r="AK38" s="28">
        <v>1.3893</v>
      </c>
      <c r="AL38" s="28">
        <f t="shared" si="18"/>
        <v>1.3036066666666666</v>
      </c>
      <c r="AM38" s="28">
        <f t="shared" si="16"/>
        <v>0.10266261674912606</v>
      </c>
      <c r="AN38" s="28">
        <f t="shared" si="19"/>
        <v>1.3893</v>
      </c>
      <c r="AO38" s="28">
        <f t="shared" si="20"/>
        <v>8.0795000000000006E-2</v>
      </c>
      <c r="AP38" s="44">
        <v>5302.76</v>
      </c>
      <c r="AQ38" s="44">
        <f t="shared" si="21"/>
        <v>5433.9000000000005</v>
      </c>
      <c r="AR38" s="44">
        <f t="shared" si="17"/>
        <v>353.71854927328877</v>
      </c>
      <c r="AS38" s="44">
        <f t="shared" si="22"/>
        <v>5302.76</v>
      </c>
      <c r="AT38" s="44">
        <f t="shared" si="23"/>
        <v>301.02</v>
      </c>
    </row>
    <row r="39" spans="1:46" x14ac:dyDescent="0.4">
      <c r="A39" s="2">
        <v>2000</v>
      </c>
      <c r="B39" s="2">
        <v>2001</v>
      </c>
      <c r="C39" s="7">
        <f t="shared" si="28"/>
        <v>359.18253334022182</v>
      </c>
      <c r="D39" s="7">
        <f t="shared" si="29"/>
        <v>361.2147640610707</v>
      </c>
      <c r="E39" s="7">
        <f t="shared" si="30"/>
        <v>126.69114368787574</v>
      </c>
      <c r="F39" s="4">
        <f t="shared" si="31"/>
        <v>0.35272078101824744</v>
      </c>
      <c r="G39" s="7">
        <f t="shared" si="25"/>
        <v>244.00387340365214</v>
      </c>
      <c r="H39" s="7">
        <f t="shared" si="26"/>
        <v>219.37541880555887</v>
      </c>
      <c r="I39" s="7">
        <f t="shared" si="27"/>
        <v>62.631297682446508</v>
      </c>
      <c r="J39" s="4">
        <f t="shared" si="24"/>
        <v>0.2566815715209424</v>
      </c>
      <c r="K39" s="2">
        <v>2000</v>
      </c>
      <c r="L39" s="2">
        <v>2001</v>
      </c>
      <c r="M39" s="3">
        <f t="shared" si="9"/>
        <v>0.10320594655890426</v>
      </c>
      <c r="N39" s="3">
        <f t="shared" si="9"/>
        <v>5.8622000871987108E-2</v>
      </c>
      <c r="O39" s="3">
        <f t="shared" si="9"/>
        <v>0.83817205256910865</v>
      </c>
      <c r="P39" s="2">
        <f t="shared" si="10"/>
        <v>6.1942053917298683E-5</v>
      </c>
      <c r="Q39" s="2">
        <f t="shared" si="10"/>
        <v>3.518370074422103E-5</v>
      </c>
      <c r="R39" s="2">
        <f t="shared" si="10"/>
        <v>5.0305336274956449E-4</v>
      </c>
      <c r="S39" s="2">
        <f t="shared" si="11"/>
        <v>6.0017911741108417E-4</v>
      </c>
      <c r="T39" s="52">
        <f t="shared" si="12"/>
        <v>16144.120783194241</v>
      </c>
      <c r="U39" s="53">
        <f t="shared" si="12"/>
        <v>28422.251748609797</v>
      </c>
      <c r="V39" s="54">
        <f t="shared" si="12"/>
        <v>1987.8606804937133</v>
      </c>
      <c r="W39" s="7">
        <f t="shared" si="13"/>
        <v>127.05951669668133</v>
      </c>
      <c r="X39" s="7">
        <f t="shared" si="14"/>
        <v>168.58900245451895</v>
      </c>
      <c r="Y39" s="7">
        <f t="shared" si="15"/>
        <v>44.585431258357403</v>
      </c>
      <c r="Z39" s="7">
        <v>259.36938200174745</v>
      </c>
      <c r="AA39" s="2">
        <v>2000</v>
      </c>
      <c r="AB39" s="2">
        <v>2001</v>
      </c>
      <c r="AC39" s="7">
        <v>303.95481326010486</v>
      </c>
      <c r="AD39" s="7">
        <v>26.80004024563334</v>
      </c>
      <c r="AE39" s="4">
        <f t="shared" si="6"/>
        <v>0.74906491775105377</v>
      </c>
      <c r="AF39" s="7">
        <v>1196.6400000000001</v>
      </c>
      <c r="AG39" s="4">
        <f t="shared" si="7"/>
        <v>6.2070253335269839E-2</v>
      </c>
      <c r="AH39" s="38">
        <v>0.25400689702843365</v>
      </c>
      <c r="AI39" s="7">
        <f t="shared" si="8"/>
        <v>12.068017729926307</v>
      </c>
      <c r="AJ39" s="24">
        <v>398.17</v>
      </c>
      <c r="AK39" s="28">
        <v>1.19936</v>
      </c>
      <c r="AL39" s="28">
        <f t="shared" si="18"/>
        <v>1.3370033333333335</v>
      </c>
      <c r="AM39" s="28">
        <f t="shared" si="16"/>
        <v>6.9479831685972812E-2</v>
      </c>
      <c r="AN39" s="28">
        <f t="shared" si="19"/>
        <v>1.3893</v>
      </c>
      <c r="AO39" s="28">
        <f t="shared" si="20"/>
        <v>5.5747500000000005E-2</v>
      </c>
      <c r="AP39" s="44">
        <v>4086.26</v>
      </c>
      <c r="AQ39" s="44">
        <f t="shared" si="21"/>
        <v>5163.51</v>
      </c>
      <c r="AR39" s="44">
        <f t="shared" si="17"/>
        <v>585.90416238494163</v>
      </c>
      <c r="AS39" s="44">
        <f t="shared" si="22"/>
        <v>5302.76</v>
      </c>
      <c r="AT39" s="44">
        <f t="shared" si="23"/>
        <v>503.8125</v>
      </c>
    </row>
    <row r="40" spans="1:46" x14ac:dyDescent="0.4">
      <c r="A40" s="2">
        <v>2001</v>
      </c>
      <c r="B40" s="2">
        <v>2002</v>
      </c>
      <c r="C40" s="7">
        <f t="shared" si="28"/>
        <v>352.81957441005062</v>
      </c>
      <c r="D40" s="7">
        <f t="shared" si="29"/>
        <v>361.2147640610707</v>
      </c>
      <c r="E40" s="7">
        <f t="shared" si="30"/>
        <v>132.34653457025675</v>
      </c>
      <c r="F40" s="4">
        <f t="shared" si="31"/>
        <v>0.3751110884126917</v>
      </c>
      <c r="G40" s="7">
        <f t="shared" si="25"/>
        <v>236.73100428520607</v>
      </c>
      <c r="H40" s="7">
        <f t="shared" si="26"/>
        <v>216.07227573356329</v>
      </c>
      <c r="I40" s="7">
        <f t="shared" si="27"/>
        <v>68.080477323982322</v>
      </c>
      <c r="J40" s="4">
        <f t="shared" si="24"/>
        <v>0.28758580875178102</v>
      </c>
      <c r="K40" s="2">
        <v>2001</v>
      </c>
      <c r="L40" s="2">
        <v>2002</v>
      </c>
      <c r="M40" s="3">
        <f t="shared" si="9"/>
        <v>0.97770050191716618</v>
      </c>
      <c r="N40" s="3">
        <f t="shared" si="9"/>
        <v>1.6109038693937875E-2</v>
      </c>
      <c r="O40" s="3">
        <f t="shared" si="9"/>
        <v>6.1904593888959056E-3</v>
      </c>
      <c r="P40" s="2">
        <f t="shared" si="10"/>
        <v>2.6736020594574965E-2</v>
      </c>
      <c r="Q40" s="2">
        <f t="shared" si="10"/>
        <v>4.4051485034055711E-4</v>
      </c>
      <c r="R40" s="2">
        <f t="shared" si="10"/>
        <v>1.6928317965149542E-4</v>
      </c>
      <c r="S40" s="2">
        <f t="shared" si="11"/>
        <v>2.7345818624567017E-2</v>
      </c>
      <c r="T40" s="52">
        <f t="shared" si="12"/>
        <v>37.402724031522894</v>
      </c>
      <c r="U40" s="53">
        <f t="shared" si="12"/>
        <v>2270.0710299026496</v>
      </c>
      <c r="V40" s="54">
        <f t="shared" si="12"/>
        <v>5907.2614423872928</v>
      </c>
      <c r="W40" s="7">
        <f t="shared" si="13"/>
        <v>6.1157766499049728</v>
      </c>
      <c r="X40" s="7">
        <f t="shared" si="14"/>
        <v>47.645262407742592</v>
      </c>
      <c r="Y40" s="7">
        <f t="shared" si="15"/>
        <v>-76.858710907660253</v>
      </c>
      <c r="Z40" s="7">
        <v>259.86978412098875</v>
      </c>
      <c r="AA40" s="2">
        <v>2001</v>
      </c>
      <c r="AB40" s="2">
        <v>2002</v>
      </c>
      <c r="AC40" s="7">
        <v>183.0110732133285</v>
      </c>
      <c r="AD40" s="7">
        <v>25.891313295574747</v>
      </c>
      <c r="AE40" s="4">
        <f t="shared" si="6"/>
        <v>0.45101169161866067</v>
      </c>
      <c r="AF40" s="7">
        <v>1202.6600000000001</v>
      </c>
      <c r="AG40" s="4">
        <f t="shared" si="7"/>
        <v>6.2382513434446132E-2</v>
      </c>
      <c r="AH40" s="38">
        <v>0.15217191327002519</v>
      </c>
      <c r="AI40" s="7">
        <f t="shared" si="8"/>
        <v>7.2297774935375214</v>
      </c>
      <c r="AJ40" s="24">
        <v>239.738</v>
      </c>
      <c r="AK40" s="28">
        <v>1.1545399999999999</v>
      </c>
      <c r="AL40" s="28">
        <f t="shared" si="18"/>
        <v>1.2477333333333334</v>
      </c>
      <c r="AM40" s="28">
        <f t="shared" si="16"/>
        <v>7.1956118417948176E-2</v>
      </c>
      <c r="AN40" s="28">
        <f t="shared" si="19"/>
        <v>1.19936</v>
      </c>
      <c r="AO40" s="28">
        <f t="shared" si="20"/>
        <v>5.869000000000002E-2</v>
      </c>
      <c r="AP40" s="44">
        <v>4439.84</v>
      </c>
      <c r="AQ40" s="44">
        <f t="shared" si="21"/>
        <v>4609.62</v>
      </c>
      <c r="AR40" s="44">
        <f t="shared" si="17"/>
        <v>361.28797322911186</v>
      </c>
      <c r="AS40" s="44">
        <f t="shared" si="22"/>
        <v>4439.84</v>
      </c>
      <c r="AT40" s="44">
        <f t="shared" si="23"/>
        <v>304.125</v>
      </c>
    </row>
    <row r="41" spans="1:46" x14ac:dyDescent="0.4">
      <c r="A41" s="2">
        <v>2002</v>
      </c>
      <c r="B41" s="2">
        <v>2003</v>
      </c>
      <c r="C41" s="7">
        <f t="shared" si="28"/>
        <v>343.75669488430879</v>
      </c>
      <c r="D41" s="7">
        <f t="shared" si="29"/>
        <v>341.61194202599461</v>
      </c>
      <c r="E41" s="7">
        <f t="shared" si="30"/>
        <v>127.3446324806508</v>
      </c>
      <c r="F41" s="4">
        <f t="shared" si="31"/>
        <v>0.37044989777874321</v>
      </c>
      <c r="G41" s="7">
        <f t="shared" si="25"/>
        <v>239.20038427348692</v>
      </c>
      <c r="H41" s="7">
        <f t="shared" si="26"/>
        <v>216.07227573356329</v>
      </c>
      <c r="I41" s="7">
        <f t="shared" si="27"/>
        <v>71.684770543967588</v>
      </c>
      <c r="J41" s="4">
        <f t="shared" si="24"/>
        <v>0.29968501414281867</v>
      </c>
      <c r="K41" s="2">
        <v>2002</v>
      </c>
      <c r="L41" s="2">
        <v>2003</v>
      </c>
      <c r="M41" s="3">
        <f t="shared" si="9"/>
        <v>7.9084848892091122E-2</v>
      </c>
      <c r="N41" s="3">
        <f t="shared" si="9"/>
        <v>4.8344060969865953E-2</v>
      </c>
      <c r="O41" s="3">
        <f t="shared" si="9"/>
        <v>0.87257109013804302</v>
      </c>
      <c r="P41" s="2">
        <f t="shared" si="10"/>
        <v>4.5137435774155908E-5</v>
      </c>
      <c r="Q41" s="2">
        <f t="shared" si="10"/>
        <v>2.7592225029937754E-5</v>
      </c>
      <c r="R41" s="2">
        <f t="shared" si="10"/>
        <v>4.9801728259266966E-4</v>
      </c>
      <c r="S41" s="2">
        <f t="shared" si="11"/>
        <v>5.7074694339676328E-4</v>
      </c>
      <c r="T41" s="52">
        <f t="shared" si="12"/>
        <v>22154.559355198562</v>
      </c>
      <c r="U41" s="53">
        <f t="shared" si="12"/>
        <v>36242.093521453709</v>
      </c>
      <c r="V41" s="54">
        <f t="shared" si="12"/>
        <v>2007.9624441826934</v>
      </c>
      <c r="W41" s="7">
        <f t="shared" si="13"/>
        <v>148.84407732657206</v>
      </c>
      <c r="X41" s="7">
        <f t="shared" si="14"/>
        <v>190.37356308440968</v>
      </c>
      <c r="Y41" s="7">
        <f t="shared" si="15"/>
        <v>44.810293953317171</v>
      </c>
      <c r="Z41" s="7">
        <v>280.92907993667842</v>
      </c>
      <c r="AA41" s="2">
        <v>2002</v>
      </c>
      <c r="AB41" s="2">
        <v>2003</v>
      </c>
      <c r="AC41" s="7">
        <v>325.73937388999559</v>
      </c>
      <c r="AD41" s="7">
        <v>29.894857053624374</v>
      </c>
      <c r="AE41" s="4">
        <f t="shared" si="6"/>
        <v>0.80275069407237831</v>
      </c>
      <c r="AF41" s="7">
        <v>1494.86</v>
      </c>
      <c r="AG41" s="4">
        <f t="shared" si="7"/>
        <v>7.7539058447621226E-2</v>
      </c>
      <c r="AH41" s="38">
        <v>0.2179062747615132</v>
      </c>
      <c r="AI41" s="7">
        <f t="shared" si="8"/>
        <v>10.352855839933216</v>
      </c>
      <c r="AJ41" s="24">
        <v>426.70699999999999</v>
      </c>
      <c r="AK41" s="28">
        <v>0.95951500000000001</v>
      </c>
      <c r="AL41" s="28">
        <f t="shared" si="18"/>
        <v>1.1044716666666667</v>
      </c>
      <c r="AM41" s="28">
        <f t="shared" si="16"/>
        <v>7.3624123103625316E-2</v>
      </c>
      <c r="AN41" s="28">
        <f t="shared" si="19"/>
        <v>1.1545399999999999</v>
      </c>
      <c r="AO41" s="28">
        <f t="shared" si="20"/>
        <v>5.9961249999999994E-2</v>
      </c>
      <c r="AP41" s="44">
        <v>3839.95</v>
      </c>
      <c r="AQ41" s="44">
        <f t="shared" si="21"/>
        <v>4122.0166666666664</v>
      </c>
      <c r="AR41" s="44">
        <f t="shared" si="17"/>
        <v>174.09375580735556</v>
      </c>
      <c r="AS41" s="44">
        <f t="shared" si="22"/>
        <v>4086.26</v>
      </c>
      <c r="AT41" s="44">
        <f t="shared" si="23"/>
        <v>149.97250000000008</v>
      </c>
    </row>
    <row r="42" spans="1:46" x14ac:dyDescent="0.4">
      <c r="A42" s="2">
        <v>2003</v>
      </c>
      <c r="B42" s="2">
        <v>2004</v>
      </c>
      <c r="C42" s="7">
        <f t="shared" si="28"/>
        <v>334.0423472980998</v>
      </c>
      <c r="D42" s="7">
        <f t="shared" si="29"/>
        <v>319.56592391929348</v>
      </c>
      <c r="E42" s="7">
        <f t="shared" si="30"/>
        <v>126.01219336727613</v>
      </c>
      <c r="F42" s="4">
        <f t="shared" si="31"/>
        <v>0.37723418718173085</v>
      </c>
      <c r="G42" s="7">
        <f t="shared" si="25"/>
        <v>247.63847585208879</v>
      </c>
      <c r="H42" s="7">
        <f t="shared" si="26"/>
        <v>258.26273362657247</v>
      </c>
      <c r="I42" s="7">
        <f t="shared" si="27"/>
        <v>70.758890117329699</v>
      </c>
      <c r="J42" s="4">
        <f t="shared" si="24"/>
        <v>0.28573463745429062</v>
      </c>
      <c r="K42" s="2">
        <v>2003</v>
      </c>
      <c r="L42" s="2">
        <v>2004</v>
      </c>
      <c r="M42" s="3">
        <f t="shared" si="9"/>
        <v>7.7176345186101017E-2</v>
      </c>
      <c r="N42" s="3">
        <f t="shared" si="9"/>
        <v>3.3830114182936639E-2</v>
      </c>
      <c r="O42" s="3">
        <f t="shared" si="9"/>
        <v>0.88899354063096236</v>
      </c>
      <c r="P42" s="2">
        <f t="shared" si="10"/>
        <v>1.5104234744871598E-4</v>
      </c>
      <c r="Q42" s="2">
        <f t="shared" si="10"/>
        <v>6.6209145410128724E-5</v>
      </c>
      <c r="R42" s="2">
        <f t="shared" si="10"/>
        <v>1.7398552745644693E-3</v>
      </c>
      <c r="S42" s="2">
        <f t="shared" si="11"/>
        <v>1.9571067674233138E-3</v>
      </c>
      <c r="T42" s="52">
        <f t="shared" si="12"/>
        <v>6620.6598142255043</v>
      </c>
      <c r="U42" s="53">
        <f t="shared" si="12"/>
        <v>15103.653638867527</v>
      </c>
      <c r="V42" s="54">
        <f t="shared" si="12"/>
        <v>574.76044968759015</v>
      </c>
      <c r="W42" s="7">
        <f t="shared" si="13"/>
        <v>81.367437063148941</v>
      </c>
      <c r="X42" s="7">
        <f t="shared" si="14"/>
        <v>122.89692282098656</v>
      </c>
      <c r="Y42" s="7">
        <f t="shared" si="15"/>
        <v>-23.974162126914678</v>
      </c>
      <c r="Z42" s="7">
        <v>282.23689575348715</v>
      </c>
      <c r="AA42" s="2">
        <v>2003</v>
      </c>
      <c r="AB42" s="2">
        <v>2004</v>
      </c>
      <c r="AC42" s="7">
        <v>258.26273362657247</v>
      </c>
      <c r="AD42" s="7">
        <v>24.692960165364752</v>
      </c>
      <c r="AE42" s="4">
        <f t="shared" si="6"/>
        <v>0.63646155573987928</v>
      </c>
      <c r="AF42" s="7">
        <v>1515.92</v>
      </c>
      <c r="AG42" s="4">
        <f t="shared" si="7"/>
        <v>7.8631450090254587E-2</v>
      </c>
      <c r="AH42" s="38">
        <v>0.17036699405415356</v>
      </c>
      <c r="AI42" s="7">
        <f t="shared" si="8"/>
        <v>8.0942365301585735</v>
      </c>
      <c r="AJ42" s="24">
        <v>338.315</v>
      </c>
      <c r="AK42" s="28">
        <v>1.0906100000000001</v>
      </c>
      <c r="AL42" s="28">
        <f t="shared" si="18"/>
        <v>1.0682216666666668</v>
      </c>
      <c r="AM42" s="28">
        <f t="shared" si="16"/>
        <v>5.7400974899773631E-2</v>
      </c>
      <c r="AN42" s="28">
        <f t="shared" si="19"/>
        <v>1.0906100000000001</v>
      </c>
      <c r="AO42" s="28">
        <f t="shared" si="20"/>
        <v>4.8756249999999973E-2</v>
      </c>
      <c r="AP42" s="44">
        <v>5097.76</v>
      </c>
      <c r="AQ42" s="44">
        <f t="shared" si="21"/>
        <v>4459.1833333333334</v>
      </c>
      <c r="AR42" s="44">
        <f t="shared" si="17"/>
        <v>363.22725780303205</v>
      </c>
      <c r="AS42" s="44">
        <f t="shared" si="22"/>
        <v>4439.84</v>
      </c>
      <c r="AT42" s="44">
        <f t="shared" si="23"/>
        <v>314.4525000000001</v>
      </c>
    </row>
    <row r="43" spans="1:46" x14ac:dyDescent="0.4">
      <c r="A43" s="2">
        <v>2004</v>
      </c>
      <c r="B43" s="2">
        <v>2005</v>
      </c>
      <c r="C43" s="7">
        <f t="shared" si="28"/>
        <v>319.34481104875874</v>
      </c>
      <c r="D43" s="7">
        <f t="shared" si="29"/>
        <v>308.67364360434811</v>
      </c>
      <c r="E43" s="7">
        <f t="shared" si="30"/>
        <v>137.31660491286843</v>
      </c>
      <c r="F43" s="4">
        <f t="shared" si="31"/>
        <v>0.42999478983831813</v>
      </c>
      <c r="G43" s="7">
        <f t="shared" si="25"/>
        <v>230.89634213409062</v>
      </c>
      <c r="H43" s="7">
        <f t="shared" si="26"/>
        <v>258.26273362657247</v>
      </c>
      <c r="I43" s="7">
        <f t="shared" si="27"/>
        <v>98.863918499702649</v>
      </c>
      <c r="J43" s="4">
        <f t="shared" si="24"/>
        <v>0.42817446818749716</v>
      </c>
      <c r="K43" s="2">
        <v>2004</v>
      </c>
      <c r="L43" s="2">
        <v>2005</v>
      </c>
      <c r="M43" s="3">
        <f t="shared" si="9"/>
        <v>0.22651392397296946</v>
      </c>
      <c r="N43" s="3">
        <f t="shared" si="9"/>
        <v>0.73465719572538835</v>
      </c>
      <c r="O43" s="3">
        <f t="shared" si="9"/>
        <v>3.8828880301642374E-2</v>
      </c>
      <c r="P43" s="2">
        <f t="shared" si="10"/>
        <v>1.1467732803684351E-4</v>
      </c>
      <c r="Q43" s="2">
        <f t="shared" si="10"/>
        <v>3.7193529983119941E-4</v>
      </c>
      <c r="R43" s="2">
        <f t="shared" si="10"/>
        <v>1.9657918442956902E-5</v>
      </c>
      <c r="S43" s="2">
        <f t="shared" si="11"/>
        <v>5.0627054631099976E-4</v>
      </c>
      <c r="T43" s="52">
        <f t="shared" si="12"/>
        <v>8720.1194614398428</v>
      </c>
      <c r="U43" s="53">
        <f t="shared" si="12"/>
        <v>2688.6396651617738</v>
      </c>
      <c r="V43" s="54">
        <f t="shared" si="12"/>
        <v>50870.085909746107</v>
      </c>
      <c r="W43" s="7">
        <f t="shared" si="13"/>
        <v>-93.381579882971792</v>
      </c>
      <c r="X43" s="7">
        <f t="shared" si="14"/>
        <v>-51.852094125134172</v>
      </c>
      <c r="Y43" s="7">
        <f t="shared" si="15"/>
        <v>-225.54397777317422</v>
      </c>
      <c r="Z43" s="7">
        <v>309.05769445362597</v>
      </c>
      <c r="AA43" s="2">
        <v>2004</v>
      </c>
      <c r="AB43" s="2">
        <v>2005</v>
      </c>
      <c r="AC43" s="7">
        <v>83.513716680451736</v>
      </c>
      <c r="AD43" s="7">
        <v>16.843434176896629</v>
      </c>
      <c r="AE43" s="4">
        <f t="shared" si="6"/>
        <v>0.20581083959606519</v>
      </c>
      <c r="AF43" s="7">
        <v>2055.84</v>
      </c>
      <c r="AG43" s="4">
        <f t="shared" si="7"/>
        <v>0.10663734257318921</v>
      </c>
      <c r="AH43" s="38">
        <v>4.0622673301643965E-2</v>
      </c>
      <c r="AI43" s="7">
        <f t="shared" si="8"/>
        <v>1.9300072060104976</v>
      </c>
      <c r="AJ43" s="24">
        <v>109.4</v>
      </c>
      <c r="AK43" s="28">
        <v>0.81532099999999996</v>
      </c>
      <c r="AL43" s="28">
        <f t="shared" si="18"/>
        <v>0.95514866666666665</v>
      </c>
      <c r="AM43" s="28">
        <f t="shared" si="16"/>
        <v>7.9499071336994187E-2</v>
      </c>
      <c r="AN43" s="28">
        <f t="shared" si="19"/>
        <v>0.95951500000000001</v>
      </c>
      <c r="AO43" s="28">
        <f t="shared" si="20"/>
        <v>6.8822250000000029E-2</v>
      </c>
      <c r="AP43" s="44">
        <v>4220.58</v>
      </c>
      <c r="AQ43" s="44">
        <f t="shared" si="21"/>
        <v>4386.0966666666664</v>
      </c>
      <c r="AR43" s="44">
        <f t="shared" si="17"/>
        <v>372.41031324483214</v>
      </c>
      <c r="AS43" s="44">
        <f t="shared" si="22"/>
        <v>4220.58</v>
      </c>
      <c r="AT43" s="44">
        <f t="shared" si="23"/>
        <v>314.4525000000001</v>
      </c>
    </row>
    <row r="44" spans="1:46" x14ac:dyDescent="0.4">
      <c r="A44" s="2">
        <v>2005</v>
      </c>
      <c r="B44" s="2">
        <v>2006</v>
      </c>
      <c r="C44" s="7">
        <f t="shared" si="28"/>
        <v>306.1365900238942</v>
      </c>
      <c r="D44" s="7">
        <f t="shared" si="29"/>
        <v>288.77921060243534</v>
      </c>
      <c r="E44" s="7">
        <f t="shared" si="30"/>
        <v>128.60288138912509</v>
      </c>
      <c r="F44" s="4">
        <f t="shared" si="31"/>
        <v>0.42008334050852114</v>
      </c>
      <c r="G44" s="7">
        <f t="shared" si="25"/>
        <v>222.90314812478829</v>
      </c>
      <c r="H44" s="7">
        <f t="shared" si="26"/>
        <v>258.26273362657247</v>
      </c>
      <c r="I44" s="7">
        <f t="shared" si="27"/>
        <v>92.917187856361991</v>
      </c>
      <c r="J44" s="4">
        <f t="shared" si="24"/>
        <v>0.4168500473772761</v>
      </c>
      <c r="K44" s="2">
        <v>2005</v>
      </c>
      <c r="L44" s="2">
        <v>2006</v>
      </c>
      <c r="M44" s="3">
        <f t="shared" si="9"/>
        <v>0.1852697570985464</v>
      </c>
      <c r="N44" s="3">
        <f t="shared" si="9"/>
        <v>8.4945229955478138E-2</v>
      </c>
      <c r="O44" s="3">
        <f t="shared" si="9"/>
        <v>0.72978501294597553</v>
      </c>
      <c r="P44" s="2">
        <f t="shared" si="10"/>
        <v>1.3183418758214692E-4</v>
      </c>
      <c r="Q44" s="2">
        <f t="shared" si="10"/>
        <v>6.044529639126393E-5</v>
      </c>
      <c r="R44" s="2">
        <f t="shared" si="10"/>
        <v>5.1930015884990935E-4</v>
      </c>
      <c r="S44" s="2">
        <f t="shared" si="11"/>
        <v>7.1157964282332013E-4</v>
      </c>
      <c r="T44" s="52">
        <f t="shared" si="12"/>
        <v>7585.285868105283</v>
      </c>
      <c r="U44" s="53">
        <f t="shared" si="12"/>
        <v>16543.884465831299</v>
      </c>
      <c r="V44" s="54">
        <f t="shared" si="12"/>
        <v>1925.6685809892556</v>
      </c>
      <c r="W44" s="7">
        <f t="shared" si="13"/>
        <v>87.093546650169685</v>
      </c>
      <c r="X44" s="7">
        <f t="shared" si="14"/>
        <v>128.6230324080073</v>
      </c>
      <c r="Y44" s="7">
        <f t="shared" si="15"/>
        <v>-43.882440463005878</v>
      </c>
      <c r="Z44" s="7">
        <v>307.87128367659909</v>
      </c>
      <c r="AA44" s="2">
        <v>2005</v>
      </c>
      <c r="AB44" s="2">
        <v>2006</v>
      </c>
      <c r="AC44" s="7">
        <v>263.98884321359321</v>
      </c>
      <c r="AD44" s="7">
        <v>21.399206661149535</v>
      </c>
      <c r="AE44" s="4">
        <f t="shared" si="6"/>
        <v>0.65057295526282344</v>
      </c>
      <c r="AF44" s="7">
        <v>2026.57</v>
      </c>
      <c r="AG44" s="4">
        <f t="shared" si="7"/>
        <v>0.10511909454945328</v>
      </c>
      <c r="AH44" s="38">
        <v>0.1302638661450595</v>
      </c>
      <c r="AI44" s="7">
        <f t="shared" si="8"/>
        <v>6.188913232664512</v>
      </c>
      <c r="AJ44" s="24">
        <v>345.81599999999997</v>
      </c>
      <c r="AK44" s="28">
        <v>0.84443699999999999</v>
      </c>
      <c r="AL44" s="28">
        <f t="shared" si="18"/>
        <v>0.91678933333333334</v>
      </c>
      <c r="AM44" s="28">
        <f t="shared" si="16"/>
        <v>8.7315812780071458E-2</v>
      </c>
      <c r="AN44" s="28">
        <f t="shared" si="19"/>
        <v>0.84443699999999999</v>
      </c>
      <c r="AO44" s="28">
        <f t="shared" si="20"/>
        <v>6.8822250000000029E-2</v>
      </c>
      <c r="AP44" s="44">
        <v>4214.6099999999997</v>
      </c>
      <c r="AQ44" s="44">
        <f t="shared" si="21"/>
        <v>4510.9833333333336</v>
      </c>
      <c r="AR44" s="44">
        <f t="shared" si="17"/>
        <v>293.39339496844713</v>
      </c>
      <c r="AS44" s="44">
        <f t="shared" si="22"/>
        <v>4220.58</v>
      </c>
      <c r="AT44" s="44">
        <f t="shared" si="23"/>
        <v>220.78750000000014</v>
      </c>
    </row>
    <row r="45" spans="1:46" x14ac:dyDescent="0.4">
      <c r="A45" s="2">
        <v>2006</v>
      </c>
      <c r="B45" s="2">
        <v>2007</v>
      </c>
      <c r="C45" s="7">
        <f t="shared" si="28"/>
        <v>286.06104523695012</v>
      </c>
      <c r="D45" s="7">
        <f t="shared" si="29"/>
        <v>268.79622557917958</v>
      </c>
      <c r="E45" s="7">
        <f t="shared" si="30"/>
        <v>128.45910092045011</v>
      </c>
      <c r="F45" s="4">
        <f t="shared" si="31"/>
        <v>0.44906184557231432</v>
      </c>
      <c r="G45" s="7">
        <f t="shared" si="25"/>
        <v>205.54450912716371</v>
      </c>
      <c r="H45" s="7">
        <f t="shared" si="26"/>
        <v>258.26273362657247</v>
      </c>
      <c r="I45" s="7">
        <f t="shared" si="27"/>
        <v>108.95593538912553</v>
      </c>
      <c r="J45" s="4">
        <f t="shared" si="24"/>
        <v>0.53008438830014204</v>
      </c>
      <c r="K45" s="2">
        <v>2006</v>
      </c>
      <c r="L45" s="2">
        <v>2007</v>
      </c>
      <c r="M45" s="3">
        <f t="shared" si="9"/>
        <v>0.18421796085734474</v>
      </c>
      <c r="N45" s="3">
        <f t="shared" si="9"/>
        <v>0.78238099457698151</v>
      </c>
      <c r="O45" s="3">
        <f t="shared" si="9"/>
        <v>3.3401044565673721E-2</v>
      </c>
      <c r="P45" s="2">
        <f t="shared" si="10"/>
        <v>1.5363706963743631E-4</v>
      </c>
      <c r="Q45" s="2">
        <f t="shared" si="10"/>
        <v>6.525027352784203E-4</v>
      </c>
      <c r="R45" s="2">
        <f t="shared" si="10"/>
        <v>2.7856342487003109E-5</v>
      </c>
      <c r="S45" s="2">
        <f t="shared" si="11"/>
        <v>8.3399614740285971E-4</v>
      </c>
      <c r="T45" s="52">
        <f t="shared" si="12"/>
        <v>6508.845829719814</v>
      </c>
      <c r="U45" s="53">
        <f t="shared" si="12"/>
        <v>1532.5606253179981</v>
      </c>
      <c r="V45" s="54">
        <f t="shared" si="12"/>
        <v>35898.467304764381</v>
      </c>
      <c r="W45" s="7">
        <f t="shared" si="13"/>
        <v>-80.677418338217876</v>
      </c>
      <c r="X45" s="7">
        <f t="shared" si="14"/>
        <v>-39.147932580380257</v>
      </c>
      <c r="Y45" s="7">
        <f t="shared" si="15"/>
        <v>-189.46890854376181</v>
      </c>
      <c r="Z45" s="7">
        <v>285.68678676896747</v>
      </c>
      <c r="AA45" s="2">
        <v>2006</v>
      </c>
      <c r="AB45" s="2">
        <v>2007</v>
      </c>
      <c r="AC45" s="7">
        <v>96.217878225205652</v>
      </c>
      <c r="AD45" s="7">
        <v>19.434649532473642</v>
      </c>
      <c r="AE45" s="4">
        <f t="shared" si="6"/>
        <v>0.23711891996679388</v>
      </c>
      <c r="AF45" s="7">
        <v>1573.42</v>
      </c>
      <c r="AG45" s="4">
        <f t="shared" si="7"/>
        <v>8.1614000871423537E-2</v>
      </c>
      <c r="AH45" s="38">
        <v>6.1152062529525271E-2</v>
      </c>
      <c r="AI45" s="7">
        <f t="shared" si="8"/>
        <v>2.9053706157642751</v>
      </c>
      <c r="AJ45" s="24">
        <v>126.042</v>
      </c>
      <c r="AK45" s="28">
        <v>0.95103300000000002</v>
      </c>
      <c r="AL45" s="28">
        <f t="shared" si="18"/>
        <v>0.87026366666666666</v>
      </c>
      <c r="AM45" s="28">
        <f t="shared" si="16"/>
        <v>4.1250047552834561E-2</v>
      </c>
      <c r="AN45" s="28">
        <f t="shared" si="19"/>
        <v>0.84443699999999999</v>
      </c>
      <c r="AO45" s="28">
        <f t="shared" si="20"/>
        <v>3.3928000000000014E-2</v>
      </c>
      <c r="AP45" s="44">
        <v>4033.57</v>
      </c>
      <c r="AQ45" s="44">
        <f t="shared" si="21"/>
        <v>4156.2533333333331</v>
      </c>
      <c r="AR45" s="44">
        <f t="shared" si="17"/>
        <v>61.365871169929875</v>
      </c>
      <c r="AS45" s="44">
        <f t="shared" si="22"/>
        <v>4214.6099999999997</v>
      </c>
      <c r="AT45" s="44">
        <f t="shared" si="23"/>
        <v>46.752499999999941</v>
      </c>
    </row>
    <row r="46" spans="1:46" x14ac:dyDescent="0.4">
      <c r="A46" s="2">
        <v>2007</v>
      </c>
      <c r="B46" s="2">
        <v>2008</v>
      </c>
      <c r="C46" s="7">
        <f t="shared" si="28"/>
        <v>267.88360539369984</v>
      </c>
      <c r="D46" s="7">
        <f t="shared" si="29"/>
        <v>261.12578842008281</v>
      </c>
      <c r="E46" s="7">
        <f t="shared" si="30"/>
        <v>115.20662105055618</v>
      </c>
      <c r="F46" s="4">
        <f t="shared" si="31"/>
        <v>0.43006223124868259</v>
      </c>
      <c r="G46" s="7">
        <f t="shared" si="25"/>
        <v>176.31272350232035</v>
      </c>
      <c r="H46" s="7">
        <f t="shared" si="26"/>
        <v>179.58044576577868</v>
      </c>
      <c r="I46" s="7">
        <f t="shared" si="27"/>
        <v>85.791060202785332</v>
      </c>
      <c r="J46" s="4">
        <f t="shared" si="24"/>
        <v>0.48658462360860921</v>
      </c>
      <c r="K46" s="2">
        <v>2007</v>
      </c>
      <c r="L46" s="2">
        <v>2008</v>
      </c>
      <c r="M46" s="3">
        <f t="shared" si="9"/>
        <v>0.99571956320097077</v>
      </c>
      <c r="N46" s="3">
        <f t="shared" si="9"/>
        <v>3.6723308206256075E-3</v>
      </c>
      <c r="O46" s="3">
        <f t="shared" si="9"/>
        <v>6.0810597840341325E-4</v>
      </c>
      <c r="P46" s="2">
        <f t="shared" si="10"/>
        <v>0.13869575045421578</v>
      </c>
      <c r="Q46" s="2">
        <f t="shared" si="10"/>
        <v>5.1152623480192974E-4</v>
      </c>
      <c r="R46" s="2">
        <f t="shared" si="10"/>
        <v>8.4704286374790696E-5</v>
      </c>
      <c r="S46" s="2">
        <f t="shared" si="11"/>
        <v>0.13929198097539253</v>
      </c>
      <c r="T46" s="52">
        <f t="shared" si="12"/>
        <v>7.2100262389084913</v>
      </c>
      <c r="U46" s="53">
        <f t="shared" si="12"/>
        <v>1954.9339446631006</v>
      </c>
      <c r="V46" s="54">
        <f t="shared" si="12"/>
        <v>11805.777993043992</v>
      </c>
      <c r="W46" s="7">
        <f t="shared" si="13"/>
        <v>2.6851492023551486</v>
      </c>
      <c r="X46" s="7">
        <f t="shared" si="14"/>
        <v>44.214634960192768</v>
      </c>
      <c r="Y46" s="7">
        <f t="shared" si="15"/>
        <v>-108.65439702581756</v>
      </c>
      <c r="Z46" s="7">
        <v>288.23484279159624</v>
      </c>
      <c r="AA46" s="2">
        <v>2007</v>
      </c>
      <c r="AB46" s="2">
        <v>2008</v>
      </c>
      <c r="AC46" s="7">
        <v>179.58044576577868</v>
      </c>
      <c r="AD46" s="7">
        <v>18.453935896099086</v>
      </c>
      <c r="AE46" s="4">
        <f t="shared" si="6"/>
        <v>0.44255726828095754</v>
      </c>
      <c r="AF46" s="7">
        <v>1617.8</v>
      </c>
      <c r="AG46" s="4">
        <f t="shared" si="7"/>
        <v>8.3916011370002278E-2</v>
      </c>
      <c r="AH46" s="38">
        <v>0.11100287165643385</v>
      </c>
      <c r="AI46" s="7">
        <f t="shared" si="8"/>
        <v>5.2738120062646345</v>
      </c>
      <c r="AJ46" s="24">
        <v>235.244</v>
      </c>
      <c r="AK46" s="28">
        <v>0.86080800000000002</v>
      </c>
      <c r="AL46" s="28">
        <f t="shared" si="18"/>
        <v>0.88542599999999994</v>
      </c>
      <c r="AM46" s="28">
        <f t="shared" si="16"/>
        <v>3.3142174777766174E-2</v>
      </c>
      <c r="AN46" s="28">
        <f t="shared" si="19"/>
        <v>0.86080800000000002</v>
      </c>
      <c r="AO46" s="28">
        <f t="shared" si="20"/>
        <v>2.6649000000000006E-2</v>
      </c>
      <c r="AP46" s="44">
        <v>3155.51</v>
      </c>
      <c r="AQ46" s="44">
        <f t="shared" si="21"/>
        <v>3801.23</v>
      </c>
      <c r="AR46" s="44">
        <f t="shared" si="17"/>
        <v>327.06248597681201</v>
      </c>
      <c r="AS46" s="44">
        <f t="shared" si="22"/>
        <v>4033.57</v>
      </c>
      <c r="AT46" s="44">
        <f t="shared" si="23"/>
        <v>264.77499999999986</v>
      </c>
    </row>
    <row r="47" spans="1:46" x14ac:dyDescent="0.4">
      <c r="A47" s="2">
        <v>2008</v>
      </c>
      <c r="B47" s="2">
        <v>2009</v>
      </c>
      <c r="C47" s="7">
        <f t="shared" si="28"/>
        <v>258.45128836167362</v>
      </c>
      <c r="D47" s="7">
        <f t="shared" si="29"/>
        <v>252.43547625655211</v>
      </c>
      <c r="E47" s="7">
        <f t="shared" si="30"/>
        <v>115.20714736686776</v>
      </c>
      <c r="F47" s="4">
        <f t="shared" si="31"/>
        <v>0.44575961720743396</v>
      </c>
      <c r="G47" s="7">
        <f t="shared" si="25"/>
        <v>158.42781068129995</v>
      </c>
      <c r="H47" s="7">
        <f t="shared" si="26"/>
        <v>168.83816952147049</v>
      </c>
      <c r="I47" s="7">
        <f t="shared" si="27"/>
        <v>72.768706027457057</v>
      </c>
      <c r="J47" s="4">
        <f t="shared" si="24"/>
        <v>0.45931775307961331</v>
      </c>
      <c r="K47" s="2">
        <v>2008</v>
      </c>
      <c r="L47" s="2">
        <v>2009</v>
      </c>
      <c r="M47" s="3">
        <f t="shared" si="9"/>
        <v>0.93875910507486682</v>
      </c>
      <c r="N47" s="3">
        <f t="shared" si="9"/>
        <v>5.4392867044405442E-2</v>
      </c>
      <c r="O47" s="3">
        <f t="shared" si="9"/>
        <v>6.8480278807276944E-3</v>
      </c>
      <c r="P47" s="2">
        <f t="shared" si="10"/>
        <v>1.5404215193723574E-2</v>
      </c>
      <c r="Q47" s="2">
        <f t="shared" si="10"/>
        <v>8.9253933669042286E-4</v>
      </c>
      <c r="R47" s="2">
        <f t="shared" si="10"/>
        <v>1.1237014326368149E-4</v>
      </c>
      <c r="S47" s="2">
        <f t="shared" si="11"/>
        <v>1.640912467367768E-2</v>
      </c>
      <c r="T47" s="52">
        <f t="shared" si="12"/>
        <v>64.917296170170914</v>
      </c>
      <c r="U47" s="53">
        <f t="shared" si="12"/>
        <v>1120.3987980048546</v>
      </c>
      <c r="V47" s="54">
        <f t="shared" si="12"/>
        <v>8899.1610311776149</v>
      </c>
      <c r="W47" s="7">
        <f t="shared" si="13"/>
        <v>-8.0571270419530379</v>
      </c>
      <c r="X47" s="7">
        <f t="shared" si="14"/>
        <v>33.472358715884582</v>
      </c>
      <c r="Y47" s="7">
        <f t="shared" si="15"/>
        <v>-94.335364689906271</v>
      </c>
      <c r="Z47" s="7">
        <v>263.17353421137676</v>
      </c>
      <c r="AA47" s="2">
        <v>2008</v>
      </c>
      <c r="AB47" s="2">
        <v>2009</v>
      </c>
      <c r="AC47" s="7">
        <v>168.83816952147049</v>
      </c>
      <c r="AD47" s="7">
        <v>17.191611564263667</v>
      </c>
      <c r="AE47" s="4">
        <f t="shared" si="6"/>
        <v>0.41608404949854599</v>
      </c>
      <c r="AF47" s="7">
        <v>1243.3599999999999</v>
      </c>
      <c r="AG47" s="4">
        <f t="shared" si="7"/>
        <v>6.4493640683030068E-2</v>
      </c>
      <c r="AH47" s="38">
        <v>0.13579186198805696</v>
      </c>
      <c r="AI47" s="7">
        <f t="shared" si="8"/>
        <v>6.4515515807751322</v>
      </c>
      <c r="AJ47" s="24">
        <v>221.172</v>
      </c>
      <c r="AK47" s="28">
        <v>1.1046499999999999</v>
      </c>
      <c r="AL47" s="28">
        <f t="shared" si="18"/>
        <v>0.97216366666666654</v>
      </c>
      <c r="AM47" s="28">
        <f t="shared" si="16"/>
        <v>7.1179606270179496E-2</v>
      </c>
      <c r="AN47" s="28">
        <f t="shared" si="19"/>
        <v>0.95103300000000002</v>
      </c>
      <c r="AO47" s="28">
        <f t="shared" si="20"/>
        <v>6.0960499999999973E-2</v>
      </c>
      <c r="AP47" s="44">
        <v>3590.15</v>
      </c>
      <c r="AQ47" s="44">
        <f t="shared" si="21"/>
        <v>3593.0766666666664</v>
      </c>
      <c r="AR47" s="44">
        <f t="shared" si="17"/>
        <v>253.47831263794103</v>
      </c>
      <c r="AS47" s="44">
        <f t="shared" si="22"/>
        <v>3590.15</v>
      </c>
      <c r="AT47" s="44">
        <f t="shared" si="23"/>
        <v>219.51499999999999</v>
      </c>
    </row>
    <row r="48" spans="1:46" x14ac:dyDescent="0.4">
      <c r="A48" s="2">
        <v>2009</v>
      </c>
      <c r="B48" s="2">
        <v>2010</v>
      </c>
      <c r="C48" s="7">
        <f t="shared" si="28"/>
        <v>241.83142895418095</v>
      </c>
      <c r="D48" s="7">
        <f t="shared" si="29"/>
        <v>232.99181884604531</v>
      </c>
      <c r="E48" s="7">
        <f t="shared" si="30"/>
        <v>117.32112202608447</v>
      </c>
      <c r="F48" s="4">
        <f t="shared" si="31"/>
        <v>0.4851359582724582</v>
      </c>
      <c r="G48" s="7">
        <f t="shared" si="25"/>
        <v>155.70384363165778</v>
      </c>
      <c r="H48" s="7">
        <f t="shared" si="26"/>
        <v>168.83816952147049</v>
      </c>
      <c r="I48" s="7">
        <f t="shared" si="27"/>
        <v>76.436531634934965</v>
      </c>
      <c r="J48" s="4">
        <f t="shared" si="24"/>
        <v>0.49090972870109584</v>
      </c>
      <c r="K48" s="2">
        <v>2009</v>
      </c>
      <c r="L48" s="2">
        <v>2010</v>
      </c>
      <c r="M48" s="3">
        <f t="shared" si="9"/>
        <v>0.25193639503972859</v>
      </c>
      <c r="N48" s="3">
        <f t="shared" si="9"/>
        <v>0.67291417238279394</v>
      </c>
      <c r="O48" s="3">
        <f t="shared" si="9"/>
        <v>7.5149432577477263E-2</v>
      </c>
      <c r="P48" s="2">
        <f t="shared" si="10"/>
        <v>8.7341562535993457E-5</v>
      </c>
      <c r="Q48" s="2">
        <f t="shared" si="10"/>
        <v>2.332865613134614E-4</v>
      </c>
      <c r="R48" s="2">
        <f t="shared" si="10"/>
        <v>2.6052880783560904E-5</v>
      </c>
      <c r="S48" s="2">
        <f t="shared" si="11"/>
        <v>3.4668100463301581E-4</v>
      </c>
      <c r="T48" s="52">
        <f t="shared" si="12"/>
        <v>11449.302840075708</v>
      </c>
      <c r="U48" s="53">
        <f t="shared" si="12"/>
        <v>4286.573535868295</v>
      </c>
      <c r="V48" s="54">
        <f t="shared" si="12"/>
        <v>38383.471229446135</v>
      </c>
      <c r="W48" s="7">
        <f t="shared" si="13"/>
        <v>-107.00141513118277</v>
      </c>
      <c r="X48" s="7">
        <f t="shared" si="14"/>
        <v>-65.471929373345148</v>
      </c>
      <c r="Y48" s="7">
        <f t="shared" si="15"/>
        <v>-195.91700086885297</v>
      </c>
      <c r="Z48" s="7">
        <v>265.81088230109373</v>
      </c>
      <c r="AA48" s="2">
        <v>2009</v>
      </c>
      <c r="AB48" s="2">
        <v>2010</v>
      </c>
      <c r="AC48" s="7">
        <v>69.893881432240761</v>
      </c>
      <c r="AD48" s="7">
        <v>14.403215285299444</v>
      </c>
      <c r="AE48" s="4">
        <f t="shared" si="6"/>
        <v>0.17224617693927177</v>
      </c>
      <c r="AF48" s="7">
        <v>1277.0899999999999</v>
      </c>
      <c r="AG48" s="4">
        <f t="shared" si="7"/>
        <v>6.6243230906487954E-2</v>
      </c>
      <c r="AH48" s="38">
        <v>5.472901787050307E-2</v>
      </c>
      <c r="AI48" s="7">
        <f t="shared" si="8"/>
        <v>2.6002079696629314</v>
      </c>
      <c r="AJ48" s="24">
        <v>91.558499999999995</v>
      </c>
      <c r="AK48" s="28">
        <v>0.83189800000000003</v>
      </c>
      <c r="AL48" s="28">
        <f t="shared" si="18"/>
        <v>0.93245199999999995</v>
      </c>
      <c r="AM48" s="28">
        <f t="shared" si="16"/>
        <v>8.6502524872591552E-2</v>
      </c>
      <c r="AN48" s="28">
        <f t="shared" si="19"/>
        <v>0.86080800000000002</v>
      </c>
      <c r="AO48" s="28">
        <f t="shared" si="20"/>
        <v>6.8187999999999971E-2</v>
      </c>
      <c r="AP48" s="44">
        <v>2555.2800000000002</v>
      </c>
      <c r="AQ48" s="44">
        <f t="shared" si="21"/>
        <v>3100.3133333333335</v>
      </c>
      <c r="AR48" s="44">
        <f t="shared" si="17"/>
        <v>300.01332372264886</v>
      </c>
      <c r="AS48" s="44">
        <f t="shared" si="22"/>
        <v>3155.51</v>
      </c>
      <c r="AT48" s="44">
        <f t="shared" si="23"/>
        <v>258.71749999999997</v>
      </c>
    </row>
    <row r="49" spans="1:46" x14ac:dyDescent="0.4">
      <c r="A49" s="2">
        <v>2010</v>
      </c>
      <c r="B49" s="2">
        <v>2011</v>
      </c>
      <c r="C49" s="7">
        <f t="shared" si="28"/>
        <v>228.00009941706398</v>
      </c>
      <c r="D49" s="7">
        <f t="shared" si="29"/>
        <v>229.35584231451887</v>
      </c>
      <c r="E49" s="7">
        <f t="shared" si="30"/>
        <v>98.020604841156441</v>
      </c>
      <c r="F49" s="4">
        <f t="shared" si="31"/>
        <v>0.42991474605392382</v>
      </c>
      <c r="G49" s="7">
        <f t="shared" si="25"/>
        <v>150.77332815363488</v>
      </c>
      <c r="H49" s="7">
        <f t="shared" si="26"/>
        <v>168.83816952147049</v>
      </c>
      <c r="I49" s="7">
        <f t="shared" si="27"/>
        <v>68.039261581695982</v>
      </c>
      <c r="J49" s="4">
        <f t="shared" si="24"/>
        <v>0.45126855270028526</v>
      </c>
      <c r="K49" s="2">
        <v>2010</v>
      </c>
      <c r="L49" s="2">
        <v>2011</v>
      </c>
      <c r="M49" s="3">
        <f t="shared" si="9"/>
        <v>0.13048023598945244</v>
      </c>
      <c r="N49" s="3">
        <f t="shared" si="9"/>
        <v>4.7061321274513603E-2</v>
      </c>
      <c r="O49" s="3">
        <f t="shared" si="9"/>
        <v>0.82245844273603386</v>
      </c>
      <c r="P49" s="2">
        <f t="shared" si="10"/>
        <v>2.5648426579120818E-4</v>
      </c>
      <c r="Q49" s="2">
        <f t="shared" si="10"/>
        <v>9.2508174458187848E-5</v>
      </c>
      <c r="R49" s="2">
        <f t="shared" si="10"/>
        <v>1.6167019336628449E-3</v>
      </c>
      <c r="S49" s="2">
        <f t="shared" si="11"/>
        <v>1.965694373912241E-3</v>
      </c>
      <c r="T49" s="52">
        <f t="shared" si="12"/>
        <v>3898.8746421351757</v>
      </c>
      <c r="U49" s="53">
        <f t="shared" si="12"/>
        <v>10809.855516627704</v>
      </c>
      <c r="V49" s="54">
        <f t="shared" si="12"/>
        <v>618.54320773549898</v>
      </c>
      <c r="W49" s="7">
        <f t="shared" si="13"/>
        <v>62.44096926005534</v>
      </c>
      <c r="X49" s="7">
        <f t="shared" si="14"/>
        <v>103.97045501789296</v>
      </c>
      <c r="Y49" s="7">
        <f t="shared" si="15"/>
        <v>-24.870528899392127</v>
      </c>
      <c r="Z49" s="7">
        <v>264.206794722871</v>
      </c>
      <c r="AA49" s="2">
        <v>2010</v>
      </c>
      <c r="AB49" s="2">
        <v>2011</v>
      </c>
      <c r="AC49" s="7">
        <v>239.33626582347887</v>
      </c>
      <c r="AD49" s="7">
        <v>19.354800037366008</v>
      </c>
      <c r="AE49" s="4">
        <f t="shared" si="6"/>
        <v>0.5898192509308734</v>
      </c>
      <c r="AF49" s="7">
        <v>1256.44</v>
      </c>
      <c r="AG49" s="4">
        <f t="shared" si="7"/>
        <v>6.5172106147685552E-2</v>
      </c>
      <c r="AH49" s="38">
        <v>0.19048762043828504</v>
      </c>
      <c r="AI49" s="7">
        <f t="shared" si="8"/>
        <v>9.050179375733121</v>
      </c>
      <c r="AJ49" s="24">
        <v>313.52199999999999</v>
      </c>
      <c r="AK49" s="28">
        <v>0.90731099999999998</v>
      </c>
      <c r="AL49" s="28">
        <f t="shared" si="18"/>
        <v>0.94795300000000005</v>
      </c>
      <c r="AM49" s="28">
        <f t="shared" si="16"/>
        <v>8.131675206458519E-2</v>
      </c>
      <c r="AN49" s="28">
        <f t="shared" si="19"/>
        <v>0.90731099999999998</v>
      </c>
      <c r="AO49" s="28">
        <f t="shared" si="20"/>
        <v>6.8187999999999971E-2</v>
      </c>
      <c r="AP49" s="44">
        <v>2817.88</v>
      </c>
      <c r="AQ49" s="44">
        <f t="shared" si="21"/>
        <v>2987.7700000000004</v>
      </c>
      <c r="AR49" s="44">
        <f t="shared" si="17"/>
        <v>310.58328904390987</v>
      </c>
      <c r="AS49" s="44">
        <f t="shared" si="22"/>
        <v>2817.88</v>
      </c>
      <c r="AT49" s="44">
        <f t="shared" si="23"/>
        <v>258.71749999999997</v>
      </c>
    </row>
    <row r="50" spans="1:46" x14ac:dyDescent="0.4">
      <c r="A50" s="2">
        <v>2011</v>
      </c>
      <c r="B50" s="2">
        <v>2012</v>
      </c>
      <c r="C50" s="7">
        <f t="shared" si="28"/>
        <v>223.04675889216045</v>
      </c>
      <c r="D50" s="7">
        <f t="shared" si="29"/>
        <v>217.72384726956108</v>
      </c>
      <c r="E50" s="7">
        <f t="shared" si="30"/>
        <v>98.097876342570288</v>
      </c>
      <c r="F50" s="4">
        <f t="shared" si="31"/>
        <v>0.43980857121532552</v>
      </c>
      <c r="G50" s="7">
        <f t="shared" si="25"/>
        <v>166.43711199793279</v>
      </c>
      <c r="H50" s="7">
        <f t="shared" si="26"/>
        <v>174.53679744669509</v>
      </c>
      <c r="I50" s="7">
        <f t="shared" si="27"/>
        <v>60.989751599498689</v>
      </c>
      <c r="J50" s="4">
        <f t="shared" si="24"/>
        <v>0.366443222111762</v>
      </c>
      <c r="K50" s="2">
        <v>2011</v>
      </c>
      <c r="L50" s="2">
        <v>2012</v>
      </c>
      <c r="M50" s="3">
        <f t="shared" si="9"/>
        <v>0.99539524295695081</v>
      </c>
      <c r="N50" s="3">
        <f t="shared" si="9"/>
        <v>3.6085936065050196E-3</v>
      </c>
      <c r="O50" s="3">
        <f t="shared" si="9"/>
        <v>9.9616343654412138E-4</v>
      </c>
      <c r="P50" s="2">
        <f t="shared" si="10"/>
        <v>0.17977469645388094</v>
      </c>
      <c r="Q50" s="2">
        <f t="shared" si="10"/>
        <v>6.5173490111094699E-4</v>
      </c>
      <c r="R50" s="2">
        <f t="shared" si="10"/>
        <v>1.7991343708975252E-4</v>
      </c>
      <c r="S50" s="2">
        <f t="shared" si="11"/>
        <v>0.18060634479208165</v>
      </c>
      <c r="T50" s="52">
        <f t="shared" si="12"/>
        <v>5.5625180836088246</v>
      </c>
      <c r="U50" s="53">
        <f t="shared" si="12"/>
        <v>1534.3661944379539</v>
      </c>
      <c r="V50" s="54">
        <f t="shared" si="12"/>
        <v>5558.2285357659803</v>
      </c>
      <c r="W50" s="7">
        <f t="shared" si="13"/>
        <v>-2.3584991167284386</v>
      </c>
      <c r="X50" s="7">
        <f t="shared" si="14"/>
        <v>39.170986641109181</v>
      </c>
      <c r="Y50" s="7">
        <f t="shared" si="15"/>
        <v>-74.553527990068858</v>
      </c>
      <c r="Z50" s="7">
        <v>249.09032543676395</v>
      </c>
      <c r="AA50" s="2">
        <v>2011</v>
      </c>
      <c r="AB50" s="2">
        <v>2012</v>
      </c>
      <c r="AC50" s="7">
        <v>174.53679744669509</v>
      </c>
      <c r="AD50" s="7">
        <v>17.717732711760625</v>
      </c>
      <c r="AE50" s="4">
        <f t="shared" si="6"/>
        <v>0.43012772333387161</v>
      </c>
      <c r="AF50" s="7">
        <v>1080.71</v>
      </c>
      <c r="AG50" s="4">
        <f t="shared" si="7"/>
        <v>5.6056912255949547E-2</v>
      </c>
      <c r="AH50" s="38">
        <v>0.16150197319049059</v>
      </c>
      <c r="AI50" s="7">
        <f t="shared" si="8"/>
        <v>7.6730541520010398</v>
      </c>
      <c r="AJ50" s="24">
        <v>228.637</v>
      </c>
      <c r="AK50" s="28">
        <v>0.91319099999999997</v>
      </c>
      <c r="AL50" s="28">
        <f t="shared" si="18"/>
        <v>0.88413333333333333</v>
      </c>
      <c r="AM50" s="28">
        <f t="shared" si="16"/>
        <v>2.617276661171131E-2</v>
      </c>
      <c r="AN50" s="28">
        <f t="shared" si="19"/>
        <v>0.90731099999999998</v>
      </c>
      <c r="AO50" s="28">
        <f t="shared" si="20"/>
        <v>2.0323249999999987E-2</v>
      </c>
      <c r="AP50" s="44">
        <v>2941.66</v>
      </c>
      <c r="AQ50" s="44">
        <f t="shared" si="21"/>
        <v>2771.6066666666666</v>
      </c>
      <c r="AR50" s="44">
        <f t="shared" si="17"/>
        <v>113.91267435091565</v>
      </c>
      <c r="AS50" s="44">
        <f t="shared" si="22"/>
        <v>2817.88</v>
      </c>
      <c r="AT50" s="44">
        <f t="shared" si="23"/>
        <v>96.594999999999914</v>
      </c>
    </row>
    <row r="51" spans="1:46" x14ac:dyDescent="0.4">
      <c r="A51" s="2">
        <v>2012</v>
      </c>
      <c r="B51" s="2">
        <v>2013</v>
      </c>
      <c r="C51" s="7">
        <f t="shared" si="28"/>
        <v>203.67163387575766</v>
      </c>
      <c r="D51" s="7">
        <f t="shared" si="29"/>
        <v>199.54167447344588</v>
      </c>
      <c r="E51" s="7">
        <f t="shared" si="30"/>
        <v>87.380472246641162</v>
      </c>
      <c r="F51" s="4">
        <f t="shared" si="31"/>
        <v>0.42902622512442934</v>
      </c>
      <c r="G51" s="7">
        <f t="shared" si="25"/>
        <v>144.18940902882784</v>
      </c>
      <c r="H51" s="7">
        <f t="shared" si="26"/>
        <v>168.83816952147049</v>
      </c>
      <c r="I51" s="7">
        <f t="shared" si="27"/>
        <v>73.915686920633107</v>
      </c>
      <c r="J51" s="4">
        <f t="shared" si="24"/>
        <v>0.51262909958841096</v>
      </c>
      <c r="K51" s="2">
        <v>2012</v>
      </c>
      <c r="L51" s="2">
        <v>2013</v>
      </c>
      <c r="M51" s="3">
        <f t="shared" si="9"/>
        <v>0.25451033539374124</v>
      </c>
      <c r="N51" s="3">
        <f t="shared" si="9"/>
        <v>0.66762544432406523</v>
      </c>
      <c r="O51" s="3">
        <f t="shared" si="9"/>
        <v>7.7864220282193558E-2</v>
      </c>
      <c r="P51" s="2">
        <f t="shared" si="10"/>
        <v>8.4862029499864914E-5</v>
      </c>
      <c r="Q51" s="2">
        <f t="shared" si="10"/>
        <v>2.2260805268846658E-4</v>
      </c>
      <c r="R51" s="2">
        <f t="shared" si="10"/>
        <v>2.5962465329154498E-5</v>
      </c>
      <c r="S51" s="2">
        <f t="shared" si="11"/>
        <v>3.3343254751748598E-4</v>
      </c>
      <c r="T51" s="52">
        <f t="shared" si="12"/>
        <v>11783.833192459671</v>
      </c>
      <c r="U51" s="53">
        <f t="shared" si="12"/>
        <v>4492.200474883407</v>
      </c>
      <c r="V51" s="54">
        <f t="shared" si="12"/>
        <v>38517.143396126252</v>
      </c>
      <c r="W51" s="7">
        <f t="shared" si="13"/>
        <v>-108.55336564316958</v>
      </c>
      <c r="X51" s="7">
        <f t="shared" si="14"/>
        <v>-67.023879885331965</v>
      </c>
      <c r="Y51" s="7">
        <f t="shared" si="15"/>
        <v>-196.25784925991178</v>
      </c>
      <c r="Z51" s="7">
        <v>264.59978018016574</v>
      </c>
      <c r="AA51" s="2">
        <v>2012</v>
      </c>
      <c r="AB51" s="2">
        <v>2013</v>
      </c>
      <c r="AC51" s="7">
        <v>68.341930920253944</v>
      </c>
      <c r="AD51" s="7">
        <v>13.76579340752817</v>
      </c>
      <c r="AE51" s="4">
        <f t="shared" si="6"/>
        <v>0.16842155685792992</v>
      </c>
      <c r="AF51" s="7">
        <v>1261.46</v>
      </c>
      <c r="AG51" s="4">
        <f t="shared" si="7"/>
        <v>6.5432495798493681E-2</v>
      </c>
      <c r="AH51" s="38">
        <v>5.4176851362908014E-2</v>
      </c>
      <c r="AI51" s="7">
        <f t="shared" si="8"/>
        <v>2.5739742127000933</v>
      </c>
      <c r="AJ51" s="24">
        <v>89.525499999999994</v>
      </c>
      <c r="AK51" s="28">
        <v>0.96132499999999999</v>
      </c>
      <c r="AL51" s="28">
        <f t="shared" si="18"/>
        <v>0.92727566666666661</v>
      </c>
      <c r="AM51" s="28">
        <f t="shared" si="16"/>
        <v>1.7109075811133436E-2</v>
      </c>
      <c r="AN51" s="28">
        <f t="shared" si="19"/>
        <v>0.91319099999999997</v>
      </c>
      <c r="AO51" s="28">
        <f t="shared" si="20"/>
        <v>1.3503500000000002E-2</v>
      </c>
      <c r="AP51" s="44">
        <v>3216.95</v>
      </c>
      <c r="AQ51" s="44">
        <f t="shared" si="21"/>
        <v>2992.1633333333334</v>
      </c>
      <c r="AR51" s="44">
        <f t="shared" si="17"/>
        <v>117.93664433829616</v>
      </c>
      <c r="AS51" s="44">
        <f t="shared" si="22"/>
        <v>2941.66</v>
      </c>
      <c r="AT51" s="44">
        <f t="shared" si="23"/>
        <v>99.767499999999927</v>
      </c>
    </row>
    <row r="52" spans="1:46" x14ac:dyDescent="0.4">
      <c r="A52" s="2">
        <v>2013</v>
      </c>
      <c r="B52" s="2">
        <v>2014</v>
      </c>
      <c r="C52" s="7">
        <f t="shared" si="28"/>
        <v>211.07351412874669</v>
      </c>
      <c r="D52" s="7">
        <f t="shared" si="29"/>
        <v>217.72384726956108</v>
      </c>
      <c r="E52" s="7">
        <f t="shared" si="30"/>
        <v>87.13448813772024</v>
      </c>
      <c r="F52" s="4">
        <f t="shared" si="31"/>
        <v>0.41281583100270725</v>
      </c>
      <c r="G52" s="7">
        <f t="shared" si="25"/>
        <v>166.1490889147195</v>
      </c>
      <c r="H52" s="7">
        <f t="shared" si="26"/>
        <v>174.53679744669509</v>
      </c>
      <c r="I52" s="7">
        <f t="shared" si="27"/>
        <v>96.06177023878611</v>
      </c>
      <c r="J52" s="4">
        <f t="shared" si="24"/>
        <v>0.57816609688478282</v>
      </c>
      <c r="K52" s="2">
        <v>2013</v>
      </c>
      <c r="L52" s="2">
        <v>2014</v>
      </c>
      <c r="M52" s="3">
        <f t="shared" si="9"/>
        <v>4.8363604345179508E-2</v>
      </c>
      <c r="N52" s="3">
        <f t="shared" si="9"/>
        <v>2.4389217732883932E-2</v>
      </c>
      <c r="O52" s="3">
        <f t="shared" si="9"/>
        <v>0.92724717792193667</v>
      </c>
      <c r="P52" s="2">
        <f t="shared" si="10"/>
        <v>9.6606349299770562E-5</v>
      </c>
      <c r="Q52" s="2">
        <f t="shared" si="10"/>
        <v>4.8717487444377906E-5</v>
      </c>
      <c r="R52" s="2">
        <f t="shared" si="10"/>
        <v>1.8521771892396502E-3</v>
      </c>
      <c r="S52" s="2">
        <f t="shared" si="11"/>
        <v>1.9975010259837985E-3</v>
      </c>
      <c r="T52" s="52">
        <f t="shared" si="12"/>
        <v>10351.28650702853</v>
      </c>
      <c r="U52" s="53">
        <f t="shared" si="12"/>
        <v>20526.510139541318</v>
      </c>
      <c r="V52" s="54">
        <f t="shared" si="12"/>
        <v>539.90514828147559</v>
      </c>
      <c r="W52" s="7">
        <f t="shared" si="13"/>
        <v>101.74127238750521</v>
      </c>
      <c r="X52" s="7">
        <f t="shared" si="14"/>
        <v>143.27075814534282</v>
      </c>
      <c r="Y52" s="7">
        <f t="shared" si="15"/>
        <v>23.235859103581163</v>
      </c>
      <c r="Z52" s="7">
        <v>255.40070984734757</v>
      </c>
      <c r="AA52" s="2">
        <v>2013</v>
      </c>
      <c r="AB52" s="2">
        <v>2014</v>
      </c>
      <c r="AC52" s="7">
        <v>278.63656895092873</v>
      </c>
      <c r="AD52" s="7">
        <v>18.947613415086728</v>
      </c>
      <c r="AE52" s="4">
        <f t="shared" si="6"/>
        <v>0.68667074676345685</v>
      </c>
      <c r="AF52" s="7">
        <v>1150.18</v>
      </c>
      <c r="AG52" s="4">
        <f t="shared" si="7"/>
        <v>5.9660352304085319E-2</v>
      </c>
      <c r="AH52" s="38">
        <v>0.24225475051811779</v>
      </c>
      <c r="AI52" s="7">
        <f t="shared" si="8"/>
        <v>11.509666306754882</v>
      </c>
      <c r="AJ52" s="24">
        <v>365.00400000000002</v>
      </c>
      <c r="AK52" s="28">
        <v>0.87827200000000005</v>
      </c>
      <c r="AL52" s="28">
        <f t="shared" si="18"/>
        <v>0.91759599999999997</v>
      </c>
      <c r="AM52" s="28">
        <f t="shared" si="16"/>
        <v>2.4076290003514505E-2</v>
      </c>
      <c r="AN52" s="28">
        <f t="shared" si="19"/>
        <v>0.91319099999999997</v>
      </c>
      <c r="AO52" s="28">
        <f t="shared" si="20"/>
        <v>2.0763249999999983E-2</v>
      </c>
      <c r="AP52" s="44">
        <v>3016.2</v>
      </c>
      <c r="AQ52" s="44">
        <f t="shared" si="21"/>
        <v>3058.27</v>
      </c>
      <c r="AR52" s="44">
        <f t="shared" si="17"/>
        <v>82.206162988752453</v>
      </c>
      <c r="AS52" s="44">
        <f t="shared" si="22"/>
        <v>3016.2</v>
      </c>
      <c r="AT52" s="44">
        <f t="shared" si="23"/>
        <v>68.822499999999991</v>
      </c>
    </row>
    <row r="53" spans="1:46" x14ac:dyDescent="0.4">
      <c r="A53" s="2">
        <v>2014</v>
      </c>
      <c r="B53" s="2">
        <v>2015</v>
      </c>
      <c r="C53" s="7">
        <f t="shared" si="28"/>
        <v>196.72594920858441</v>
      </c>
      <c r="D53" s="7">
        <f t="shared" si="29"/>
        <v>199.54167447344588</v>
      </c>
      <c r="E53" s="7">
        <f t="shared" si="30"/>
        <v>84.034047325007251</v>
      </c>
      <c r="F53" s="4">
        <f t="shared" si="31"/>
        <v>0.42716300347295671</v>
      </c>
      <c r="G53" s="7">
        <f t="shared" si="25"/>
        <v>167.7690565396517</v>
      </c>
      <c r="H53" s="7">
        <f t="shared" si="26"/>
        <v>174.53679744669509</v>
      </c>
      <c r="I53" s="7">
        <f t="shared" si="27"/>
        <v>94.080600430198217</v>
      </c>
      <c r="J53" s="4">
        <f t="shared" si="24"/>
        <v>0.56077445013206328</v>
      </c>
      <c r="K53" s="2">
        <v>2014</v>
      </c>
      <c r="L53" s="2">
        <v>2015</v>
      </c>
      <c r="M53" s="3">
        <f t="shared" si="9"/>
        <v>0.23337026064029082</v>
      </c>
      <c r="N53" s="3">
        <f t="shared" si="9"/>
        <v>0.6935065758741854</v>
      </c>
      <c r="O53" s="3">
        <f t="shared" si="9"/>
        <v>7.3123163485523793E-2</v>
      </c>
      <c r="P53" s="2">
        <f t="shared" si="10"/>
        <v>1.0223357946839793E-4</v>
      </c>
      <c r="Q53" s="2">
        <f t="shared" si="10"/>
        <v>3.0380760359938257E-4</v>
      </c>
      <c r="R53" s="2">
        <f t="shared" si="10"/>
        <v>3.2033399305752407E-5</v>
      </c>
      <c r="S53" s="2">
        <f t="shared" si="11"/>
        <v>4.3807458237353291E-4</v>
      </c>
      <c r="T53" s="52">
        <f t="shared" si="12"/>
        <v>9781.5219343769168</v>
      </c>
      <c r="U53" s="53">
        <f t="shared" si="12"/>
        <v>3291.5568542473184</v>
      </c>
      <c r="V53" s="54">
        <f t="shared" si="12"/>
        <v>31217.417497756</v>
      </c>
      <c r="W53" s="7">
        <f t="shared" si="13"/>
        <v>-98.901577006521578</v>
      </c>
      <c r="X53" s="7">
        <f t="shared" si="14"/>
        <v>-57.372091248683958</v>
      </c>
      <c r="Y53" s="7">
        <f t="shared" si="15"/>
        <v>-176.68451402926064</v>
      </c>
      <c r="Z53" s="7">
        <v>254.67823358616261</v>
      </c>
      <c r="AA53" s="2">
        <v>2014</v>
      </c>
      <c r="AB53" s="2">
        <v>2015</v>
      </c>
      <c r="AC53" s="7">
        <v>77.993719556901951</v>
      </c>
      <c r="AD53" s="7">
        <v>15.998449414615166</v>
      </c>
      <c r="AE53" s="4">
        <f t="shared" si="6"/>
        <v>0.19220738273025945</v>
      </c>
      <c r="AF53" s="7">
        <v>1141.96</v>
      </c>
      <c r="AG53" s="4">
        <f t="shared" si="7"/>
        <v>5.923397721849908E-2</v>
      </c>
      <c r="AH53" s="38">
        <v>6.8298118635418015E-2</v>
      </c>
      <c r="AI53" s="7">
        <f t="shared" si="8"/>
        <v>3.244883962818423</v>
      </c>
      <c r="AJ53" s="24">
        <v>102.169</v>
      </c>
      <c r="AK53" s="28">
        <v>0.77393900000000004</v>
      </c>
      <c r="AL53" s="28">
        <f t="shared" si="18"/>
        <v>0.87117866666666666</v>
      </c>
      <c r="AM53" s="28">
        <f t="shared" si="16"/>
        <v>5.4209823163744439E-2</v>
      </c>
      <c r="AN53" s="28">
        <f t="shared" si="19"/>
        <v>0.87827200000000005</v>
      </c>
      <c r="AO53" s="28">
        <f t="shared" si="20"/>
        <v>4.6846499999999985E-2</v>
      </c>
      <c r="AP53" s="44">
        <v>2744.84</v>
      </c>
      <c r="AQ53" s="44">
        <f t="shared" si="21"/>
        <v>2992.6633333333334</v>
      </c>
      <c r="AR53" s="44">
        <f t="shared" si="17"/>
        <v>136.79357201434729</v>
      </c>
      <c r="AS53" s="44">
        <f t="shared" si="22"/>
        <v>3016.2</v>
      </c>
      <c r="AT53" s="44">
        <f t="shared" si="23"/>
        <v>118.02749999999992</v>
      </c>
    </row>
    <row r="54" spans="1:46" x14ac:dyDescent="0.4">
      <c r="A54" s="2">
        <v>2015</v>
      </c>
      <c r="B54" s="2">
        <v>2016</v>
      </c>
      <c r="C54" s="7">
        <f t="shared" si="28"/>
        <v>191.88757363552799</v>
      </c>
      <c r="D54" s="7">
        <f t="shared" si="29"/>
        <v>181.29575948955357</v>
      </c>
      <c r="E54" s="7">
        <f t="shared" si="30"/>
        <v>83.796271928043751</v>
      </c>
      <c r="F54" s="4">
        <f t="shared" si="31"/>
        <v>0.43669462456806463</v>
      </c>
      <c r="G54" s="7">
        <f t="shared" si="25"/>
        <v>149.86994486003667</v>
      </c>
      <c r="H54" s="7">
        <f t="shared" si="26"/>
        <v>149.84070742540356</v>
      </c>
      <c r="I54" s="7">
        <f t="shared" si="27"/>
        <v>85.150318220070389</v>
      </c>
      <c r="J54" s="4">
        <f t="shared" si="24"/>
        <v>0.56816140353952993</v>
      </c>
      <c r="K54" s="2">
        <v>2015</v>
      </c>
      <c r="L54" s="2">
        <v>2016</v>
      </c>
      <c r="M54" s="3">
        <f t="shared" si="9"/>
        <v>0.21993717000845733</v>
      </c>
      <c r="N54" s="3">
        <f t="shared" si="9"/>
        <v>0.76833316017697306</v>
      </c>
      <c r="O54" s="3">
        <f t="shared" si="9"/>
        <v>1.1729669814569658E-2</v>
      </c>
      <c r="P54" s="2">
        <f t="shared" si="10"/>
        <v>1.3662120582148682E-3</v>
      </c>
      <c r="Q54" s="2">
        <f t="shared" si="10"/>
        <v>4.7727540920879889E-3</v>
      </c>
      <c r="R54" s="2">
        <f t="shared" si="10"/>
        <v>7.2862701374796262E-5</v>
      </c>
      <c r="S54" s="2">
        <f t="shared" si="11"/>
        <v>6.2118288516776528E-3</v>
      </c>
      <c r="T54" s="52">
        <f t="shared" si="12"/>
        <v>731.95079342706777</v>
      </c>
      <c r="U54" s="53">
        <f t="shared" si="12"/>
        <v>209.5226321544086</v>
      </c>
      <c r="V54" s="54">
        <f t="shared" si="12"/>
        <v>13724.44311193089</v>
      </c>
      <c r="W54" s="7">
        <f t="shared" si="13"/>
        <v>-27.054589138019963</v>
      </c>
      <c r="X54" s="7">
        <f t="shared" si="14"/>
        <v>14.474896619817656</v>
      </c>
      <c r="Y54" s="7">
        <f t="shared" si="15"/>
        <v>-117.15136837412908</v>
      </c>
      <c r="Z54" s="7">
        <v>266.99207579953264</v>
      </c>
      <c r="AA54" s="2">
        <v>2015</v>
      </c>
      <c r="AB54" s="2">
        <v>2016</v>
      </c>
      <c r="AC54" s="7">
        <v>149.84070742540356</v>
      </c>
      <c r="AD54" s="7">
        <v>15.971960146161676</v>
      </c>
      <c r="AE54" s="4">
        <f t="shared" si="6"/>
        <v>0.36926678666319246</v>
      </c>
      <c r="AF54" s="7">
        <v>1292.57</v>
      </c>
      <c r="AG54" s="4">
        <f t="shared" si="7"/>
        <v>6.7046185447227E-2</v>
      </c>
      <c r="AH54" s="38">
        <v>0.11592463651903075</v>
      </c>
      <c r="AI54" s="7">
        <f t="shared" si="8"/>
        <v>5.5076479623713652</v>
      </c>
      <c r="AJ54" s="24">
        <v>196.286</v>
      </c>
      <c r="AK54" s="28">
        <v>0.90584900000000002</v>
      </c>
      <c r="AL54" s="28">
        <f t="shared" si="18"/>
        <v>0.8526866666666667</v>
      </c>
      <c r="AM54" s="28">
        <f t="shared" si="16"/>
        <v>4.0170548856649245E-2</v>
      </c>
      <c r="AN54" s="28">
        <f t="shared" si="19"/>
        <v>0.87827200000000005</v>
      </c>
      <c r="AO54" s="28">
        <f t="shared" si="20"/>
        <v>3.2977499999999993E-2</v>
      </c>
      <c r="AP54" s="44">
        <v>3272.39</v>
      </c>
      <c r="AQ54" s="44">
        <f t="shared" si="21"/>
        <v>3011.1433333333334</v>
      </c>
      <c r="AR54" s="44">
        <f t="shared" si="17"/>
        <v>152.31155354878507</v>
      </c>
      <c r="AS54" s="44">
        <f t="shared" si="22"/>
        <v>3016.2</v>
      </c>
      <c r="AT54" s="44">
        <f t="shared" si="23"/>
        <v>131.88749999999993</v>
      </c>
    </row>
    <row r="55" spans="1:46" x14ac:dyDescent="0.4">
      <c r="A55" s="2">
        <v>2016</v>
      </c>
      <c r="B55" s="2">
        <v>2017</v>
      </c>
      <c r="C55" s="7">
        <f t="shared" si="28"/>
        <v>186.208411887409</v>
      </c>
      <c r="D55" s="7">
        <f t="shared" si="29"/>
        <v>177.0586216062369</v>
      </c>
      <c r="E55" s="7">
        <f t="shared" si="30"/>
        <v>85.663437370331465</v>
      </c>
      <c r="F55" s="4">
        <f t="shared" si="31"/>
        <v>0.46004064210658702</v>
      </c>
      <c r="G55" s="7">
        <f t="shared" si="25"/>
        <v>136.12102213933332</v>
      </c>
      <c r="H55" s="7">
        <f t="shared" si="26"/>
        <v>105.79218384317846</v>
      </c>
      <c r="I55" s="7">
        <f t="shared" si="27"/>
        <v>85.719801959268693</v>
      </c>
      <c r="J55" s="4">
        <f t="shared" si="24"/>
        <v>0.6297322824355962</v>
      </c>
      <c r="K55" s="2">
        <v>2016</v>
      </c>
      <c r="L55" s="2">
        <v>2017</v>
      </c>
      <c r="M55" s="3">
        <f t="shared" si="9"/>
        <v>0.14341264854742555</v>
      </c>
      <c r="N55" s="3">
        <f t="shared" si="9"/>
        <v>0.82900185538113735</v>
      </c>
      <c r="O55" s="3">
        <f t="shared" si="9"/>
        <v>2.7585496071437138E-2</v>
      </c>
      <c r="P55" s="2">
        <f t="shared" si="10"/>
        <v>1.9779839943575312E-4</v>
      </c>
      <c r="Q55" s="2">
        <f t="shared" si="10"/>
        <v>1.1433805998599432E-3</v>
      </c>
      <c r="R55" s="2">
        <f t="shared" si="10"/>
        <v>3.8046622985050999E-5</v>
      </c>
      <c r="S55" s="2">
        <f t="shared" si="11"/>
        <v>1.3792256222807473E-3</v>
      </c>
      <c r="T55" s="52">
        <f t="shared" si="12"/>
        <v>5055.652638507876</v>
      </c>
      <c r="U55" s="53">
        <f t="shared" si="12"/>
        <v>874.59941171163257</v>
      </c>
      <c r="V55" s="54">
        <f t="shared" si="12"/>
        <v>26283.541653431705</v>
      </c>
      <c r="W55" s="7">
        <f t="shared" si="13"/>
        <v>-71.103112720245065</v>
      </c>
      <c r="X55" s="7">
        <f t="shared" si="14"/>
        <v>-29.573626962407445</v>
      </c>
      <c r="Y55" s="7">
        <f t="shared" si="15"/>
        <v>-162.12199620480777</v>
      </c>
      <c r="Z55" s="7">
        <v>267.91418004798624</v>
      </c>
      <c r="AA55" s="2">
        <v>2016</v>
      </c>
      <c r="AB55" s="2">
        <v>2017</v>
      </c>
      <c r="AC55" s="7">
        <v>105.79218384317846</v>
      </c>
      <c r="AD55" s="7">
        <v>15.663478492500154</v>
      </c>
      <c r="AE55" s="4">
        <f t="shared" si="6"/>
        <v>0.26071379702542141</v>
      </c>
      <c r="AF55" s="7">
        <v>1304.82</v>
      </c>
      <c r="AG55" s="4">
        <f t="shared" si="7"/>
        <v>6.7681598439736909E-2</v>
      </c>
      <c r="AH55" s="38">
        <v>8.1077990713798426E-2</v>
      </c>
      <c r="AI55" s="7">
        <f t="shared" si="8"/>
        <v>3.8520632348474839</v>
      </c>
      <c r="AJ55" s="24">
        <v>138.584</v>
      </c>
      <c r="AK55" s="28">
        <v>0.69626600000000005</v>
      </c>
      <c r="AL55" s="28">
        <f t="shared" si="18"/>
        <v>0.792018</v>
      </c>
      <c r="AM55" s="28">
        <f t="shared" si="16"/>
        <v>6.1172968303001972E-2</v>
      </c>
      <c r="AN55" s="28">
        <f t="shared" si="19"/>
        <v>0.77393900000000004</v>
      </c>
      <c r="AO55" s="28">
        <f t="shared" si="20"/>
        <v>5.2395749999999991E-2</v>
      </c>
      <c r="AP55" s="44">
        <v>2456.67</v>
      </c>
      <c r="AQ55" s="44">
        <f t="shared" si="21"/>
        <v>2824.6333333333332</v>
      </c>
      <c r="AR55" s="44">
        <f t="shared" si="17"/>
        <v>238.83398113427015</v>
      </c>
      <c r="AS55" s="44">
        <f t="shared" si="22"/>
        <v>2744.84</v>
      </c>
      <c r="AT55" s="44">
        <f t="shared" si="23"/>
        <v>203.92999999999995</v>
      </c>
    </row>
    <row r="56" spans="1:46" x14ac:dyDescent="0.4">
      <c r="A56" s="2">
        <v>2017</v>
      </c>
      <c r="B56" s="2">
        <v>2018</v>
      </c>
      <c r="C56" s="7">
        <f t="shared" si="28"/>
        <v>176.26585200136807</v>
      </c>
      <c r="D56" s="7">
        <f t="shared" si="29"/>
        <v>171.6874834840828</v>
      </c>
      <c r="E56" s="7">
        <f t="shared" si="30"/>
        <v>81.566752866154204</v>
      </c>
      <c r="F56" s="4">
        <f t="shared" si="31"/>
        <v>0.4627484673861908</v>
      </c>
      <c r="G56" s="7">
        <f t="shared" si="25"/>
        <v>145.36089120083716</v>
      </c>
      <c r="H56" s="7">
        <f t="shared" si="26"/>
        <v>114.54127622777312</v>
      </c>
      <c r="I56" s="7">
        <f t="shared" si="27"/>
        <v>78.797750788806667</v>
      </c>
      <c r="J56" s="4">
        <f t="shared" si="24"/>
        <v>0.54208356964416338</v>
      </c>
      <c r="K56" s="2">
        <v>2017</v>
      </c>
      <c r="L56" s="2">
        <v>2018</v>
      </c>
      <c r="M56" s="3">
        <f t="shared" si="9"/>
        <v>9.8594546367985619E-2</v>
      </c>
      <c r="N56" s="3">
        <f t="shared" si="9"/>
        <v>0.8839571358038838</v>
      </c>
      <c r="O56" s="3">
        <f t="shared" si="9"/>
        <v>1.7448317828130604E-2</v>
      </c>
      <c r="P56" s="2">
        <f t="shared" si="10"/>
        <v>2.5720006822509313E-4</v>
      </c>
      <c r="Q56" s="2">
        <f t="shared" si="10"/>
        <v>2.305947377538118E-3</v>
      </c>
      <c r="R56" s="2">
        <f t="shared" si="10"/>
        <v>4.5516802917869022E-5</v>
      </c>
      <c r="S56" s="2">
        <f t="shared" si="11"/>
        <v>2.6086642486810802E-3</v>
      </c>
      <c r="T56" s="52">
        <f t="shared" si="12"/>
        <v>3888.023852018704</v>
      </c>
      <c r="U56" s="53">
        <f t="shared" si="12"/>
        <v>433.66124038252025</v>
      </c>
      <c r="V56" s="54">
        <f t="shared" si="12"/>
        <v>21969.908602860578</v>
      </c>
      <c r="W56" s="7">
        <f t="shared" si="13"/>
        <v>-62.354020335650404</v>
      </c>
      <c r="X56" s="7">
        <f t="shared" si="14"/>
        <v>-20.824534577812784</v>
      </c>
      <c r="Y56" s="7">
        <f t="shared" si="15"/>
        <v>-148.22249695259009</v>
      </c>
      <c r="Z56" s="7">
        <v>262.76377318036322</v>
      </c>
      <c r="AA56" s="2">
        <v>2017</v>
      </c>
      <c r="AB56" s="2">
        <v>2018</v>
      </c>
      <c r="AC56" s="7">
        <v>114.54127622777312</v>
      </c>
      <c r="AD56" s="7">
        <v>16.05341273820742</v>
      </c>
      <c r="AE56" s="4">
        <f t="shared" si="6"/>
        <v>0.28227502218639489</v>
      </c>
      <c r="AF56" s="7">
        <v>1238.22</v>
      </c>
      <c r="AG56" s="4">
        <f t="shared" si="7"/>
        <v>6.4227026578417751E-2</v>
      </c>
      <c r="AH56" s="38">
        <v>9.2504786086295754E-2</v>
      </c>
      <c r="AI56" s="7">
        <f t="shared" si="8"/>
        <v>4.394957033263128</v>
      </c>
      <c r="AJ56" s="24">
        <v>150.04499999999999</v>
      </c>
      <c r="AK56" s="28">
        <v>0.74098799999999998</v>
      </c>
      <c r="AL56" s="28">
        <f t="shared" si="18"/>
        <v>0.78103433333333339</v>
      </c>
      <c r="AM56" s="28">
        <f t="shared" si="16"/>
        <v>6.3728696001966845E-2</v>
      </c>
      <c r="AN56" s="28">
        <f t="shared" si="19"/>
        <v>0.74098799999999998</v>
      </c>
      <c r="AO56" s="28">
        <f t="shared" si="20"/>
        <v>5.2395749999999991E-2</v>
      </c>
      <c r="AP56" s="44">
        <v>2256.27</v>
      </c>
      <c r="AQ56" s="44">
        <f t="shared" si="21"/>
        <v>2661.7766666666666</v>
      </c>
      <c r="AR56" s="44">
        <f t="shared" si="17"/>
        <v>310.73918438315951</v>
      </c>
      <c r="AS56" s="44">
        <f t="shared" si="22"/>
        <v>2456.67</v>
      </c>
      <c r="AT56" s="44">
        <f t="shared" si="23"/>
        <v>254.02999999999997</v>
      </c>
    </row>
    <row r="57" spans="1:46" x14ac:dyDescent="0.4">
      <c r="A57" s="2">
        <v>2018</v>
      </c>
      <c r="B57" s="2">
        <v>2019</v>
      </c>
      <c r="C57" s="7">
        <f t="shared" si="28"/>
        <v>176.89529656342353</v>
      </c>
      <c r="D57" s="7">
        <f t="shared" si="29"/>
        <v>171.6874834840828</v>
      </c>
      <c r="E57" s="7">
        <f t="shared" si="30"/>
        <v>81.937833283631591</v>
      </c>
      <c r="F57" s="55">
        <f t="shared" si="31"/>
        <v>0.46319961511386953</v>
      </c>
      <c r="G57" s="7">
        <f t="shared" si="25"/>
        <v>135.36581080558591</v>
      </c>
      <c r="H57" s="7">
        <f t="shared" si="26"/>
        <v>114.54127622777312</v>
      </c>
      <c r="I57" s="7">
        <f t="shared" si="27"/>
        <v>58.123497015433777</v>
      </c>
      <c r="J57" s="55">
        <f t="shared" si="24"/>
        <v>0.42938092469236178</v>
      </c>
      <c r="K57" s="2">
        <v>2018</v>
      </c>
      <c r="L57" s="2">
        <v>2019</v>
      </c>
      <c r="M57" s="3">
        <f t="shared" si="9"/>
        <v>0.26445811785691026</v>
      </c>
      <c r="N57" s="3">
        <f t="shared" si="9"/>
        <v>8.1418648730103516E-2</v>
      </c>
      <c r="O57" s="3">
        <f t="shared" si="9"/>
        <v>0.65412323341298617</v>
      </c>
      <c r="P57" s="2">
        <f t="shared" si="10"/>
        <v>3.7317535823216323E-4</v>
      </c>
      <c r="Q57" s="2">
        <f t="shared" si="10"/>
        <v>1.1488939591967654E-4</v>
      </c>
      <c r="R57" s="2">
        <f t="shared" si="10"/>
        <v>9.2302960459299678E-4</v>
      </c>
      <c r="S57" s="2">
        <f t="shared" si="11"/>
        <v>1.4110943587448367E-3</v>
      </c>
      <c r="T57" s="52">
        <f t="shared" si="12"/>
        <v>2679.7053394342051</v>
      </c>
      <c r="U57" s="53">
        <f t="shared" si="12"/>
        <v>8704.0234827166933</v>
      </c>
      <c r="V57" s="54">
        <f t="shared" si="12"/>
        <v>1083.3888696787171</v>
      </c>
      <c r="W57" s="7">
        <f t="shared" si="13"/>
        <v>51.765870411248812</v>
      </c>
      <c r="X57" s="7">
        <f t="shared" si="14"/>
        <v>93.295356169086432</v>
      </c>
      <c r="Y57" s="7">
        <f t="shared" si="15"/>
        <v>-32.914873077056171</v>
      </c>
      <c r="Z57" s="7">
        <v>261.57604005172851</v>
      </c>
      <c r="AA57" s="2">
        <v>2018</v>
      </c>
      <c r="AB57" s="2">
        <v>2019</v>
      </c>
      <c r="AC57" s="7">
        <v>228.66116697467234</v>
      </c>
      <c r="AD57" s="7">
        <v>28.009538716460646</v>
      </c>
      <c r="AE57" s="55">
        <f t="shared" si="6"/>
        <v>0.56351158382930699</v>
      </c>
      <c r="AF57" s="7">
        <v>1223.47</v>
      </c>
      <c r="AG57" s="55">
        <f t="shared" si="7"/>
        <v>6.3461937464987447E-2</v>
      </c>
      <c r="AH57" s="38">
        <v>0.18689560591977927</v>
      </c>
      <c r="AI57" s="7">
        <f t="shared" si="8"/>
        <v>8.8795206440112491</v>
      </c>
      <c r="AJ57" s="24">
        <v>299.53800000000001</v>
      </c>
      <c r="AK57" s="28">
        <v>0.69377500000000003</v>
      </c>
      <c r="AL57" s="28">
        <f t="shared" si="18"/>
        <v>0.71034299999999995</v>
      </c>
      <c r="AM57" s="28">
        <f t="shared" si="16"/>
        <v>1.5339364274093395E-2</v>
      </c>
      <c r="AN57" s="28">
        <f t="shared" si="19"/>
        <v>0.69626600000000005</v>
      </c>
      <c r="AO57" s="28">
        <f t="shared" si="20"/>
        <v>1.1803249999999987E-2</v>
      </c>
      <c r="AP57" s="44">
        <v>2177.37</v>
      </c>
      <c r="AQ57" s="44">
        <f t="shared" si="21"/>
        <v>2296.77</v>
      </c>
      <c r="AR57" s="44">
        <f t="shared" si="17"/>
        <v>83.131041133862922</v>
      </c>
      <c r="AS57" s="44">
        <f t="shared" si="22"/>
        <v>2256.27</v>
      </c>
      <c r="AT57" s="44">
        <f t="shared" si="23"/>
        <v>69.825000000000045</v>
      </c>
    </row>
    <row r="58" spans="1:46" s="22" customFormat="1" x14ac:dyDescent="0.4">
      <c r="A58" s="56">
        <v>2019</v>
      </c>
      <c r="B58" s="56">
        <v>2020</v>
      </c>
      <c r="C58" s="57">
        <f t="shared" si="28"/>
        <v>176.77414823767225</v>
      </c>
      <c r="D58" s="57">
        <f t="shared" si="29"/>
        <v>171.6874834840828</v>
      </c>
      <c r="E58" s="57">
        <f t="shared" si="30"/>
        <v>81.954674173231282</v>
      </c>
      <c r="F58" s="58">
        <f t="shared" si="31"/>
        <v>0.46361232674725433</v>
      </c>
      <c r="G58" s="57">
        <f t="shared" si="25"/>
        <v>152.72735064528894</v>
      </c>
      <c r="H58" s="57">
        <f t="shared" si="26"/>
        <v>149.84070742540356</v>
      </c>
      <c r="I58" s="57">
        <f t="shared" si="27"/>
        <v>48.941665414842142</v>
      </c>
      <c r="J58" s="58">
        <f t="shared" si="24"/>
        <v>0.32045121720542208</v>
      </c>
      <c r="K58" s="56">
        <v>2019</v>
      </c>
      <c r="L58" s="56">
        <v>2020</v>
      </c>
      <c r="M58" s="3">
        <f t="shared" si="9"/>
        <v>0.84291154021767478</v>
      </c>
      <c r="N58" s="3">
        <f t="shared" si="9"/>
        <v>0.14228762569868089</v>
      </c>
      <c r="O58" s="3">
        <f t="shared" si="9"/>
        <v>1.4800834083644297E-2</v>
      </c>
      <c r="P58" s="2">
        <f t="shared" si="10"/>
        <v>6.8370514383239373E-3</v>
      </c>
      <c r="Q58" s="2">
        <f t="shared" si="10"/>
        <v>1.1541280069408465E-3</v>
      </c>
      <c r="R58" s="2">
        <f t="shared" si="10"/>
        <v>1.2005300572091074E-4</v>
      </c>
      <c r="S58" s="2">
        <f t="shared" si="11"/>
        <v>8.1112324509856944E-3</v>
      </c>
      <c r="T58" s="52">
        <f t="shared" si="12"/>
        <v>146.26188043498823</v>
      </c>
      <c r="U58" s="53">
        <f t="shared" si="12"/>
        <v>866.45501537617042</v>
      </c>
      <c r="V58" s="54">
        <f t="shared" si="12"/>
        <v>8329.6540057040893</v>
      </c>
      <c r="W58" s="7">
        <f t="shared" si="13"/>
        <v>-12.09387780800634</v>
      </c>
      <c r="X58" s="7">
        <f t="shared" si="14"/>
        <v>29.435607949831279</v>
      </c>
      <c r="Y58" s="7">
        <f t="shared" si="15"/>
        <v>-91.266938185216276</v>
      </c>
      <c r="Z58" s="57">
        <v>256.06835694063346</v>
      </c>
      <c r="AA58" s="56">
        <v>2019</v>
      </c>
      <c r="AB58" s="56">
        <v>2020</v>
      </c>
      <c r="AC58" s="57">
        <v>164.80141875541719</v>
      </c>
      <c r="AD58" s="57">
        <v>35.512795766297579</v>
      </c>
      <c r="AE58" s="58">
        <f t="shared" si="6"/>
        <v>0.40613589849503595</v>
      </c>
      <c r="AF58" s="57">
        <v>1157.8399999999999</v>
      </c>
      <c r="AG58" s="58">
        <f t="shared" si="7"/>
        <v>6.0057679938585386E-2</v>
      </c>
      <c r="AH58" s="59">
        <v>0.14233522659039002</v>
      </c>
      <c r="AI58" s="57">
        <f t="shared" si="8"/>
        <v>6.7624306984610127</v>
      </c>
      <c r="AJ58" s="60">
        <v>215.88399999999999</v>
      </c>
      <c r="AK58" s="61">
        <v>0.77355200000000002</v>
      </c>
      <c r="AL58" s="28">
        <f t="shared" si="18"/>
        <v>0.7361049999999999</v>
      </c>
      <c r="AM58" s="28">
        <f t="shared" si="16"/>
        <v>2.3158693105037969E-2</v>
      </c>
      <c r="AN58" s="28">
        <f t="shared" si="19"/>
        <v>0.74098799999999998</v>
      </c>
      <c r="AO58" s="28">
        <f t="shared" si="20"/>
        <v>1.9944249999999997E-2</v>
      </c>
      <c r="AP58" s="62">
        <v>2694.58</v>
      </c>
      <c r="AQ58" s="44">
        <f t="shared" si="21"/>
        <v>2376.0733333333333</v>
      </c>
      <c r="AR58" s="44">
        <f t="shared" si="17"/>
        <v>160.87383776667286</v>
      </c>
      <c r="AS58" s="44">
        <f t="shared" si="22"/>
        <v>2256.27</v>
      </c>
      <c r="AT58" s="44">
        <f t="shared" si="23"/>
        <v>129.30250000000001</v>
      </c>
    </row>
    <row r="59" spans="1:46" s="22" customFormat="1" ht="15" thickBot="1" x14ac:dyDescent="0.45">
      <c r="A59" s="56">
        <v>2020</v>
      </c>
      <c r="B59" s="56">
        <v>2021</v>
      </c>
      <c r="C59" s="57">
        <f t="shared" si="28"/>
        <v>171.6346576230747</v>
      </c>
      <c r="D59" s="57">
        <f t="shared" si="29"/>
        <v>171.6874834840828</v>
      </c>
      <c r="E59" s="57">
        <f t="shared" si="30"/>
        <v>76.6078560708917</v>
      </c>
      <c r="F59" s="58">
        <f t="shared" si="31"/>
        <v>0.44634258099042856</v>
      </c>
      <c r="G59" s="57">
        <f t="shared" si="25"/>
        <v>162.99220935383886</v>
      </c>
      <c r="H59" s="57">
        <f t="shared" si="26"/>
        <v>164.80141875541719</v>
      </c>
      <c r="I59" s="57">
        <f t="shared" si="27"/>
        <v>53.36708510988332</v>
      </c>
      <c r="J59" s="58">
        <f t="shared" si="24"/>
        <v>0.32742107933532588</v>
      </c>
      <c r="K59" s="56">
        <v>2020</v>
      </c>
      <c r="L59" s="56">
        <v>2021</v>
      </c>
      <c r="M59" s="3">
        <f t="shared" si="9"/>
        <v>0.82875988323662841</v>
      </c>
      <c r="N59" s="3">
        <f t="shared" si="9"/>
        <v>0.11275001212692116</v>
      </c>
      <c r="O59" s="3">
        <f t="shared" si="9"/>
        <v>5.8490104636450393E-2</v>
      </c>
      <c r="P59" s="2">
        <f t="shared" si="10"/>
        <v>1.6977393951111649E-3</v>
      </c>
      <c r="Q59" s="2">
        <f t="shared" si="10"/>
        <v>2.3097177030283593E-4</v>
      </c>
      <c r="R59" s="2">
        <f t="shared" si="10"/>
        <v>1.1981872780529305E-4</v>
      </c>
      <c r="S59" s="2">
        <f t="shared" si="11"/>
        <v>2.048529893219294E-3</v>
      </c>
      <c r="T59" s="63">
        <f t="shared" si="12"/>
        <v>589.0185518929552</v>
      </c>
      <c r="U59" s="64">
        <f t="shared" si="12"/>
        <v>4329.5334260496929</v>
      </c>
      <c r="V59" s="65">
        <f t="shared" si="12"/>
        <v>8345.9407249341912</v>
      </c>
      <c r="W59" s="7">
        <f t="shared" si="13"/>
        <v>24.26970440472968</v>
      </c>
      <c r="X59" s="7">
        <f t="shared" si="14"/>
        <v>65.799190162567299</v>
      </c>
      <c r="Y59" s="7">
        <f t="shared" si="15"/>
        <v>-91.356120347430419</v>
      </c>
      <c r="Z59" s="57">
        <v>292.52112131558363</v>
      </c>
      <c r="AA59" s="56">
        <v>2020</v>
      </c>
      <c r="AB59" s="56">
        <v>2021</v>
      </c>
      <c r="AC59" s="57">
        <v>201.16500096815321</v>
      </c>
      <c r="AD59" s="57">
        <v>93.780407499788069</v>
      </c>
      <c r="AE59" s="58">
        <f t="shared" si="6"/>
        <v>0.49575015209794793</v>
      </c>
      <c r="AF59" s="57">
        <v>1696.41</v>
      </c>
      <c r="AG59" s="58">
        <f t="shared" si="7"/>
        <v>8.7993547316223011E-2</v>
      </c>
      <c r="AH59" s="59">
        <v>0.11858277242420948</v>
      </c>
      <c r="AI59" s="57">
        <f t="shared" si="8"/>
        <v>5.6339375694943543</v>
      </c>
      <c r="AJ59" s="60">
        <v>263.51900000000001</v>
      </c>
      <c r="AK59" s="61">
        <v>0.58202799999999999</v>
      </c>
      <c r="AL59" s="28">
        <f t="shared" si="18"/>
        <v>0.68311833333333338</v>
      </c>
      <c r="AM59" s="28">
        <f t="shared" si="16"/>
        <v>5.5544378810500547E-2</v>
      </c>
      <c r="AN59" s="28">
        <f t="shared" si="19"/>
        <v>0.69377500000000003</v>
      </c>
      <c r="AO59" s="28">
        <f t="shared" si="20"/>
        <v>4.7881000000000007E-2</v>
      </c>
      <c r="AP59" s="62">
        <v>2411.75</v>
      </c>
      <c r="AQ59" s="44">
        <f t="shared" si="21"/>
        <v>2427.9</v>
      </c>
      <c r="AR59" s="44">
        <f t="shared" si="17"/>
        <v>149.5238697778162</v>
      </c>
      <c r="AS59" s="44">
        <f t="shared" si="22"/>
        <v>2411.75</v>
      </c>
      <c r="AT59" s="44">
        <f t="shared" si="23"/>
        <v>129.30250000000001</v>
      </c>
    </row>
    <row r="61" spans="1:46" x14ac:dyDescent="0.4">
      <c r="C61" s="7">
        <f>AVERAGE(C35:C59)</f>
        <v>269.12693455357766</v>
      </c>
      <c r="D61" s="7">
        <f t="shared" ref="D61:F61" si="32">AVERAGE(D35:D59)</f>
        <v>264.27453035555374</v>
      </c>
      <c r="E61" s="7">
        <f t="shared" si="32"/>
        <v>107.06856327508872</v>
      </c>
      <c r="F61" s="4">
        <f t="shared" si="32"/>
        <v>0.41060422418116665</v>
      </c>
      <c r="G61" s="7">
        <f>AVERAGE(G20:G59)</f>
        <v>276.34404490699831</v>
      </c>
      <c r="H61" s="7">
        <f t="shared" ref="H61:J61" si="33">AVERAGE(H20:H59)</f>
        <v>277.53917275884481</v>
      </c>
      <c r="I61" s="7">
        <f t="shared" si="33"/>
        <v>84.713109137598821</v>
      </c>
      <c r="J61" s="4">
        <f t="shared" si="33"/>
        <v>0.35344257814950819</v>
      </c>
    </row>
  </sheetData>
  <mergeCells count="5">
    <mergeCell ref="T1:V1"/>
    <mergeCell ref="AB1:AD1"/>
    <mergeCell ref="M13:O13"/>
    <mergeCell ref="P13:R13"/>
    <mergeCell ref="T13:V1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2020 YC</vt:lpstr>
      <vt:lpstr>2023 bootstrap with MLE</vt:lpstr>
      <vt:lpstr>2023 SRR</vt:lpstr>
      <vt:lpstr>MLS time series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Jon Brodziak</cp:lastModifiedBy>
  <dcterms:modified xsi:type="dcterms:W3CDTF">2025-04-03T03:08:39Z</dcterms:modified>
</cp:coreProperties>
</file>