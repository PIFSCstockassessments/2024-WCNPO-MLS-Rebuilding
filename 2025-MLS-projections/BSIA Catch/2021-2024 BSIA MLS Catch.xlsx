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BSIA Catch\"/>
    </mc:Choice>
  </mc:AlternateContent>
  <xr:revisionPtr revIDLastSave="0" documentId="13_ncr:1_{FA5B72A3-DD65-4244-AC47-28A93552B48A}" xr6:coauthVersionLast="47" xr6:coauthVersionMax="47" xr10:uidLastSave="{00000000-0000-0000-0000-000000000000}"/>
  <bookViews>
    <workbookView xWindow="-103" yWindow="-103" windowWidth="16663" windowHeight="8863" firstSheet="1" activeTab="3" xr2:uid="{416E3EAD-1861-4C87-937B-DDBEC44D9B39}"/>
  </bookViews>
  <sheets>
    <sheet name="2021-2024-mls-catch" sheetId="4" r:id="rId1"/>
    <sheet name="2021-2024-mls-catch-us-longline" sheetId="3" r:id="rId2"/>
    <sheet name="2021-2024-mls-catch-us-yearbook" sheetId="2" r:id="rId3"/>
    <sheet name="work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" i="1" l="1"/>
  <c r="F73" i="1"/>
  <c r="F72" i="1"/>
  <c r="F71" i="1"/>
  <c r="F70" i="1"/>
  <c r="F69" i="1"/>
  <c r="F68" i="1"/>
  <c r="F67" i="1"/>
  <c r="E74" i="1"/>
  <c r="D74" i="1"/>
  <c r="C74" i="1"/>
  <c r="B74" i="1"/>
  <c r="F60" i="1"/>
  <c r="F58" i="1"/>
  <c r="F57" i="1"/>
  <c r="F56" i="1"/>
  <c r="F29" i="1"/>
  <c r="F28" i="1"/>
  <c r="F27" i="1"/>
  <c r="F26" i="1"/>
  <c r="F25" i="1"/>
  <c r="F24" i="1"/>
  <c r="F23" i="1"/>
  <c r="F22" i="1"/>
  <c r="F21" i="1"/>
  <c r="F13" i="1"/>
  <c r="F12" i="1"/>
  <c r="F11" i="1"/>
  <c r="F10" i="1"/>
  <c r="F9" i="1"/>
  <c r="F8" i="1"/>
  <c r="F7" i="1"/>
  <c r="F6" i="1"/>
  <c r="F5" i="1"/>
  <c r="E14" i="1"/>
  <c r="D14" i="1"/>
  <c r="C14" i="1"/>
  <c r="B14" i="1"/>
  <c r="E30" i="1"/>
  <c r="D30" i="1"/>
  <c r="C30" i="1"/>
  <c r="B30" i="1"/>
  <c r="F14" i="1" l="1"/>
  <c r="F30" i="1"/>
  <c r="E59" i="1"/>
  <c r="E61" i="1" s="1"/>
  <c r="D59" i="1"/>
  <c r="D61" i="1" s="1"/>
  <c r="C59" i="1"/>
  <c r="C61" i="1" s="1"/>
  <c r="B59" i="1"/>
  <c r="E46" i="1"/>
  <c r="D46" i="1"/>
  <c r="C46" i="1"/>
  <c r="E45" i="1"/>
  <c r="D45" i="1"/>
  <c r="C45" i="1"/>
  <c r="B46" i="1"/>
  <c r="F46" i="1" s="1"/>
  <c r="B45" i="1"/>
  <c r="F45" i="1" s="1"/>
  <c r="E44" i="1"/>
  <c r="D44" i="1"/>
  <c r="C44" i="1"/>
  <c r="B44" i="1"/>
  <c r="E43" i="1"/>
  <c r="D43" i="1"/>
  <c r="C43" i="1"/>
  <c r="B43" i="1"/>
  <c r="F43" i="1" s="1"/>
  <c r="E42" i="1"/>
  <c r="D42" i="1"/>
  <c r="C42" i="1"/>
  <c r="B42" i="1"/>
  <c r="F42" i="1" s="1"/>
  <c r="E41" i="1"/>
  <c r="D41" i="1"/>
  <c r="C41" i="1"/>
  <c r="B41" i="1"/>
  <c r="E40" i="1"/>
  <c r="D40" i="1"/>
  <c r="C40" i="1"/>
  <c r="B40" i="1"/>
  <c r="F40" i="1" s="1"/>
  <c r="E39" i="1"/>
  <c r="D39" i="1"/>
  <c r="C39" i="1"/>
  <c r="B39" i="1"/>
  <c r="F39" i="1" s="1"/>
  <c r="E38" i="1"/>
  <c r="D38" i="1"/>
  <c r="C38" i="1"/>
  <c r="B38" i="1"/>
  <c r="F38" i="1" s="1"/>
  <c r="F44" i="1" l="1"/>
  <c r="F41" i="1"/>
  <c r="F47" i="1"/>
  <c r="B61" i="1"/>
  <c r="F61" i="1" s="1"/>
  <c r="F59" i="1"/>
  <c r="D47" i="1"/>
  <c r="C47" i="1"/>
  <c r="E47" i="1"/>
  <c r="B47" i="1"/>
</calcChain>
</file>

<file path=xl/sharedStrings.xml><?xml version="1.0" encoding="utf-8"?>
<sst xmlns="http://schemas.openxmlformats.org/spreadsheetml/2006/main" count="71" uniqueCount="26">
  <si>
    <t>G3</t>
  </si>
  <si>
    <t>G8</t>
  </si>
  <si>
    <t>G9</t>
  </si>
  <si>
    <t>Year</t>
  </si>
  <si>
    <t>Fleet Group</t>
  </si>
  <si>
    <t>G1</t>
  </si>
  <si>
    <t>G2</t>
  </si>
  <si>
    <t>G4</t>
  </si>
  <si>
    <t>G5</t>
  </si>
  <si>
    <t>G6</t>
  </si>
  <si>
    <t>G7</t>
  </si>
  <si>
    <t>WCPFC 2024 Yearbook WCNPO MLS Catch Biomass (mt)</t>
  </si>
  <si>
    <t>Japanese WCNPO MLS Catch Biomass by Fleet Group</t>
  </si>
  <si>
    <t>Total WCNPO MLS Catch Biomass by Fleet Group</t>
  </si>
  <si>
    <t>USA Catch (G8) Taken From WCPFC 2024 Yearbook</t>
  </si>
  <si>
    <t>USA Catch (G8) Taken From Hawaii Longline Fleet Retained MLS</t>
  </si>
  <si>
    <t>From HI Longline Retained Catch</t>
  </si>
  <si>
    <t>USA Catch (G8) From Hawaii Longline and HDAR Non-Longline MLS Catch</t>
  </si>
  <si>
    <t>Average</t>
  </si>
  <si>
    <t>Total</t>
  </si>
  <si>
    <t>From WCPFC Yearbook Reported Catch</t>
  </si>
  <si>
    <t>Total G3 + G8 + G9</t>
  </si>
  <si>
    <t>Japan</t>
  </si>
  <si>
    <t>From WESTERN AND CENTRAL PACIFIC FISHERIES COMMISSION TUNA FISHERY YEARBOOK 2024</t>
  </si>
  <si>
    <t>From M. Jussup, Fisheries Research Agency, Japan, 3-Feb-2025</t>
  </si>
  <si>
    <t>Total BSIA for WCNPO MLS Catch Biomass by Fleet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</si>
</sst>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62B0-1A68-481A-94BC-40B11FBDFE09}">
  <dimension ref="A1:D10"/>
  <sheetViews>
    <sheetView topLeftCell="A3" workbookViewId="0">
      <selection activeCell="G7" sqref="G7"/>
    </sheetView>
  </sheetViews>
  <sheetFormatPr defaultRowHeight="14.6" x14ac:dyDescent="0.4"/>
  <sheetData>
    <row r="1" spans="1:4" x14ac:dyDescent="0.4">
      <c r="A1">
        <v>2021</v>
      </c>
      <c r="B1">
        <v>2022</v>
      </c>
      <c r="C1">
        <v>2023</v>
      </c>
      <c r="D1">
        <v>2024</v>
      </c>
    </row>
    <row r="2" spans="1:4" x14ac:dyDescent="0.4">
      <c r="A2">
        <v>118.18600000000001</v>
      </c>
      <c r="B2">
        <v>74.753</v>
      </c>
      <c r="C2">
        <v>128.80199999999999</v>
      </c>
      <c r="D2">
        <v>82.938999999999993</v>
      </c>
    </row>
    <row r="3" spans="1:4" x14ac:dyDescent="0.4">
      <c r="A3">
        <v>100.309</v>
      </c>
      <c r="B3">
        <v>98.667000000000002</v>
      </c>
      <c r="C3">
        <v>80.421000000000006</v>
      </c>
      <c r="D3">
        <v>176.49799999999999</v>
      </c>
    </row>
    <row r="4" spans="1:4" x14ac:dyDescent="0.4">
      <c r="A4">
        <v>551.13499999999999</v>
      </c>
      <c r="B4">
        <v>464.16500000000002</v>
      </c>
      <c r="C4">
        <v>525.50099999999998</v>
      </c>
      <c r="D4">
        <v>577.67600000000004</v>
      </c>
    </row>
    <row r="5" spans="1:4" x14ac:dyDescent="0.4">
      <c r="A5">
        <v>71.613</v>
      </c>
      <c r="B5">
        <v>36.423000000000002</v>
      </c>
      <c r="C5">
        <v>27.530999999999999</v>
      </c>
      <c r="D5">
        <v>26.783999999999999</v>
      </c>
    </row>
    <row r="6" spans="1:4" x14ac:dyDescent="0.4">
      <c r="A6">
        <v>89.24</v>
      </c>
      <c r="B6">
        <v>79.738</v>
      </c>
      <c r="C6">
        <v>110.13</v>
      </c>
      <c r="D6">
        <v>110.13</v>
      </c>
    </row>
    <row r="7" spans="1:4" x14ac:dyDescent="0.4">
      <c r="A7">
        <v>36.92</v>
      </c>
      <c r="B7">
        <v>53.64</v>
      </c>
      <c r="C7">
        <v>53.64</v>
      </c>
      <c r="D7">
        <v>53.64</v>
      </c>
    </row>
    <row r="8" spans="1:4" x14ac:dyDescent="0.4">
      <c r="A8">
        <v>58.08</v>
      </c>
      <c r="B8">
        <v>84.36</v>
      </c>
      <c r="C8">
        <v>84.36</v>
      </c>
      <c r="D8">
        <v>84.36</v>
      </c>
    </row>
    <row r="9" spans="1:4" x14ac:dyDescent="0.4">
      <c r="A9">
        <v>265.31358231668298</v>
      </c>
      <c r="B9">
        <v>298.12579429597298</v>
      </c>
      <c r="C9">
        <v>214.02563460981</v>
      </c>
      <c r="D9">
        <v>583.71476371508106</v>
      </c>
    </row>
    <row r="10" spans="1:4" x14ac:dyDescent="0.4">
      <c r="A10">
        <v>249</v>
      </c>
      <c r="B10">
        <v>284</v>
      </c>
      <c r="C10">
        <v>461</v>
      </c>
      <c r="D10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5199-39AD-4CC8-B278-39B80ABCA4C9}">
  <dimension ref="A1:D10"/>
  <sheetViews>
    <sheetView workbookViewId="0">
      <selection sqref="A1:D10"/>
    </sheetView>
  </sheetViews>
  <sheetFormatPr defaultRowHeight="14.6" x14ac:dyDescent="0.4"/>
  <sheetData>
    <row r="1" spans="1:4" x14ac:dyDescent="0.4">
      <c r="A1">
        <v>2021</v>
      </c>
      <c r="B1">
        <v>2022</v>
      </c>
      <c r="C1">
        <v>2023</v>
      </c>
      <c r="D1">
        <v>2024</v>
      </c>
    </row>
    <row r="2" spans="1:4" x14ac:dyDescent="0.4">
      <c r="A2">
        <v>118.18600000000001</v>
      </c>
      <c r="B2">
        <v>74.753</v>
      </c>
      <c r="C2">
        <v>128.80199999999999</v>
      </c>
      <c r="D2">
        <v>82.938999999999993</v>
      </c>
    </row>
    <row r="3" spans="1:4" x14ac:dyDescent="0.4">
      <c r="A3">
        <v>100.309</v>
      </c>
      <c r="B3">
        <v>98.667000000000002</v>
      </c>
      <c r="C3">
        <v>80.421000000000006</v>
      </c>
      <c r="D3">
        <v>176.49799999999999</v>
      </c>
    </row>
    <row r="4" spans="1:4" x14ac:dyDescent="0.4">
      <c r="A4">
        <v>551.13499999999999</v>
      </c>
      <c r="B4">
        <v>464.16500000000002</v>
      </c>
      <c r="C4">
        <v>525.50099999999998</v>
      </c>
      <c r="D4">
        <v>577.67600000000004</v>
      </c>
    </row>
    <row r="5" spans="1:4" x14ac:dyDescent="0.4">
      <c r="A5">
        <v>71.613</v>
      </c>
      <c r="B5">
        <v>36.423000000000002</v>
      </c>
      <c r="C5">
        <v>27.530999999999999</v>
      </c>
      <c r="D5">
        <v>26.783999999999999</v>
      </c>
    </row>
    <row r="6" spans="1:4" x14ac:dyDescent="0.4">
      <c r="A6">
        <v>89.24</v>
      </c>
      <c r="B6">
        <v>79.738</v>
      </c>
      <c r="C6">
        <v>110.13</v>
      </c>
      <c r="D6">
        <v>110.13</v>
      </c>
    </row>
    <row r="7" spans="1:4" x14ac:dyDescent="0.4">
      <c r="A7">
        <v>36.92</v>
      </c>
      <c r="B7">
        <v>53.64</v>
      </c>
      <c r="C7">
        <v>53.64</v>
      </c>
      <c r="D7">
        <v>53.64</v>
      </c>
    </row>
    <row r="8" spans="1:4" x14ac:dyDescent="0.4">
      <c r="A8">
        <v>58.08</v>
      </c>
      <c r="B8">
        <v>84.36</v>
      </c>
      <c r="C8">
        <v>84.36</v>
      </c>
      <c r="D8">
        <v>84.36</v>
      </c>
    </row>
    <row r="9" spans="1:4" x14ac:dyDescent="0.4">
      <c r="A9">
        <v>256.49400000000003</v>
      </c>
      <c r="B9">
        <v>288.541</v>
      </c>
      <c r="C9">
        <v>207.28299999999999</v>
      </c>
      <c r="D9">
        <v>565.12400000000002</v>
      </c>
    </row>
    <row r="10" spans="1:4" x14ac:dyDescent="0.4">
      <c r="A10">
        <v>249</v>
      </c>
      <c r="B10">
        <v>284</v>
      </c>
      <c r="C10">
        <v>461</v>
      </c>
      <c r="D10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1F53-AAAA-4311-8991-6F315BEA1C2A}">
  <dimension ref="A1:D10"/>
  <sheetViews>
    <sheetView workbookViewId="0">
      <selection activeCell="F7" sqref="F7"/>
    </sheetView>
  </sheetViews>
  <sheetFormatPr defaultRowHeight="14.6" x14ac:dyDescent="0.4"/>
  <sheetData>
    <row r="1" spans="1:4" x14ac:dyDescent="0.4">
      <c r="A1">
        <v>2021</v>
      </c>
      <c r="B1">
        <v>2022</v>
      </c>
      <c r="C1">
        <v>2023</v>
      </c>
      <c r="D1">
        <v>2024</v>
      </c>
    </row>
    <row r="2" spans="1:4" x14ac:dyDescent="0.4">
      <c r="A2">
        <v>118.18600000000001</v>
      </c>
      <c r="B2">
        <v>74.753</v>
      </c>
      <c r="C2">
        <v>128.80199999999999</v>
      </c>
      <c r="D2">
        <v>82.938999999999993</v>
      </c>
    </row>
    <row r="3" spans="1:4" x14ac:dyDescent="0.4">
      <c r="A3">
        <v>100.309</v>
      </c>
      <c r="B3">
        <v>98.667000000000002</v>
      </c>
      <c r="C3">
        <v>80.421000000000006</v>
      </c>
      <c r="D3">
        <v>176.49799999999999</v>
      </c>
    </row>
    <row r="4" spans="1:4" x14ac:dyDescent="0.4">
      <c r="A4">
        <v>551.13499999999999</v>
      </c>
      <c r="B4">
        <v>464.16500000000002</v>
      </c>
      <c r="C4">
        <v>525.50099999999998</v>
      </c>
      <c r="D4">
        <v>577.67599999999993</v>
      </c>
    </row>
    <row r="5" spans="1:4" x14ac:dyDescent="0.4">
      <c r="A5">
        <v>71.613</v>
      </c>
      <c r="B5">
        <v>36.423000000000002</v>
      </c>
      <c r="C5">
        <v>27.530999999999999</v>
      </c>
      <c r="D5">
        <v>26.783999999999999</v>
      </c>
    </row>
    <row r="6" spans="1:4" x14ac:dyDescent="0.4">
      <c r="A6">
        <v>89.24</v>
      </c>
      <c r="B6">
        <v>79.738</v>
      </c>
      <c r="C6">
        <v>110.13000000000001</v>
      </c>
      <c r="D6">
        <v>110.13000000000001</v>
      </c>
    </row>
    <row r="7" spans="1:4" x14ac:dyDescent="0.4">
      <c r="A7">
        <v>36.92</v>
      </c>
      <c r="B7">
        <v>53.64</v>
      </c>
      <c r="C7">
        <v>53.64</v>
      </c>
      <c r="D7">
        <v>53.64</v>
      </c>
    </row>
    <row r="8" spans="1:4" x14ac:dyDescent="0.4">
      <c r="A8">
        <v>58.08</v>
      </c>
      <c r="B8">
        <v>84.36</v>
      </c>
      <c r="C8">
        <v>84.36</v>
      </c>
      <c r="D8">
        <v>84.36</v>
      </c>
    </row>
    <row r="9" spans="1:4" x14ac:dyDescent="0.4">
      <c r="A9">
        <v>207</v>
      </c>
      <c r="B9">
        <v>239</v>
      </c>
      <c r="C9">
        <v>175</v>
      </c>
      <c r="D9">
        <v>175</v>
      </c>
    </row>
    <row r="10" spans="1:4" x14ac:dyDescent="0.4">
      <c r="A10">
        <v>249</v>
      </c>
      <c r="B10">
        <v>284</v>
      </c>
      <c r="C10">
        <v>461</v>
      </c>
      <c r="D10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68C6-DF10-449B-94B3-ED91F02DF6B4}">
  <dimension ref="A1:Z74"/>
  <sheetViews>
    <sheetView tabSelected="1" workbookViewId="0">
      <selection activeCell="A52" sqref="A52:F74"/>
    </sheetView>
  </sheetViews>
  <sheetFormatPr defaultRowHeight="14.6" x14ac:dyDescent="0.4"/>
  <cols>
    <col min="1" max="1" width="18.07421875" customWidth="1"/>
    <col min="2" max="2" width="10.84375" customWidth="1"/>
    <col min="4" max="4" width="10.69140625" customWidth="1"/>
    <col min="6" max="6" width="12.765625" customWidth="1"/>
    <col min="7" max="7" width="4.69140625" customWidth="1"/>
    <col min="8" max="8" width="7" customWidth="1"/>
    <col min="9" max="9" width="9.53515625" customWidth="1"/>
    <col min="10" max="10" width="7.23046875" customWidth="1"/>
    <col min="11" max="11" width="10.61328125" bestFit="1" customWidth="1"/>
    <col min="12" max="12" width="6.84375" bestFit="1" customWidth="1"/>
    <col min="13" max="13" width="2.69140625" customWidth="1"/>
    <col min="14" max="14" width="6.84375" customWidth="1"/>
    <col min="16" max="16" width="6.07421875" customWidth="1"/>
    <col min="17" max="17" width="10.4609375" customWidth="1"/>
    <col min="19" max="19" width="3.3828125" customWidth="1"/>
    <col min="20" max="20" width="7.61328125" customWidth="1"/>
    <col min="25" max="25" width="4.3828125" customWidth="1"/>
    <col min="26" max="26" width="7.53515625" customWidth="1"/>
  </cols>
  <sheetData>
    <row r="1" spans="1:6" ht="20.6" x14ac:dyDescent="0.55000000000000004">
      <c r="A1" s="1" t="s">
        <v>25</v>
      </c>
    </row>
    <row r="2" spans="1:6" ht="15" thickBot="1" x14ac:dyDescent="0.45">
      <c r="A2" t="s">
        <v>17</v>
      </c>
    </row>
    <row r="3" spans="1:6" ht="15" thickBot="1" x14ac:dyDescent="0.45">
      <c r="A3" s="4"/>
      <c r="B3" s="7" t="s">
        <v>3</v>
      </c>
      <c r="C3" s="6"/>
      <c r="D3" s="6"/>
      <c r="E3" s="8"/>
      <c r="F3" s="5"/>
    </row>
    <row r="4" spans="1:6" ht="15" thickBot="1" x14ac:dyDescent="0.45">
      <c r="A4" s="9" t="s">
        <v>4</v>
      </c>
      <c r="B4" s="10">
        <v>2021</v>
      </c>
      <c r="C4" s="11">
        <v>2022</v>
      </c>
      <c r="D4" s="11">
        <v>2023</v>
      </c>
      <c r="E4" s="12">
        <v>2024</v>
      </c>
      <c r="F4" s="13" t="s">
        <v>18</v>
      </c>
    </row>
    <row r="5" spans="1:6" x14ac:dyDescent="0.4">
      <c r="A5" s="28" t="s">
        <v>5</v>
      </c>
      <c r="B5" s="15">
        <v>118.18600000000001</v>
      </c>
      <c r="C5" s="16">
        <v>74.753</v>
      </c>
      <c r="D5" s="16">
        <v>128.80199999999999</v>
      </c>
      <c r="E5" s="16">
        <v>82.938999999999993</v>
      </c>
      <c r="F5" s="17">
        <f>AVERAGE(B5:E5)</f>
        <v>101.16999999999999</v>
      </c>
    </row>
    <row r="6" spans="1:6" x14ac:dyDescent="0.4">
      <c r="A6" s="29" t="s">
        <v>6</v>
      </c>
      <c r="B6" s="18">
        <v>100.309</v>
      </c>
      <c r="C6" s="19">
        <v>98.667000000000002</v>
      </c>
      <c r="D6" s="19">
        <v>80.421000000000006</v>
      </c>
      <c r="E6" s="19">
        <v>176.49799999999999</v>
      </c>
      <c r="F6" s="20">
        <f t="shared" ref="F6:F13" si="0">AVERAGE(B6:E6)</f>
        <v>113.97375</v>
      </c>
    </row>
    <row r="7" spans="1:6" x14ac:dyDescent="0.4">
      <c r="A7" s="29" t="s">
        <v>0</v>
      </c>
      <c r="B7" s="18">
        <v>551.13499999999999</v>
      </c>
      <c r="C7" s="19">
        <v>464.16500000000002</v>
      </c>
      <c r="D7" s="19">
        <v>525.50099999999998</v>
      </c>
      <c r="E7" s="19">
        <v>577.67599999999993</v>
      </c>
      <c r="F7" s="20">
        <f t="shared" si="0"/>
        <v>529.61924999999997</v>
      </c>
    </row>
    <row r="8" spans="1:6" x14ac:dyDescent="0.4">
      <c r="A8" s="29" t="s">
        <v>7</v>
      </c>
      <c r="B8" s="18">
        <v>71.613</v>
      </c>
      <c r="C8" s="19">
        <v>36.423000000000002</v>
      </c>
      <c r="D8" s="19">
        <v>27.530999999999999</v>
      </c>
      <c r="E8" s="19">
        <v>26.783999999999999</v>
      </c>
      <c r="F8" s="20">
        <f t="shared" si="0"/>
        <v>40.58775</v>
      </c>
    </row>
    <row r="9" spans="1:6" x14ac:dyDescent="0.4">
      <c r="A9" s="29" t="s">
        <v>8</v>
      </c>
      <c r="B9" s="18">
        <v>89.24</v>
      </c>
      <c r="C9" s="19">
        <v>79.738</v>
      </c>
      <c r="D9" s="19">
        <v>110.13000000000001</v>
      </c>
      <c r="E9" s="19">
        <v>110.13000000000001</v>
      </c>
      <c r="F9" s="20">
        <f t="shared" si="0"/>
        <v>97.3095</v>
      </c>
    </row>
    <row r="10" spans="1:6" x14ac:dyDescent="0.4">
      <c r="A10" s="29" t="s">
        <v>9</v>
      </c>
      <c r="B10" s="18">
        <v>36.92</v>
      </c>
      <c r="C10" s="19">
        <v>53.64</v>
      </c>
      <c r="D10" s="19">
        <v>53.64</v>
      </c>
      <c r="E10" s="19">
        <v>53.64</v>
      </c>
      <c r="F10" s="20">
        <f t="shared" si="0"/>
        <v>49.459999999999994</v>
      </c>
    </row>
    <row r="11" spans="1:6" x14ac:dyDescent="0.4">
      <c r="A11" s="29" t="s">
        <v>10</v>
      </c>
      <c r="B11" s="18">
        <v>58.08</v>
      </c>
      <c r="C11" s="19">
        <v>84.36</v>
      </c>
      <c r="D11" s="19">
        <v>84.36</v>
      </c>
      <c r="E11" s="19">
        <v>84.36</v>
      </c>
      <c r="F11" s="20">
        <f t="shared" si="0"/>
        <v>77.790000000000006</v>
      </c>
    </row>
    <row r="12" spans="1:6" x14ac:dyDescent="0.4">
      <c r="A12" s="29" t="s">
        <v>1</v>
      </c>
      <c r="B12" s="18">
        <v>265.31358231668298</v>
      </c>
      <c r="C12" s="19">
        <v>298.12579429597298</v>
      </c>
      <c r="D12" s="19">
        <v>214.02563460981</v>
      </c>
      <c r="E12" s="19">
        <v>583.71476371508106</v>
      </c>
      <c r="F12" s="20">
        <f t="shared" si="0"/>
        <v>340.29494373438672</v>
      </c>
    </row>
    <row r="13" spans="1:6" ht="15" thickBot="1" x14ac:dyDescent="0.45">
      <c r="A13" s="14" t="s">
        <v>2</v>
      </c>
      <c r="B13" s="21">
        <v>249</v>
      </c>
      <c r="C13" s="22">
        <v>284</v>
      </c>
      <c r="D13" s="22">
        <v>461</v>
      </c>
      <c r="E13" s="22">
        <v>461</v>
      </c>
      <c r="F13" s="23">
        <f t="shared" si="0"/>
        <v>363.75</v>
      </c>
    </row>
    <row r="14" spans="1:6" ht="15" thickBot="1" x14ac:dyDescent="0.45">
      <c r="A14" s="14" t="s">
        <v>19</v>
      </c>
      <c r="B14" s="24">
        <f>SUM(B5:B13)</f>
        <v>1539.7965823166828</v>
      </c>
      <c r="C14" s="25">
        <f t="shared" ref="C14:E14" si="1">SUM(C5:C13)</f>
        <v>1473.8717942959731</v>
      </c>
      <c r="D14" s="25">
        <f t="shared" si="1"/>
        <v>1685.4106346098099</v>
      </c>
      <c r="E14" s="26">
        <f t="shared" si="1"/>
        <v>2156.7417637150811</v>
      </c>
      <c r="F14" s="23">
        <f t="shared" ref="F14" si="2">SUM(F5:F13)</f>
        <v>1713.9551937343867</v>
      </c>
    </row>
    <row r="17" spans="1:26" ht="20.6" x14ac:dyDescent="0.55000000000000004">
      <c r="A17" s="1" t="s">
        <v>13</v>
      </c>
    </row>
    <row r="18" spans="1:26" ht="15" thickBot="1" x14ac:dyDescent="0.45">
      <c r="A18" t="s">
        <v>15</v>
      </c>
    </row>
    <row r="19" spans="1:26" ht="15" thickBot="1" x14ac:dyDescent="0.45">
      <c r="A19" s="35"/>
      <c r="B19" s="6" t="s">
        <v>3</v>
      </c>
      <c r="C19" s="6"/>
      <c r="D19" s="6"/>
      <c r="E19" s="6"/>
      <c r="F19" s="35"/>
    </row>
    <row r="20" spans="1:26" ht="15" thickBot="1" x14ac:dyDescent="0.45">
      <c r="A20" s="39" t="s">
        <v>4</v>
      </c>
      <c r="B20" s="11">
        <v>2021</v>
      </c>
      <c r="C20" s="11">
        <v>2022</v>
      </c>
      <c r="D20" s="11">
        <v>2023</v>
      </c>
      <c r="E20" s="11">
        <v>2024</v>
      </c>
      <c r="F20" s="40" t="s">
        <v>18</v>
      </c>
    </row>
    <row r="21" spans="1:26" x14ac:dyDescent="0.4">
      <c r="A21" s="36" t="s">
        <v>5</v>
      </c>
      <c r="B21" s="19">
        <v>118.18600000000001</v>
      </c>
      <c r="C21" s="19">
        <v>74.753</v>
      </c>
      <c r="D21" s="19">
        <v>128.80199999999999</v>
      </c>
      <c r="E21" s="19">
        <v>82.938999999999993</v>
      </c>
      <c r="F21" s="20">
        <f>AVERAGE(B21:E21)</f>
        <v>101.16999999999999</v>
      </c>
      <c r="H21" s="2"/>
      <c r="N21" s="2"/>
      <c r="T21" s="2"/>
      <c r="Z21" s="2"/>
    </row>
    <row r="22" spans="1:26" x14ac:dyDescent="0.4">
      <c r="A22" s="36" t="s">
        <v>6</v>
      </c>
      <c r="B22" s="19">
        <v>100.309</v>
      </c>
      <c r="C22" s="19">
        <v>98.667000000000002</v>
      </c>
      <c r="D22" s="19">
        <v>80.421000000000006</v>
      </c>
      <c r="E22" s="19">
        <v>176.49799999999999</v>
      </c>
      <c r="F22" s="20">
        <f t="shared" ref="F22:F29" si="3">AVERAGE(B22:E22)</f>
        <v>113.97375</v>
      </c>
    </row>
    <row r="23" spans="1:26" x14ac:dyDescent="0.4">
      <c r="A23" s="36" t="s">
        <v>0</v>
      </c>
      <c r="B23" s="19">
        <v>551.13499999999999</v>
      </c>
      <c r="C23" s="19">
        <v>464.16500000000002</v>
      </c>
      <c r="D23" s="19">
        <v>525.50099999999998</v>
      </c>
      <c r="E23" s="19">
        <v>577.67599999999993</v>
      </c>
      <c r="F23" s="20">
        <f t="shared" si="3"/>
        <v>529.61924999999997</v>
      </c>
    </row>
    <row r="24" spans="1:26" x14ac:dyDescent="0.4">
      <c r="A24" s="36" t="s">
        <v>7</v>
      </c>
      <c r="B24" s="19">
        <v>71.613</v>
      </c>
      <c r="C24" s="19">
        <v>36.423000000000002</v>
      </c>
      <c r="D24" s="19">
        <v>27.530999999999999</v>
      </c>
      <c r="E24" s="19">
        <v>26.783999999999999</v>
      </c>
      <c r="F24" s="20">
        <f t="shared" si="3"/>
        <v>40.58775</v>
      </c>
    </row>
    <row r="25" spans="1:26" x14ac:dyDescent="0.4">
      <c r="A25" s="36" t="s">
        <v>8</v>
      </c>
      <c r="B25" s="19">
        <v>89.24</v>
      </c>
      <c r="C25" s="19">
        <v>79.738</v>
      </c>
      <c r="D25" s="19">
        <v>110.13000000000001</v>
      </c>
      <c r="E25" s="19">
        <v>110.13000000000001</v>
      </c>
      <c r="F25" s="20">
        <f t="shared" si="3"/>
        <v>97.3095</v>
      </c>
    </row>
    <row r="26" spans="1:26" x14ac:dyDescent="0.4">
      <c r="A26" s="36" t="s">
        <v>9</v>
      </c>
      <c r="B26" s="19">
        <v>36.92</v>
      </c>
      <c r="C26" s="19">
        <v>53.64</v>
      </c>
      <c r="D26" s="19">
        <v>53.64</v>
      </c>
      <c r="E26" s="19">
        <v>53.64</v>
      </c>
      <c r="F26" s="20">
        <f t="shared" si="3"/>
        <v>49.459999999999994</v>
      </c>
    </row>
    <row r="27" spans="1:26" x14ac:dyDescent="0.4">
      <c r="A27" s="36" t="s">
        <v>10</v>
      </c>
      <c r="B27" s="19">
        <v>58.08</v>
      </c>
      <c r="C27" s="19">
        <v>84.36</v>
      </c>
      <c r="D27" s="19">
        <v>84.36</v>
      </c>
      <c r="E27" s="19">
        <v>84.36</v>
      </c>
      <c r="F27" s="20">
        <f t="shared" si="3"/>
        <v>77.790000000000006</v>
      </c>
    </row>
    <row r="28" spans="1:26" x14ac:dyDescent="0.4">
      <c r="A28" s="36" t="s">
        <v>1</v>
      </c>
      <c r="B28" s="19">
        <v>256.49358231668299</v>
      </c>
      <c r="C28" s="19">
        <v>288.540794295973</v>
      </c>
      <c r="D28" s="19">
        <v>207.28263460981</v>
      </c>
      <c r="E28" s="19">
        <v>565.12376371508105</v>
      </c>
      <c r="F28" s="20">
        <f t="shared" si="3"/>
        <v>329.36019373438671</v>
      </c>
      <c r="G28" t="s">
        <v>16</v>
      </c>
    </row>
    <row r="29" spans="1:26" ht="15" thickBot="1" x14ac:dyDescent="0.45">
      <c r="A29" s="37" t="s">
        <v>2</v>
      </c>
      <c r="B29" s="22">
        <v>249</v>
      </c>
      <c r="C29" s="22">
        <v>284</v>
      </c>
      <c r="D29" s="22">
        <v>461</v>
      </c>
      <c r="E29" s="22">
        <v>461</v>
      </c>
      <c r="F29" s="20">
        <f t="shared" si="3"/>
        <v>363.75</v>
      </c>
    </row>
    <row r="30" spans="1:26" ht="15" thickBot="1" x14ac:dyDescent="0.45">
      <c r="A30" s="37" t="s">
        <v>19</v>
      </c>
      <c r="B30" s="22">
        <f>SUM(B21:B29)</f>
        <v>1530.9765823166829</v>
      </c>
      <c r="C30" s="22">
        <f t="shared" ref="C30:F30" si="4">SUM(C21:C29)</f>
        <v>1464.2867942959731</v>
      </c>
      <c r="D30" s="22">
        <f t="shared" si="4"/>
        <v>1678.66763460981</v>
      </c>
      <c r="E30" s="22">
        <f t="shared" si="4"/>
        <v>2138.1507637150808</v>
      </c>
      <c r="F30" s="41">
        <f t="shared" si="4"/>
        <v>1703.0204437343866</v>
      </c>
    </row>
    <row r="34" spans="1:7" ht="20.6" x14ac:dyDescent="0.55000000000000004">
      <c r="A34" s="1" t="s">
        <v>13</v>
      </c>
    </row>
    <row r="35" spans="1:7" ht="15" thickBot="1" x14ac:dyDescent="0.45">
      <c r="A35" t="s">
        <v>14</v>
      </c>
    </row>
    <row r="36" spans="1:7" ht="15" thickBot="1" x14ac:dyDescent="0.45">
      <c r="A36" s="35"/>
      <c r="B36" s="6" t="s">
        <v>3</v>
      </c>
      <c r="C36" s="6"/>
      <c r="D36" s="6"/>
      <c r="E36" s="6"/>
      <c r="F36" s="35"/>
    </row>
    <row r="37" spans="1:7" ht="15" thickBot="1" x14ac:dyDescent="0.45">
      <c r="A37" s="39" t="s">
        <v>4</v>
      </c>
      <c r="B37" s="11">
        <v>2021</v>
      </c>
      <c r="C37" s="11">
        <v>2022</v>
      </c>
      <c r="D37" s="11">
        <v>2023</v>
      </c>
      <c r="E37" s="11">
        <v>2024</v>
      </c>
      <c r="F37" s="40" t="s">
        <v>18</v>
      </c>
    </row>
    <row r="38" spans="1:7" x14ac:dyDescent="0.4">
      <c r="A38" s="36" t="s">
        <v>5</v>
      </c>
      <c r="B38" s="19">
        <f>B67</f>
        <v>118.18600000000001</v>
      </c>
      <c r="C38" s="19">
        <f t="shared" ref="C38:E38" si="5">C67</f>
        <v>74.753</v>
      </c>
      <c r="D38" s="19">
        <f t="shared" si="5"/>
        <v>128.80199999999999</v>
      </c>
      <c r="E38" s="19">
        <f t="shared" si="5"/>
        <v>82.938999999999993</v>
      </c>
      <c r="F38" s="20">
        <f>AVERAGE(B38:E38)</f>
        <v>101.16999999999999</v>
      </c>
    </row>
    <row r="39" spans="1:7" x14ac:dyDescent="0.4">
      <c r="A39" s="36" t="s">
        <v>6</v>
      </c>
      <c r="B39" s="19">
        <f>B68</f>
        <v>100.309</v>
      </c>
      <c r="C39" s="19">
        <f t="shared" ref="C39:E39" si="6">C68</f>
        <v>98.667000000000002</v>
      </c>
      <c r="D39" s="19">
        <f t="shared" si="6"/>
        <v>80.421000000000006</v>
      </c>
      <c r="E39" s="19">
        <f t="shared" si="6"/>
        <v>176.49799999999999</v>
      </c>
      <c r="F39" s="20">
        <f t="shared" ref="F39:F46" si="7">AVERAGE(B39:E39)</f>
        <v>113.97375</v>
      </c>
    </row>
    <row r="40" spans="1:7" x14ac:dyDescent="0.4">
      <c r="A40" s="36" t="s">
        <v>0</v>
      </c>
      <c r="B40" s="19">
        <f>B56+B69</f>
        <v>551.13499999999999</v>
      </c>
      <c r="C40" s="19">
        <f t="shared" ref="C40:E40" si="8">C56+C69</f>
        <v>464.16500000000002</v>
      </c>
      <c r="D40" s="19">
        <f t="shared" si="8"/>
        <v>525.50099999999998</v>
      </c>
      <c r="E40" s="19">
        <f t="shared" si="8"/>
        <v>577.67599999999993</v>
      </c>
      <c r="F40" s="20">
        <f t="shared" si="7"/>
        <v>529.61924999999997</v>
      </c>
    </row>
    <row r="41" spans="1:7" x14ac:dyDescent="0.4">
      <c r="A41" s="36" t="s">
        <v>7</v>
      </c>
      <c r="B41" s="19">
        <f>B70</f>
        <v>71.613</v>
      </c>
      <c r="C41" s="19">
        <f t="shared" ref="C41:E41" si="9">C70</f>
        <v>36.423000000000002</v>
      </c>
      <c r="D41" s="19">
        <f t="shared" si="9"/>
        <v>27.530999999999999</v>
      </c>
      <c r="E41" s="19">
        <f t="shared" si="9"/>
        <v>26.783999999999999</v>
      </c>
      <c r="F41" s="20">
        <f t="shared" si="7"/>
        <v>40.58775</v>
      </c>
    </row>
    <row r="42" spans="1:7" x14ac:dyDescent="0.4">
      <c r="A42" s="36" t="s">
        <v>8</v>
      </c>
      <c r="B42" s="19">
        <f>B71</f>
        <v>89.24</v>
      </c>
      <c r="C42" s="19">
        <f t="shared" ref="C42:E42" si="10">C71</f>
        <v>79.738</v>
      </c>
      <c r="D42" s="19">
        <f t="shared" si="10"/>
        <v>110.13000000000001</v>
      </c>
      <c r="E42" s="19">
        <f t="shared" si="10"/>
        <v>110.13000000000001</v>
      </c>
      <c r="F42" s="20">
        <f t="shared" si="7"/>
        <v>97.3095</v>
      </c>
    </row>
    <row r="43" spans="1:7" x14ac:dyDescent="0.4">
      <c r="A43" s="36" t="s">
        <v>9</v>
      </c>
      <c r="B43" s="19">
        <f>B72</f>
        <v>36.92</v>
      </c>
      <c r="C43" s="19">
        <f t="shared" ref="C43:E43" si="11">C72</f>
        <v>53.64</v>
      </c>
      <c r="D43" s="19">
        <f t="shared" si="11"/>
        <v>53.64</v>
      </c>
      <c r="E43" s="19">
        <f t="shared" si="11"/>
        <v>53.64</v>
      </c>
      <c r="F43" s="20">
        <f t="shared" si="7"/>
        <v>49.459999999999994</v>
      </c>
    </row>
    <row r="44" spans="1:7" x14ac:dyDescent="0.4">
      <c r="A44" s="36" t="s">
        <v>10</v>
      </c>
      <c r="B44" s="19">
        <f>B73</f>
        <v>58.08</v>
      </c>
      <c r="C44" s="19">
        <f t="shared" ref="C44:E44" si="12">C73</f>
        <v>84.36</v>
      </c>
      <c r="D44" s="19">
        <f t="shared" si="12"/>
        <v>84.36</v>
      </c>
      <c r="E44" s="19">
        <f t="shared" si="12"/>
        <v>84.36</v>
      </c>
      <c r="F44" s="20">
        <f t="shared" si="7"/>
        <v>77.790000000000006</v>
      </c>
    </row>
    <row r="45" spans="1:7" x14ac:dyDescent="0.4">
      <c r="A45" s="36" t="s">
        <v>1</v>
      </c>
      <c r="B45" s="19">
        <f>B57</f>
        <v>207</v>
      </c>
      <c r="C45" s="19">
        <f t="shared" ref="C45:E45" si="13">C57</f>
        <v>239</v>
      </c>
      <c r="D45" s="19">
        <f t="shared" si="13"/>
        <v>175</v>
      </c>
      <c r="E45" s="19">
        <f t="shared" si="13"/>
        <v>175</v>
      </c>
      <c r="F45" s="20">
        <f t="shared" si="7"/>
        <v>199</v>
      </c>
      <c r="G45" t="s">
        <v>20</v>
      </c>
    </row>
    <row r="46" spans="1:7" ht="15" thickBot="1" x14ac:dyDescent="0.45">
      <c r="A46" s="36" t="s">
        <v>2</v>
      </c>
      <c r="B46" s="19">
        <f>B58</f>
        <v>249</v>
      </c>
      <c r="C46" s="19">
        <f t="shared" ref="C46:E46" si="14">C58</f>
        <v>284</v>
      </c>
      <c r="D46" s="19">
        <f t="shared" si="14"/>
        <v>461</v>
      </c>
      <c r="E46" s="19">
        <f t="shared" si="14"/>
        <v>461</v>
      </c>
      <c r="F46" s="20">
        <f t="shared" si="7"/>
        <v>363.75</v>
      </c>
    </row>
    <row r="47" spans="1:7" ht="15" thickBot="1" x14ac:dyDescent="0.45">
      <c r="A47" s="40" t="s">
        <v>19</v>
      </c>
      <c r="B47" s="25">
        <f>SUM(B38:B46)</f>
        <v>1481.4829999999999</v>
      </c>
      <c r="C47" s="25">
        <f t="shared" ref="C47:F47" si="15">SUM(C38:C46)</f>
        <v>1414.7460000000001</v>
      </c>
      <c r="D47" s="25">
        <f t="shared" si="15"/>
        <v>1646.3849999999998</v>
      </c>
      <c r="E47" s="25">
        <f t="shared" si="15"/>
        <v>1748.0269999999998</v>
      </c>
      <c r="F47" s="41">
        <f t="shared" si="15"/>
        <v>1572.6602499999999</v>
      </c>
    </row>
    <row r="50" spans="1:6" x14ac:dyDescent="0.4">
      <c r="F50" s="3"/>
    </row>
    <row r="52" spans="1:6" ht="26.15" customHeight="1" x14ac:dyDescent="0.55000000000000004">
      <c r="A52" s="1" t="s">
        <v>11</v>
      </c>
    </row>
    <row r="53" spans="1:6" ht="15" customHeight="1" thickBot="1" x14ac:dyDescent="0.45">
      <c r="A53" s="48" t="s">
        <v>23</v>
      </c>
    </row>
    <row r="54" spans="1:6" ht="15" thickBot="1" x14ac:dyDescent="0.45">
      <c r="A54" s="28"/>
      <c r="B54" s="43" t="s">
        <v>3</v>
      </c>
      <c r="C54" s="32"/>
      <c r="D54" s="32"/>
      <c r="E54" s="44"/>
      <c r="F54" s="13"/>
    </row>
    <row r="55" spans="1:6" ht="15" thickBot="1" x14ac:dyDescent="0.45">
      <c r="A55" s="47" t="s">
        <v>4</v>
      </c>
      <c r="B55" s="10">
        <v>2021</v>
      </c>
      <c r="C55" s="11">
        <v>2022</v>
      </c>
      <c r="D55" s="11">
        <v>2023</v>
      </c>
      <c r="E55" s="12">
        <v>2024</v>
      </c>
      <c r="F55" s="12" t="s">
        <v>18</v>
      </c>
    </row>
    <row r="56" spans="1:6" x14ac:dyDescent="0.4">
      <c r="A56" s="28" t="s">
        <v>0</v>
      </c>
      <c r="B56" s="28">
        <v>139</v>
      </c>
      <c r="C56" s="30">
        <v>100</v>
      </c>
      <c r="D56" s="30">
        <v>89</v>
      </c>
      <c r="E56" s="13">
        <v>89</v>
      </c>
      <c r="F56" s="46">
        <f>AVERAGE(B56:E56)</f>
        <v>104.25</v>
      </c>
    </row>
    <row r="57" spans="1:6" x14ac:dyDescent="0.4">
      <c r="A57" s="29" t="s">
        <v>1</v>
      </c>
      <c r="B57" s="29">
        <v>207</v>
      </c>
      <c r="C57" s="33">
        <v>239</v>
      </c>
      <c r="D57" s="33">
        <v>175</v>
      </c>
      <c r="E57" s="34">
        <v>175</v>
      </c>
      <c r="F57" s="31">
        <f t="shared" ref="F57:F61" si="16">AVERAGE(B57:E57)</f>
        <v>199</v>
      </c>
    </row>
    <row r="58" spans="1:6" x14ac:dyDescent="0.4">
      <c r="A58" s="29" t="s">
        <v>2</v>
      </c>
      <c r="B58" s="29">
        <v>249</v>
      </c>
      <c r="C58" s="33">
        <v>284</v>
      </c>
      <c r="D58" s="33">
        <v>461</v>
      </c>
      <c r="E58" s="34">
        <v>461</v>
      </c>
      <c r="F58" s="31">
        <f t="shared" si="16"/>
        <v>363.75</v>
      </c>
    </row>
    <row r="59" spans="1:6" x14ac:dyDescent="0.4">
      <c r="A59" s="29" t="s">
        <v>21</v>
      </c>
      <c r="B59" s="29">
        <f>SUM(B56:B58)</f>
        <v>595</v>
      </c>
      <c r="C59" s="33">
        <f t="shared" ref="C59:E59" si="17">SUM(C56:C58)</f>
        <v>623</v>
      </c>
      <c r="D59" s="33">
        <f t="shared" si="17"/>
        <v>725</v>
      </c>
      <c r="E59" s="34">
        <f t="shared" si="17"/>
        <v>725</v>
      </c>
      <c r="F59" s="31">
        <f t="shared" si="16"/>
        <v>667</v>
      </c>
    </row>
    <row r="60" spans="1:6" ht="15" thickBot="1" x14ac:dyDescent="0.45">
      <c r="A60" s="14" t="s">
        <v>22</v>
      </c>
      <c r="B60" s="14">
        <v>1091</v>
      </c>
      <c r="C60" s="42">
        <v>804</v>
      </c>
      <c r="D60" s="42">
        <v>836</v>
      </c>
      <c r="E60" s="45">
        <v>836</v>
      </c>
      <c r="F60" s="27">
        <f t="shared" si="16"/>
        <v>891.75</v>
      </c>
    </row>
    <row r="61" spans="1:6" ht="15" thickBot="1" x14ac:dyDescent="0.45">
      <c r="A61" s="14" t="s">
        <v>19</v>
      </c>
      <c r="B61" s="14">
        <f>SUM(B59:B60)</f>
        <v>1686</v>
      </c>
      <c r="C61" s="42">
        <f t="shared" ref="C61:E61" si="18">SUM(C59:C60)</f>
        <v>1427</v>
      </c>
      <c r="D61" s="42">
        <f t="shared" si="18"/>
        <v>1561</v>
      </c>
      <c r="E61" s="45">
        <f t="shared" si="18"/>
        <v>1561</v>
      </c>
      <c r="F61" s="27">
        <f t="shared" si="16"/>
        <v>1558.75</v>
      </c>
    </row>
    <row r="63" spans="1:6" ht="20.6" x14ac:dyDescent="0.55000000000000004">
      <c r="A63" s="1" t="s">
        <v>12</v>
      </c>
    </row>
    <row r="64" spans="1:6" ht="13.85" customHeight="1" thickBot="1" x14ac:dyDescent="0.45">
      <c r="A64" s="48" t="s">
        <v>24</v>
      </c>
    </row>
    <row r="65" spans="1:6" ht="15" thickBot="1" x14ac:dyDescent="0.45">
      <c r="A65" s="38"/>
      <c r="B65" s="32" t="s">
        <v>3</v>
      </c>
      <c r="C65" s="32"/>
      <c r="D65" s="32"/>
      <c r="E65" s="32"/>
      <c r="F65" s="38"/>
    </row>
    <row r="66" spans="1:6" ht="15" thickBot="1" x14ac:dyDescent="0.45">
      <c r="A66" s="39" t="s">
        <v>4</v>
      </c>
      <c r="B66" s="11">
        <v>2021</v>
      </c>
      <c r="C66" s="11">
        <v>2022</v>
      </c>
      <c r="D66" s="11">
        <v>2023</v>
      </c>
      <c r="E66" s="11">
        <v>2024</v>
      </c>
      <c r="F66" s="40" t="s">
        <v>18</v>
      </c>
    </row>
    <row r="67" spans="1:6" x14ac:dyDescent="0.4">
      <c r="A67" s="36" t="s">
        <v>5</v>
      </c>
      <c r="B67" s="19">
        <v>118.18600000000001</v>
      </c>
      <c r="C67" s="19">
        <v>74.753</v>
      </c>
      <c r="D67" s="19">
        <v>128.80199999999999</v>
      </c>
      <c r="E67" s="19">
        <v>82.938999999999993</v>
      </c>
      <c r="F67" s="20">
        <f>AVERAGE(B67:E67)</f>
        <v>101.16999999999999</v>
      </c>
    </row>
    <row r="68" spans="1:6" x14ac:dyDescent="0.4">
      <c r="A68" s="36" t="s">
        <v>6</v>
      </c>
      <c r="B68" s="19">
        <v>100.309</v>
      </c>
      <c r="C68" s="19">
        <v>98.667000000000002</v>
      </c>
      <c r="D68" s="19">
        <v>80.421000000000006</v>
      </c>
      <c r="E68" s="19">
        <v>176.49799999999999</v>
      </c>
      <c r="F68" s="20">
        <f t="shared" ref="F68:F74" si="19">AVERAGE(B68:E68)</f>
        <v>113.97375</v>
      </c>
    </row>
    <row r="69" spans="1:6" x14ac:dyDescent="0.4">
      <c r="A69" s="36" t="s">
        <v>0</v>
      </c>
      <c r="B69" s="19">
        <v>412.13499999999999</v>
      </c>
      <c r="C69" s="19">
        <v>364.16500000000002</v>
      </c>
      <c r="D69" s="19">
        <v>436.50100000000003</v>
      </c>
      <c r="E69" s="19">
        <v>488.67599999999999</v>
      </c>
      <c r="F69" s="20">
        <f t="shared" si="19"/>
        <v>425.36924999999997</v>
      </c>
    </row>
    <row r="70" spans="1:6" x14ac:dyDescent="0.4">
      <c r="A70" s="36" t="s">
        <v>7</v>
      </c>
      <c r="B70" s="19">
        <v>71.613</v>
      </c>
      <c r="C70" s="19">
        <v>36.423000000000002</v>
      </c>
      <c r="D70" s="19">
        <v>27.530999999999999</v>
      </c>
      <c r="E70" s="19">
        <v>26.783999999999999</v>
      </c>
      <c r="F70" s="20">
        <f t="shared" si="19"/>
        <v>40.58775</v>
      </c>
    </row>
    <row r="71" spans="1:6" x14ac:dyDescent="0.4">
      <c r="A71" s="36" t="s">
        <v>8</v>
      </c>
      <c r="B71" s="19">
        <v>89.24</v>
      </c>
      <c r="C71" s="19">
        <v>79.738</v>
      </c>
      <c r="D71" s="19">
        <v>110.13000000000001</v>
      </c>
      <c r="E71" s="19">
        <v>110.13000000000001</v>
      </c>
      <c r="F71" s="20">
        <f t="shared" si="19"/>
        <v>97.3095</v>
      </c>
    </row>
    <row r="72" spans="1:6" x14ac:dyDescent="0.4">
      <c r="A72" s="36" t="s">
        <v>9</v>
      </c>
      <c r="B72" s="19">
        <v>36.92</v>
      </c>
      <c r="C72" s="19">
        <v>53.64</v>
      </c>
      <c r="D72" s="19">
        <v>53.64</v>
      </c>
      <c r="E72" s="19">
        <v>53.64</v>
      </c>
      <c r="F72" s="20">
        <f t="shared" si="19"/>
        <v>49.459999999999994</v>
      </c>
    </row>
    <row r="73" spans="1:6" ht="15" thickBot="1" x14ac:dyDescent="0.45">
      <c r="A73" s="37" t="s">
        <v>10</v>
      </c>
      <c r="B73" s="22">
        <v>58.08</v>
      </c>
      <c r="C73" s="22">
        <v>84.36</v>
      </c>
      <c r="D73" s="22">
        <v>84.36</v>
      </c>
      <c r="E73" s="22">
        <v>84.36</v>
      </c>
      <c r="F73" s="23">
        <f t="shared" si="19"/>
        <v>77.790000000000006</v>
      </c>
    </row>
    <row r="74" spans="1:6" ht="15" thickBot="1" x14ac:dyDescent="0.45">
      <c r="A74" s="37" t="s">
        <v>19</v>
      </c>
      <c r="B74" s="22">
        <f>SUM(B67:B73)</f>
        <v>886.48299999999995</v>
      </c>
      <c r="C74" s="22">
        <f t="shared" ref="C74:E74" si="20">SUM(C67:C73)</f>
        <v>791.74600000000009</v>
      </c>
      <c r="D74" s="22">
        <f t="shared" si="20"/>
        <v>921.38499999999999</v>
      </c>
      <c r="E74" s="22">
        <f t="shared" si="20"/>
        <v>1023.027</v>
      </c>
      <c r="F74" s="23">
        <f t="shared" si="19"/>
        <v>905.66025000000002</v>
      </c>
    </row>
  </sheetData>
  <mergeCells count="5">
    <mergeCell ref="B3:E3"/>
    <mergeCell ref="B19:E19"/>
    <mergeCell ref="B36:E36"/>
    <mergeCell ref="B54:E54"/>
    <mergeCell ref="B65:E6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2021-2024-mls-catch</vt:lpstr>
      <vt:lpstr>2021-2024-mls-catch-us-longline</vt:lpstr>
      <vt:lpstr>2021-2024-mls-catch-us-yearbook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cp:lastPrinted>2025-03-14T00:03:53Z</cp:lastPrinted>
  <dcterms:created xsi:type="dcterms:W3CDTF">2025-02-26T01:03:40Z</dcterms:created>
  <dcterms:modified xsi:type="dcterms:W3CDTF">2025-03-14T00:03:59Z</dcterms:modified>
</cp:coreProperties>
</file>