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jon.brodziak\Desktop\2024 WCNPO MLS Rebuilding\2025 MLS projections\Base Runs\"/>
    </mc:Choice>
  </mc:AlternateContent>
  <xr:revisionPtr revIDLastSave="0" documentId="13_ncr:1_{BDC7C91F-1356-4E88-8EB2-CFC505C61D73}" xr6:coauthVersionLast="47" xr6:coauthVersionMax="47" xr10:uidLastSave="{00000000-0000-0000-0000-000000000000}"/>
  <bookViews>
    <workbookView xWindow="-103" yWindow="-103" windowWidth="16663" windowHeight="8863" activeTab="6" xr2:uid="{00000000-000D-0000-FFFF-FFFF00000000}"/>
  </bookViews>
  <sheets>
    <sheet name="SB" sheetId="1" r:id="rId1"/>
    <sheet name="F" sheetId="13" r:id="rId2"/>
    <sheet name="Probabilities" sheetId="16" r:id="rId3"/>
    <sheet name="S1" sheetId="56" r:id="rId4"/>
    <sheet name="S2" sheetId="57" r:id="rId5"/>
    <sheet name="S3" sheetId="58" r:id="rId6"/>
    <sheet name="Catch" sheetId="14" r:id="rId7"/>
    <sheet name="Compare" sheetId="27" r:id="rId8"/>
    <sheet name="Scenario Table S6 Correct" sheetId="55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642" i="58" l="1"/>
  <c r="T642" i="58" s="1"/>
  <c r="S641" i="58"/>
  <c r="T641" i="58" s="1"/>
  <c r="S640" i="58"/>
  <c r="T640" i="58" s="1"/>
  <c r="S639" i="58"/>
  <c r="T639" i="58" s="1"/>
  <c r="S638" i="58"/>
  <c r="T638" i="58" s="1"/>
  <c r="S637" i="58"/>
  <c r="T637" i="58" s="1"/>
  <c r="S636" i="58"/>
  <c r="T636" i="58" s="1"/>
  <c r="S635" i="58"/>
  <c r="T635" i="58" s="1"/>
  <c r="S629" i="58" a="1"/>
  <c r="S634" i="58" s="1"/>
  <c r="T634" i="58" s="1"/>
  <c r="U309" i="58"/>
  <c r="T309" i="58"/>
  <c r="S309" i="58"/>
  <c r="R309" i="58"/>
  <c r="Q309" i="58"/>
  <c r="P309" i="58"/>
  <c r="O309" i="58"/>
  <c r="N309" i="58"/>
  <c r="M309" i="58"/>
  <c r="U308" i="58"/>
  <c r="T308" i="58"/>
  <c r="S308" i="58"/>
  <c r="R308" i="58"/>
  <c r="Q308" i="58"/>
  <c r="P308" i="58"/>
  <c r="O308" i="58"/>
  <c r="N308" i="58"/>
  <c r="M308" i="58"/>
  <c r="U307" i="58"/>
  <c r="T307" i="58"/>
  <c r="S307" i="58"/>
  <c r="R307" i="58"/>
  <c r="Q307" i="58"/>
  <c r="P307" i="58"/>
  <c r="O307" i="58"/>
  <c r="N307" i="58"/>
  <c r="M307" i="58"/>
  <c r="U306" i="58"/>
  <c r="T306" i="58"/>
  <c r="S306" i="58"/>
  <c r="R306" i="58"/>
  <c r="Q306" i="58"/>
  <c r="P306" i="58"/>
  <c r="O306" i="58"/>
  <c r="N306" i="58"/>
  <c r="M306" i="58"/>
  <c r="U305" i="58"/>
  <c r="T305" i="58"/>
  <c r="S305" i="58"/>
  <c r="R305" i="58"/>
  <c r="Q305" i="58"/>
  <c r="P305" i="58"/>
  <c r="O305" i="58"/>
  <c r="N305" i="58"/>
  <c r="M305" i="58"/>
  <c r="U304" i="58"/>
  <c r="T304" i="58"/>
  <c r="S304" i="58"/>
  <c r="R304" i="58"/>
  <c r="Q304" i="58"/>
  <c r="P304" i="58"/>
  <c r="O304" i="58"/>
  <c r="N304" i="58"/>
  <c r="M304" i="58"/>
  <c r="U303" i="58"/>
  <c r="T303" i="58"/>
  <c r="S303" i="58"/>
  <c r="R303" i="58"/>
  <c r="Q303" i="58"/>
  <c r="P303" i="58"/>
  <c r="O303" i="58"/>
  <c r="N303" i="58"/>
  <c r="M303" i="58"/>
  <c r="U302" i="58"/>
  <c r="T302" i="58"/>
  <c r="S302" i="58"/>
  <c r="R302" i="58"/>
  <c r="Q302" i="58"/>
  <c r="P302" i="58"/>
  <c r="O302" i="58"/>
  <c r="N302" i="58"/>
  <c r="M302" i="58"/>
  <c r="U301" i="58"/>
  <c r="T301" i="58"/>
  <c r="S301" i="58"/>
  <c r="R301" i="58"/>
  <c r="Q301" i="58"/>
  <c r="P301" i="58"/>
  <c r="O301" i="58"/>
  <c r="N301" i="58"/>
  <c r="M301" i="58"/>
  <c r="U300" i="58"/>
  <c r="T300" i="58"/>
  <c r="S300" i="58"/>
  <c r="R300" i="58"/>
  <c r="Q300" i="58"/>
  <c r="P300" i="58"/>
  <c r="O300" i="58"/>
  <c r="N300" i="58"/>
  <c r="M300" i="58"/>
  <c r="U299" i="58"/>
  <c r="T299" i="58"/>
  <c r="S299" i="58"/>
  <c r="R299" i="58"/>
  <c r="Q299" i="58"/>
  <c r="P299" i="58"/>
  <c r="O299" i="58"/>
  <c r="N299" i="58"/>
  <c r="M299" i="58"/>
  <c r="U298" i="58"/>
  <c r="T298" i="58"/>
  <c r="S298" i="58"/>
  <c r="R298" i="58"/>
  <c r="Q298" i="58"/>
  <c r="P298" i="58"/>
  <c r="O298" i="58"/>
  <c r="N298" i="58"/>
  <c r="M298" i="58"/>
  <c r="U297" i="58"/>
  <c r="T297" i="58"/>
  <c r="S297" i="58"/>
  <c r="R297" i="58"/>
  <c r="Q297" i="58"/>
  <c r="P297" i="58"/>
  <c r="O297" i="58"/>
  <c r="N297" i="58"/>
  <c r="M297" i="58"/>
  <c r="U296" i="58"/>
  <c r="T296" i="58"/>
  <c r="S296" i="58"/>
  <c r="R296" i="58"/>
  <c r="Q296" i="58"/>
  <c r="P296" i="58"/>
  <c r="O296" i="58"/>
  <c r="N296" i="58"/>
  <c r="M296" i="58"/>
  <c r="T273" i="58"/>
  <c r="S273" i="58"/>
  <c r="R273" i="58"/>
  <c r="Q273" i="58"/>
  <c r="P273" i="58"/>
  <c r="O273" i="58"/>
  <c r="N273" i="58"/>
  <c r="M273" i="58"/>
  <c r="L273" i="58"/>
  <c r="T272" i="58"/>
  <c r="S272" i="58"/>
  <c r="R272" i="58"/>
  <c r="Q272" i="58"/>
  <c r="P272" i="58"/>
  <c r="O272" i="58"/>
  <c r="N272" i="58"/>
  <c r="M272" i="58"/>
  <c r="L272" i="58"/>
  <c r="T271" i="58"/>
  <c r="S271" i="58"/>
  <c r="R271" i="58"/>
  <c r="Q271" i="58"/>
  <c r="P271" i="58"/>
  <c r="O271" i="58"/>
  <c r="N271" i="58"/>
  <c r="M271" i="58"/>
  <c r="L271" i="58"/>
  <c r="T270" i="58"/>
  <c r="S270" i="58"/>
  <c r="R270" i="58"/>
  <c r="Q270" i="58"/>
  <c r="P270" i="58"/>
  <c r="O270" i="58"/>
  <c r="N270" i="58"/>
  <c r="M270" i="58"/>
  <c r="L270" i="58"/>
  <c r="T269" i="58"/>
  <c r="S269" i="58"/>
  <c r="R269" i="58"/>
  <c r="Q269" i="58"/>
  <c r="P269" i="58"/>
  <c r="O269" i="58"/>
  <c r="N269" i="58"/>
  <c r="M269" i="58"/>
  <c r="L269" i="58"/>
  <c r="T268" i="58"/>
  <c r="S268" i="58"/>
  <c r="R268" i="58"/>
  <c r="Q268" i="58"/>
  <c r="P268" i="58"/>
  <c r="O268" i="58"/>
  <c r="N268" i="58"/>
  <c r="M268" i="58"/>
  <c r="L268" i="58"/>
  <c r="T267" i="58"/>
  <c r="S267" i="58"/>
  <c r="R267" i="58"/>
  <c r="Q267" i="58"/>
  <c r="P267" i="58"/>
  <c r="O267" i="58"/>
  <c r="N267" i="58"/>
  <c r="M267" i="58"/>
  <c r="L267" i="58"/>
  <c r="T266" i="58"/>
  <c r="S266" i="58"/>
  <c r="R266" i="58"/>
  <c r="Q266" i="58"/>
  <c r="P266" i="58"/>
  <c r="O266" i="58"/>
  <c r="N266" i="58"/>
  <c r="M266" i="58"/>
  <c r="L266" i="58"/>
  <c r="T265" i="58"/>
  <c r="S265" i="58"/>
  <c r="R265" i="58"/>
  <c r="Q265" i="58"/>
  <c r="P265" i="58"/>
  <c r="O265" i="58"/>
  <c r="N265" i="58"/>
  <c r="M265" i="58"/>
  <c r="L265" i="58"/>
  <c r="T264" i="58"/>
  <c r="S264" i="58"/>
  <c r="R264" i="58"/>
  <c r="Q264" i="58"/>
  <c r="P264" i="58"/>
  <c r="O264" i="58"/>
  <c r="N264" i="58"/>
  <c r="M264" i="58"/>
  <c r="L264" i="58"/>
  <c r="T263" i="58"/>
  <c r="S263" i="58"/>
  <c r="R263" i="58"/>
  <c r="Q263" i="58"/>
  <c r="P263" i="58"/>
  <c r="O263" i="58"/>
  <c r="N263" i="58"/>
  <c r="M263" i="58"/>
  <c r="L263" i="58"/>
  <c r="T262" i="58"/>
  <c r="S262" i="58"/>
  <c r="R262" i="58"/>
  <c r="Q262" i="58"/>
  <c r="P262" i="58"/>
  <c r="O262" i="58"/>
  <c r="N262" i="58"/>
  <c r="M262" i="58"/>
  <c r="L262" i="58"/>
  <c r="T261" i="58"/>
  <c r="S261" i="58"/>
  <c r="R261" i="58"/>
  <c r="Q261" i="58"/>
  <c r="P261" i="58"/>
  <c r="O261" i="58"/>
  <c r="N261" i="58"/>
  <c r="M261" i="58"/>
  <c r="L261" i="58"/>
  <c r="T260" i="58"/>
  <c r="S260" i="58"/>
  <c r="R260" i="58"/>
  <c r="Q260" i="58"/>
  <c r="P260" i="58"/>
  <c r="O260" i="58"/>
  <c r="N260" i="58"/>
  <c r="M260" i="58"/>
  <c r="L260" i="58"/>
  <c r="T129" i="58"/>
  <c r="S129" i="58"/>
  <c r="R129" i="58"/>
  <c r="Q129" i="58"/>
  <c r="P129" i="58"/>
  <c r="O129" i="58"/>
  <c r="N129" i="58"/>
  <c r="M129" i="58"/>
  <c r="L129" i="58"/>
  <c r="T128" i="58"/>
  <c r="S128" i="58"/>
  <c r="R128" i="58"/>
  <c r="Q128" i="58"/>
  <c r="P128" i="58"/>
  <c r="O128" i="58"/>
  <c r="N128" i="58"/>
  <c r="M128" i="58"/>
  <c r="L128" i="58"/>
  <c r="T127" i="58"/>
  <c r="S127" i="58"/>
  <c r="R127" i="58"/>
  <c r="Q127" i="58"/>
  <c r="P127" i="58"/>
  <c r="O127" i="58"/>
  <c r="N127" i="58"/>
  <c r="M127" i="58"/>
  <c r="L127" i="58"/>
  <c r="T126" i="58"/>
  <c r="S126" i="58"/>
  <c r="R126" i="58"/>
  <c r="Q126" i="58"/>
  <c r="P126" i="58"/>
  <c r="O126" i="58"/>
  <c r="N126" i="58"/>
  <c r="M126" i="58"/>
  <c r="L126" i="58"/>
  <c r="T125" i="58"/>
  <c r="S125" i="58"/>
  <c r="R125" i="58"/>
  <c r="Q125" i="58"/>
  <c r="P125" i="58"/>
  <c r="O125" i="58"/>
  <c r="N125" i="58"/>
  <c r="M125" i="58"/>
  <c r="L125" i="58"/>
  <c r="T124" i="58"/>
  <c r="S124" i="58"/>
  <c r="R124" i="58"/>
  <c r="Q124" i="58"/>
  <c r="P124" i="58"/>
  <c r="O124" i="58"/>
  <c r="N124" i="58"/>
  <c r="M124" i="58"/>
  <c r="L124" i="58"/>
  <c r="T123" i="58"/>
  <c r="S123" i="58"/>
  <c r="R123" i="58"/>
  <c r="Q123" i="58"/>
  <c r="P123" i="58"/>
  <c r="O123" i="58"/>
  <c r="N123" i="58"/>
  <c r="M123" i="58"/>
  <c r="L123" i="58"/>
  <c r="T122" i="58"/>
  <c r="S122" i="58"/>
  <c r="R122" i="58"/>
  <c r="Q122" i="58"/>
  <c r="P122" i="58"/>
  <c r="O122" i="58"/>
  <c r="N122" i="58"/>
  <c r="M122" i="58"/>
  <c r="L122" i="58"/>
  <c r="T121" i="58"/>
  <c r="S121" i="58"/>
  <c r="R121" i="58"/>
  <c r="Q121" i="58"/>
  <c r="P121" i="58"/>
  <c r="O121" i="58"/>
  <c r="N121" i="58"/>
  <c r="M121" i="58"/>
  <c r="L121" i="58"/>
  <c r="T120" i="58"/>
  <c r="S120" i="58"/>
  <c r="R120" i="58"/>
  <c r="Q120" i="58"/>
  <c r="P120" i="58"/>
  <c r="O120" i="58"/>
  <c r="N120" i="58"/>
  <c r="M120" i="58"/>
  <c r="L120" i="58"/>
  <c r="T119" i="58"/>
  <c r="S119" i="58"/>
  <c r="R119" i="58"/>
  <c r="Q119" i="58"/>
  <c r="P119" i="58"/>
  <c r="O119" i="58"/>
  <c r="N119" i="58"/>
  <c r="M119" i="58"/>
  <c r="L119" i="58"/>
  <c r="T118" i="58"/>
  <c r="S118" i="58"/>
  <c r="R118" i="58"/>
  <c r="Q118" i="58"/>
  <c r="P118" i="58"/>
  <c r="O118" i="58"/>
  <c r="N118" i="58"/>
  <c r="M118" i="58"/>
  <c r="L118" i="58"/>
  <c r="T117" i="58"/>
  <c r="S117" i="58"/>
  <c r="R117" i="58"/>
  <c r="Q117" i="58"/>
  <c r="P117" i="58"/>
  <c r="O117" i="58"/>
  <c r="N117" i="58"/>
  <c r="M117" i="58"/>
  <c r="L117" i="58"/>
  <c r="T116" i="58"/>
  <c r="S116" i="58"/>
  <c r="R116" i="58"/>
  <c r="Q116" i="58"/>
  <c r="P116" i="58"/>
  <c r="O116" i="58"/>
  <c r="N116" i="58"/>
  <c r="M116" i="58"/>
  <c r="L116" i="58"/>
  <c r="T129" i="57"/>
  <c r="S129" i="57"/>
  <c r="R129" i="57"/>
  <c r="Q129" i="57"/>
  <c r="P129" i="57"/>
  <c r="O129" i="57"/>
  <c r="N129" i="57"/>
  <c r="M129" i="57"/>
  <c r="L129" i="57"/>
  <c r="T128" i="57"/>
  <c r="S128" i="57"/>
  <c r="R128" i="57"/>
  <c r="Q128" i="57"/>
  <c r="P128" i="57"/>
  <c r="O128" i="57"/>
  <c r="N128" i="57"/>
  <c r="M128" i="57"/>
  <c r="L128" i="57"/>
  <c r="T127" i="57"/>
  <c r="S127" i="57"/>
  <c r="R127" i="57"/>
  <c r="Q127" i="57"/>
  <c r="P127" i="57"/>
  <c r="O127" i="57"/>
  <c r="N127" i="57"/>
  <c r="M127" i="57"/>
  <c r="L127" i="57"/>
  <c r="T126" i="57"/>
  <c r="S126" i="57"/>
  <c r="R126" i="57"/>
  <c r="Q126" i="57"/>
  <c r="P126" i="57"/>
  <c r="O126" i="57"/>
  <c r="N126" i="57"/>
  <c r="M126" i="57"/>
  <c r="L126" i="57"/>
  <c r="T125" i="57"/>
  <c r="S125" i="57"/>
  <c r="R125" i="57"/>
  <c r="Q125" i="57"/>
  <c r="P125" i="57"/>
  <c r="O125" i="57"/>
  <c r="N125" i="57"/>
  <c r="M125" i="57"/>
  <c r="L125" i="57"/>
  <c r="T124" i="57"/>
  <c r="S124" i="57"/>
  <c r="R124" i="57"/>
  <c r="Q124" i="57"/>
  <c r="P124" i="57"/>
  <c r="O124" i="57"/>
  <c r="N124" i="57"/>
  <c r="M124" i="57"/>
  <c r="L124" i="57"/>
  <c r="T123" i="57"/>
  <c r="S123" i="57"/>
  <c r="R123" i="57"/>
  <c r="Q123" i="57"/>
  <c r="P123" i="57"/>
  <c r="O123" i="57"/>
  <c r="N123" i="57"/>
  <c r="M123" i="57"/>
  <c r="L123" i="57"/>
  <c r="T122" i="57"/>
  <c r="S122" i="57"/>
  <c r="R122" i="57"/>
  <c r="Q122" i="57"/>
  <c r="P122" i="57"/>
  <c r="O122" i="57"/>
  <c r="N122" i="57"/>
  <c r="M122" i="57"/>
  <c r="L122" i="57"/>
  <c r="T121" i="57"/>
  <c r="S121" i="57"/>
  <c r="R121" i="57"/>
  <c r="Q121" i="57"/>
  <c r="P121" i="57"/>
  <c r="O121" i="57"/>
  <c r="N121" i="57"/>
  <c r="M121" i="57"/>
  <c r="L121" i="57"/>
  <c r="T120" i="57"/>
  <c r="S120" i="57"/>
  <c r="R120" i="57"/>
  <c r="Q120" i="57"/>
  <c r="P120" i="57"/>
  <c r="O120" i="57"/>
  <c r="N120" i="57"/>
  <c r="M120" i="57"/>
  <c r="L120" i="57"/>
  <c r="T119" i="57"/>
  <c r="S119" i="57"/>
  <c r="R119" i="57"/>
  <c r="Q119" i="57"/>
  <c r="P119" i="57"/>
  <c r="O119" i="57"/>
  <c r="N119" i="57"/>
  <c r="M119" i="57"/>
  <c r="L119" i="57"/>
  <c r="T118" i="57"/>
  <c r="S118" i="57"/>
  <c r="R118" i="57"/>
  <c r="Q118" i="57"/>
  <c r="P118" i="57"/>
  <c r="O118" i="57"/>
  <c r="N118" i="57"/>
  <c r="M118" i="57"/>
  <c r="L118" i="57"/>
  <c r="T117" i="57"/>
  <c r="S117" i="57"/>
  <c r="R117" i="57"/>
  <c r="Q117" i="57"/>
  <c r="P117" i="57"/>
  <c r="O117" i="57"/>
  <c r="N117" i="57"/>
  <c r="M117" i="57"/>
  <c r="L117" i="57"/>
  <c r="T116" i="57"/>
  <c r="S116" i="57"/>
  <c r="R116" i="57"/>
  <c r="Q116" i="57"/>
  <c r="P116" i="57"/>
  <c r="O116" i="57"/>
  <c r="N116" i="57"/>
  <c r="M116" i="57"/>
  <c r="L116" i="57"/>
  <c r="T273" i="57"/>
  <c r="S273" i="57"/>
  <c r="R273" i="57"/>
  <c r="Q273" i="57"/>
  <c r="P273" i="57"/>
  <c r="O273" i="57"/>
  <c r="N273" i="57"/>
  <c r="M273" i="57"/>
  <c r="L273" i="57"/>
  <c r="T272" i="57"/>
  <c r="S272" i="57"/>
  <c r="R272" i="57"/>
  <c r="Q272" i="57"/>
  <c r="P272" i="57"/>
  <c r="O272" i="57"/>
  <c r="N272" i="57"/>
  <c r="M272" i="57"/>
  <c r="L272" i="57"/>
  <c r="T271" i="57"/>
  <c r="S271" i="57"/>
  <c r="R271" i="57"/>
  <c r="Q271" i="57"/>
  <c r="P271" i="57"/>
  <c r="O271" i="57"/>
  <c r="N271" i="57"/>
  <c r="M271" i="57"/>
  <c r="L271" i="57"/>
  <c r="T270" i="57"/>
  <c r="S270" i="57"/>
  <c r="R270" i="57"/>
  <c r="Q270" i="57"/>
  <c r="P270" i="57"/>
  <c r="O270" i="57"/>
  <c r="N270" i="57"/>
  <c r="M270" i="57"/>
  <c r="L270" i="57"/>
  <c r="T269" i="57"/>
  <c r="S269" i="57"/>
  <c r="R269" i="57"/>
  <c r="Q269" i="57"/>
  <c r="P269" i="57"/>
  <c r="O269" i="57"/>
  <c r="N269" i="57"/>
  <c r="M269" i="57"/>
  <c r="L269" i="57"/>
  <c r="T268" i="57"/>
  <c r="S268" i="57"/>
  <c r="R268" i="57"/>
  <c r="Q268" i="57"/>
  <c r="P268" i="57"/>
  <c r="O268" i="57"/>
  <c r="N268" i="57"/>
  <c r="M268" i="57"/>
  <c r="L268" i="57"/>
  <c r="T267" i="57"/>
  <c r="S267" i="57"/>
  <c r="R267" i="57"/>
  <c r="Q267" i="57"/>
  <c r="P267" i="57"/>
  <c r="O267" i="57"/>
  <c r="N267" i="57"/>
  <c r="M267" i="57"/>
  <c r="L267" i="57"/>
  <c r="T266" i="57"/>
  <c r="S266" i="57"/>
  <c r="R266" i="57"/>
  <c r="Q266" i="57"/>
  <c r="P266" i="57"/>
  <c r="O266" i="57"/>
  <c r="N266" i="57"/>
  <c r="M266" i="57"/>
  <c r="L266" i="57"/>
  <c r="T265" i="57"/>
  <c r="S265" i="57"/>
  <c r="R265" i="57"/>
  <c r="Q265" i="57"/>
  <c r="P265" i="57"/>
  <c r="O265" i="57"/>
  <c r="N265" i="57"/>
  <c r="M265" i="57"/>
  <c r="L265" i="57"/>
  <c r="T264" i="57"/>
  <c r="S264" i="57"/>
  <c r="R264" i="57"/>
  <c r="Q264" i="57"/>
  <c r="P264" i="57"/>
  <c r="O264" i="57"/>
  <c r="N264" i="57"/>
  <c r="M264" i="57"/>
  <c r="L264" i="57"/>
  <c r="T263" i="57"/>
  <c r="S263" i="57"/>
  <c r="R263" i="57"/>
  <c r="Q263" i="57"/>
  <c r="P263" i="57"/>
  <c r="O263" i="57"/>
  <c r="N263" i="57"/>
  <c r="M263" i="57"/>
  <c r="L263" i="57"/>
  <c r="T262" i="57"/>
  <c r="S262" i="57"/>
  <c r="R262" i="57"/>
  <c r="Q262" i="57"/>
  <c r="P262" i="57"/>
  <c r="O262" i="57"/>
  <c r="N262" i="57"/>
  <c r="M262" i="57"/>
  <c r="L262" i="57"/>
  <c r="T261" i="57"/>
  <c r="S261" i="57"/>
  <c r="R261" i="57"/>
  <c r="Q261" i="57"/>
  <c r="P261" i="57"/>
  <c r="O261" i="57"/>
  <c r="N261" i="57"/>
  <c r="M261" i="57"/>
  <c r="L261" i="57"/>
  <c r="T260" i="57"/>
  <c r="S260" i="57"/>
  <c r="R260" i="57"/>
  <c r="Q260" i="57"/>
  <c r="P260" i="57"/>
  <c r="O260" i="57"/>
  <c r="N260" i="57"/>
  <c r="M260" i="57"/>
  <c r="L260" i="57"/>
  <c r="U309" i="57"/>
  <c r="T309" i="57"/>
  <c r="S309" i="57"/>
  <c r="R309" i="57"/>
  <c r="Q309" i="57"/>
  <c r="P309" i="57"/>
  <c r="O309" i="57"/>
  <c r="N309" i="57"/>
  <c r="M309" i="57"/>
  <c r="U308" i="57"/>
  <c r="T308" i="57"/>
  <c r="S308" i="57"/>
  <c r="R308" i="57"/>
  <c r="Q308" i="57"/>
  <c r="P308" i="57"/>
  <c r="O308" i="57"/>
  <c r="N308" i="57"/>
  <c r="M308" i="57"/>
  <c r="U307" i="57"/>
  <c r="T307" i="57"/>
  <c r="S307" i="57"/>
  <c r="R307" i="57"/>
  <c r="Q307" i="57"/>
  <c r="P307" i="57"/>
  <c r="O307" i="57"/>
  <c r="N307" i="57"/>
  <c r="M307" i="57"/>
  <c r="U306" i="57"/>
  <c r="T306" i="57"/>
  <c r="S306" i="57"/>
  <c r="R306" i="57"/>
  <c r="Q306" i="57"/>
  <c r="P306" i="57"/>
  <c r="O306" i="57"/>
  <c r="N306" i="57"/>
  <c r="M306" i="57"/>
  <c r="U305" i="57"/>
  <c r="T305" i="57"/>
  <c r="S305" i="57"/>
  <c r="R305" i="57"/>
  <c r="Q305" i="57"/>
  <c r="P305" i="57"/>
  <c r="O305" i="57"/>
  <c r="N305" i="57"/>
  <c r="M305" i="57"/>
  <c r="U304" i="57"/>
  <c r="T304" i="57"/>
  <c r="S304" i="57"/>
  <c r="R304" i="57"/>
  <c r="Q304" i="57"/>
  <c r="P304" i="57"/>
  <c r="O304" i="57"/>
  <c r="N304" i="57"/>
  <c r="M304" i="57"/>
  <c r="U303" i="57"/>
  <c r="T303" i="57"/>
  <c r="S303" i="57"/>
  <c r="R303" i="57"/>
  <c r="Q303" i="57"/>
  <c r="P303" i="57"/>
  <c r="O303" i="57"/>
  <c r="N303" i="57"/>
  <c r="M303" i="57"/>
  <c r="U302" i="57"/>
  <c r="T302" i="57"/>
  <c r="S302" i="57"/>
  <c r="R302" i="57"/>
  <c r="Q302" i="57"/>
  <c r="P302" i="57"/>
  <c r="O302" i="57"/>
  <c r="N302" i="57"/>
  <c r="M302" i="57"/>
  <c r="U301" i="57"/>
  <c r="T301" i="57"/>
  <c r="S301" i="57"/>
  <c r="R301" i="57"/>
  <c r="Q301" i="57"/>
  <c r="P301" i="57"/>
  <c r="O301" i="57"/>
  <c r="N301" i="57"/>
  <c r="M301" i="57"/>
  <c r="U300" i="57"/>
  <c r="T300" i="57"/>
  <c r="S300" i="57"/>
  <c r="R300" i="57"/>
  <c r="Q300" i="57"/>
  <c r="P300" i="57"/>
  <c r="O300" i="57"/>
  <c r="N300" i="57"/>
  <c r="M300" i="57"/>
  <c r="U299" i="57"/>
  <c r="T299" i="57"/>
  <c r="S299" i="57"/>
  <c r="R299" i="57"/>
  <c r="Q299" i="57"/>
  <c r="P299" i="57"/>
  <c r="O299" i="57"/>
  <c r="N299" i="57"/>
  <c r="M299" i="57"/>
  <c r="U298" i="57"/>
  <c r="T298" i="57"/>
  <c r="S298" i="57"/>
  <c r="R298" i="57"/>
  <c r="Q298" i="57"/>
  <c r="P298" i="57"/>
  <c r="O298" i="57"/>
  <c r="N298" i="57"/>
  <c r="M298" i="57"/>
  <c r="U297" i="57"/>
  <c r="T297" i="57"/>
  <c r="S297" i="57"/>
  <c r="R297" i="57"/>
  <c r="Q297" i="57"/>
  <c r="P297" i="57"/>
  <c r="O297" i="57"/>
  <c r="N297" i="57"/>
  <c r="M297" i="57"/>
  <c r="U296" i="57"/>
  <c r="T296" i="57"/>
  <c r="S296" i="57"/>
  <c r="R296" i="57"/>
  <c r="Q296" i="57"/>
  <c r="P296" i="57"/>
  <c r="O296" i="57"/>
  <c r="N296" i="57"/>
  <c r="M296" i="57"/>
  <c r="S636" i="57"/>
  <c r="T636" i="57" s="1"/>
  <c r="S635" i="57"/>
  <c r="T635" i="57" s="1"/>
  <c r="S634" i="57"/>
  <c r="T634" i="57" s="1"/>
  <c r="S633" i="57"/>
  <c r="T633" i="57" s="1"/>
  <c r="S632" i="57"/>
  <c r="T632" i="57" s="1"/>
  <c r="S631" i="57"/>
  <c r="T631" i="57" s="1"/>
  <c r="S630" i="57"/>
  <c r="T630" i="57" s="1"/>
  <c r="S629" i="57"/>
  <c r="T629" i="57" s="1"/>
  <c r="S629" i="57" a="1"/>
  <c r="S641" i="57" s="1"/>
  <c r="T641" i="57" s="1"/>
  <c r="S629" i="56" a="1"/>
  <c r="S640" i="56" s="1"/>
  <c r="T640" i="56" s="1"/>
  <c r="U309" i="56"/>
  <c r="T309" i="56"/>
  <c r="S309" i="56"/>
  <c r="R309" i="56"/>
  <c r="Q309" i="56"/>
  <c r="P309" i="56"/>
  <c r="O309" i="56"/>
  <c r="N309" i="56"/>
  <c r="M309" i="56"/>
  <c r="U308" i="56"/>
  <c r="T308" i="56"/>
  <c r="S308" i="56"/>
  <c r="R308" i="56"/>
  <c r="Q308" i="56"/>
  <c r="P308" i="56"/>
  <c r="O308" i="56"/>
  <c r="N308" i="56"/>
  <c r="M308" i="56"/>
  <c r="U307" i="56"/>
  <c r="T307" i="56"/>
  <c r="S307" i="56"/>
  <c r="R307" i="56"/>
  <c r="Q307" i="56"/>
  <c r="P307" i="56"/>
  <c r="O307" i="56"/>
  <c r="N307" i="56"/>
  <c r="M307" i="56"/>
  <c r="U306" i="56"/>
  <c r="T306" i="56"/>
  <c r="S306" i="56"/>
  <c r="R306" i="56"/>
  <c r="Q306" i="56"/>
  <c r="P306" i="56"/>
  <c r="O306" i="56"/>
  <c r="N306" i="56"/>
  <c r="M306" i="56"/>
  <c r="U305" i="56"/>
  <c r="T305" i="56"/>
  <c r="S305" i="56"/>
  <c r="R305" i="56"/>
  <c r="Q305" i="56"/>
  <c r="P305" i="56"/>
  <c r="O305" i="56"/>
  <c r="N305" i="56"/>
  <c r="M305" i="56"/>
  <c r="U304" i="56"/>
  <c r="T304" i="56"/>
  <c r="S304" i="56"/>
  <c r="R304" i="56"/>
  <c r="Q304" i="56"/>
  <c r="P304" i="56"/>
  <c r="O304" i="56"/>
  <c r="N304" i="56"/>
  <c r="M304" i="56"/>
  <c r="U303" i="56"/>
  <c r="T303" i="56"/>
  <c r="S303" i="56"/>
  <c r="R303" i="56"/>
  <c r="Q303" i="56"/>
  <c r="P303" i="56"/>
  <c r="O303" i="56"/>
  <c r="N303" i="56"/>
  <c r="M303" i="56"/>
  <c r="U302" i="56"/>
  <c r="T302" i="56"/>
  <c r="S302" i="56"/>
  <c r="R302" i="56"/>
  <c r="Q302" i="56"/>
  <c r="P302" i="56"/>
  <c r="O302" i="56"/>
  <c r="N302" i="56"/>
  <c r="M302" i="56"/>
  <c r="U301" i="56"/>
  <c r="T301" i="56"/>
  <c r="S301" i="56"/>
  <c r="R301" i="56"/>
  <c r="Q301" i="56"/>
  <c r="P301" i="56"/>
  <c r="O301" i="56"/>
  <c r="N301" i="56"/>
  <c r="M301" i="56"/>
  <c r="U300" i="56"/>
  <c r="T300" i="56"/>
  <c r="S300" i="56"/>
  <c r="R300" i="56"/>
  <c r="Q300" i="56"/>
  <c r="P300" i="56"/>
  <c r="O300" i="56"/>
  <c r="N300" i="56"/>
  <c r="M300" i="56"/>
  <c r="U299" i="56"/>
  <c r="T299" i="56"/>
  <c r="S299" i="56"/>
  <c r="R299" i="56"/>
  <c r="Q299" i="56"/>
  <c r="P299" i="56"/>
  <c r="O299" i="56"/>
  <c r="N299" i="56"/>
  <c r="M299" i="56"/>
  <c r="U298" i="56"/>
  <c r="T298" i="56"/>
  <c r="S298" i="56"/>
  <c r="R298" i="56"/>
  <c r="Q298" i="56"/>
  <c r="P298" i="56"/>
  <c r="O298" i="56"/>
  <c r="N298" i="56"/>
  <c r="M298" i="56"/>
  <c r="U297" i="56"/>
  <c r="T297" i="56"/>
  <c r="S297" i="56"/>
  <c r="R297" i="56"/>
  <c r="Q297" i="56"/>
  <c r="P297" i="56"/>
  <c r="O297" i="56"/>
  <c r="N297" i="56"/>
  <c r="M297" i="56"/>
  <c r="U296" i="56"/>
  <c r="T296" i="56"/>
  <c r="S296" i="56"/>
  <c r="R296" i="56"/>
  <c r="Q296" i="56"/>
  <c r="P296" i="56"/>
  <c r="O296" i="56"/>
  <c r="N296" i="56"/>
  <c r="M296" i="56"/>
  <c r="T273" i="56"/>
  <c r="S273" i="56"/>
  <c r="R273" i="56"/>
  <c r="Q273" i="56"/>
  <c r="P273" i="56"/>
  <c r="O273" i="56"/>
  <c r="N273" i="56"/>
  <c r="M273" i="56"/>
  <c r="L273" i="56"/>
  <c r="T272" i="56"/>
  <c r="S272" i="56"/>
  <c r="R272" i="56"/>
  <c r="Q272" i="56"/>
  <c r="P272" i="56"/>
  <c r="O272" i="56"/>
  <c r="N272" i="56"/>
  <c r="M272" i="56"/>
  <c r="L272" i="56"/>
  <c r="T271" i="56"/>
  <c r="S271" i="56"/>
  <c r="R271" i="56"/>
  <c r="Q271" i="56"/>
  <c r="P271" i="56"/>
  <c r="O271" i="56"/>
  <c r="N271" i="56"/>
  <c r="M271" i="56"/>
  <c r="L271" i="56"/>
  <c r="T270" i="56"/>
  <c r="S270" i="56"/>
  <c r="R270" i="56"/>
  <c r="Q270" i="56"/>
  <c r="P270" i="56"/>
  <c r="O270" i="56"/>
  <c r="N270" i="56"/>
  <c r="M270" i="56"/>
  <c r="L270" i="56"/>
  <c r="T269" i="56"/>
  <c r="S269" i="56"/>
  <c r="R269" i="56"/>
  <c r="Q269" i="56"/>
  <c r="P269" i="56"/>
  <c r="O269" i="56"/>
  <c r="N269" i="56"/>
  <c r="M269" i="56"/>
  <c r="L269" i="56"/>
  <c r="T268" i="56"/>
  <c r="S268" i="56"/>
  <c r="R268" i="56"/>
  <c r="Q268" i="56"/>
  <c r="P268" i="56"/>
  <c r="O268" i="56"/>
  <c r="N268" i="56"/>
  <c r="M268" i="56"/>
  <c r="L268" i="56"/>
  <c r="T267" i="56"/>
  <c r="S267" i="56"/>
  <c r="R267" i="56"/>
  <c r="Q267" i="56"/>
  <c r="P267" i="56"/>
  <c r="O267" i="56"/>
  <c r="N267" i="56"/>
  <c r="M267" i="56"/>
  <c r="L267" i="56"/>
  <c r="T266" i="56"/>
  <c r="S266" i="56"/>
  <c r="R266" i="56"/>
  <c r="Q266" i="56"/>
  <c r="P266" i="56"/>
  <c r="O266" i="56"/>
  <c r="N266" i="56"/>
  <c r="M266" i="56"/>
  <c r="L266" i="56"/>
  <c r="T265" i="56"/>
  <c r="S265" i="56"/>
  <c r="R265" i="56"/>
  <c r="Q265" i="56"/>
  <c r="P265" i="56"/>
  <c r="O265" i="56"/>
  <c r="N265" i="56"/>
  <c r="M265" i="56"/>
  <c r="L265" i="56"/>
  <c r="T264" i="56"/>
  <c r="S264" i="56"/>
  <c r="R264" i="56"/>
  <c r="Q264" i="56"/>
  <c r="P264" i="56"/>
  <c r="O264" i="56"/>
  <c r="N264" i="56"/>
  <c r="M264" i="56"/>
  <c r="L264" i="56"/>
  <c r="T263" i="56"/>
  <c r="S263" i="56"/>
  <c r="R263" i="56"/>
  <c r="Q263" i="56"/>
  <c r="P263" i="56"/>
  <c r="O263" i="56"/>
  <c r="N263" i="56"/>
  <c r="M263" i="56"/>
  <c r="L263" i="56"/>
  <c r="T262" i="56"/>
  <c r="S262" i="56"/>
  <c r="R262" i="56"/>
  <c r="Q262" i="56"/>
  <c r="P262" i="56"/>
  <c r="O262" i="56"/>
  <c r="N262" i="56"/>
  <c r="M262" i="56"/>
  <c r="L262" i="56"/>
  <c r="T261" i="56"/>
  <c r="S261" i="56"/>
  <c r="R261" i="56"/>
  <c r="Q261" i="56"/>
  <c r="P261" i="56"/>
  <c r="O261" i="56"/>
  <c r="N261" i="56"/>
  <c r="M261" i="56"/>
  <c r="L261" i="56"/>
  <c r="T260" i="56"/>
  <c r="S260" i="56"/>
  <c r="R260" i="56"/>
  <c r="Q260" i="56"/>
  <c r="P260" i="56"/>
  <c r="O260" i="56"/>
  <c r="N260" i="56"/>
  <c r="M260" i="56"/>
  <c r="L260" i="56"/>
  <c r="T129" i="56"/>
  <c r="S129" i="56"/>
  <c r="R129" i="56"/>
  <c r="Q129" i="56"/>
  <c r="P129" i="56"/>
  <c r="O129" i="56"/>
  <c r="N129" i="56"/>
  <c r="M129" i="56"/>
  <c r="L129" i="56"/>
  <c r="T128" i="56"/>
  <c r="S128" i="56"/>
  <c r="R128" i="56"/>
  <c r="Q128" i="56"/>
  <c r="P128" i="56"/>
  <c r="O128" i="56"/>
  <c r="N128" i="56"/>
  <c r="M128" i="56"/>
  <c r="L128" i="56"/>
  <c r="T127" i="56"/>
  <c r="S127" i="56"/>
  <c r="R127" i="56"/>
  <c r="Q127" i="56"/>
  <c r="P127" i="56"/>
  <c r="O127" i="56"/>
  <c r="N127" i="56"/>
  <c r="M127" i="56"/>
  <c r="L127" i="56"/>
  <c r="T126" i="56"/>
  <c r="S126" i="56"/>
  <c r="R126" i="56"/>
  <c r="Q126" i="56"/>
  <c r="P126" i="56"/>
  <c r="O126" i="56"/>
  <c r="N126" i="56"/>
  <c r="M126" i="56"/>
  <c r="L126" i="56"/>
  <c r="T125" i="56"/>
  <c r="S125" i="56"/>
  <c r="R125" i="56"/>
  <c r="Q125" i="56"/>
  <c r="P125" i="56"/>
  <c r="O125" i="56"/>
  <c r="N125" i="56"/>
  <c r="M125" i="56"/>
  <c r="L125" i="56"/>
  <c r="T124" i="56"/>
  <c r="S124" i="56"/>
  <c r="R124" i="56"/>
  <c r="Q124" i="56"/>
  <c r="P124" i="56"/>
  <c r="O124" i="56"/>
  <c r="N124" i="56"/>
  <c r="M124" i="56"/>
  <c r="L124" i="56"/>
  <c r="T123" i="56"/>
  <c r="S123" i="56"/>
  <c r="R123" i="56"/>
  <c r="Q123" i="56"/>
  <c r="P123" i="56"/>
  <c r="O123" i="56"/>
  <c r="N123" i="56"/>
  <c r="M123" i="56"/>
  <c r="L123" i="56"/>
  <c r="T122" i="56"/>
  <c r="S122" i="56"/>
  <c r="R122" i="56"/>
  <c r="Q122" i="56"/>
  <c r="P122" i="56"/>
  <c r="O122" i="56"/>
  <c r="N122" i="56"/>
  <c r="M122" i="56"/>
  <c r="L122" i="56"/>
  <c r="T121" i="56"/>
  <c r="S121" i="56"/>
  <c r="R121" i="56"/>
  <c r="Q121" i="56"/>
  <c r="P121" i="56"/>
  <c r="O121" i="56"/>
  <c r="N121" i="56"/>
  <c r="M121" i="56"/>
  <c r="L121" i="56"/>
  <c r="T120" i="56"/>
  <c r="S120" i="56"/>
  <c r="R120" i="56"/>
  <c r="Q120" i="56"/>
  <c r="P120" i="56"/>
  <c r="O120" i="56"/>
  <c r="N120" i="56"/>
  <c r="M120" i="56"/>
  <c r="L120" i="56"/>
  <c r="T119" i="56"/>
  <c r="S119" i="56"/>
  <c r="R119" i="56"/>
  <c r="Q119" i="56"/>
  <c r="P119" i="56"/>
  <c r="O119" i="56"/>
  <c r="N119" i="56"/>
  <c r="M119" i="56"/>
  <c r="L119" i="56"/>
  <c r="T118" i="56"/>
  <c r="S118" i="56"/>
  <c r="R118" i="56"/>
  <c r="Q118" i="56"/>
  <c r="P118" i="56"/>
  <c r="O118" i="56"/>
  <c r="N118" i="56"/>
  <c r="M118" i="56"/>
  <c r="L118" i="56"/>
  <c r="T117" i="56"/>
  <c r="S117" i="56"/>
  <c r="R117" i="56"/>
  <c r="Q117" i="56"/>
  <c r="P117" i="56"/>
  <c r="O117" i="56"/>
  <c r="N117" i="56"/>
  <c r="M117" i="56"/>
  <c r="L117" i="56"/>
  <c r="T116" i="56"/>
  <c r="S116" i="56"/>
  <c r="R116" i="56"/>
  <c r="Q116" i="56"/>
  <c r="P116" i="56"/>
  <c r="O116" i="56"/>
  <c r="N116" i="56"/>
  <c r="M116" i="56"/>
  <c r="L116" i="56"/>
  <c r="C13" i="55"/>
  <c r="L10" i="55"/>
  <c r="G10" i="55"/>
  <c r="J10" i="55" s="1"/>
  <c r="L9" i="55"/>
  <c r="G9" i="55"/>
  <c r="J9" i="55" s="1"/>
  <c r="N8" i="55"/>
  <c r="I8" i="55" s="1"/>
  <c r="M8" i="55"/>
  <c r="L8" i="55"/>
  <c r="H8" i="55"/>
  <c r="G8" i="55"/>
  <c r="M7" i="55"/>
  <c r="L7" i="55"/>
  <c r="H7" i="55"/>
  <c r="G7" i="55"/>
  <c r="J7" i="55" s="1"/>
  <c r="M6" i="55"/>
  <c r="L6" i="55"/>
  <c r="H6" i="55"/>
  <c r="G6" i="55"/>
  <c r="J6" i="55" s="1"/>
  <c r="M5" i="55"/>
  <c r="H5" i="55" s="1"/>
  <c r="L5" i="55"/>
  <c r="G5" i="55"/>
  <c r="L4" i="55"/>
  <c r="G4" i="55"/>
  <c r="J4" i="55" s="1"/>
  <c r="L3" i="55"/>
  <c r="G3" i="55"/>
  <c r="J3" i="55" s="1"/>
  <c r="J5" i="55" l="1"/>
  <c r="J8" i="55"/>
  <c r="S629" i="58"/>
  <c r="T629" i="58" s="1"/>
  <c r="S630" i="58"/>
  <c r="T630" i="58" s="1"/>
  <c r="S632" i="58"/>
  <c r="T632" i="58" s="1"/>
  <c r="S633" i="58"/>
  <c r="T633" i="58" s="1"/>
  <c r="S631" i="58"/>
  <c r="T631" i="58" s="1"/>
  <c r="S640" i="57"/>
  <c r="T640" i="57" s="1"/>
  <c r="S638" i="57"/>
  <c r="T638" i="57" s="1"/>
  <c r="S642" i="57"/>
  <c r="T642" i="57" s="1"/>
  <c r="S637" i="57"/>
  <c r="T637" i="57" s="1"/>
  <c r="S639" i="57"/>
  <c r="T639" i="57" s="1"/>
  <c r="S631" i="56"/>
  <c r="T631" i="56" s="1"/>
  <c r="S632" i="56"/>
  <c r="T632" i="56" s="1"/>
  <c r="S641" i="56"/>
  <c r="T641" i="56" s="1"/>
  <c r="S629" i="56"/>
  <c r="T629" i="56" s="1"/>
  <c r="S630" i="56"/>
  <c r="T630" i="56" s="1"/>
  <c r="S633" i="56"/>
  <c r="T633" i="56" s="1"/>
  <c r="S642" i="56"/>
  <c r="T642" i="56" s="1"/>
  <c r="S634" i="56"/>
  <c r="T634" i="56" s="1"/>
  <c r="S635" i="56"/>
  <c r="T635" i="56" s="1"/>
  <c r="S636" i="56"/>
  <c r="T636" i="56" s="1"/>
  <c r="S637" i="56"/>
  <c r="T637" i="56" s="1"/>
  <c r="S638" i="56"/>
  <c r="T638" i="56" s="1"/>
  <c r="S639" i="56"/>
  <c r="T639" i="56" s="1"/>
  <c r="Y37" i="13" l="1"/>
  <c r="X37" i="13"/>
  <c r="W37" i="13"/>
  <c r="Y36" i="13"/>
  <c r="X36" i="13"/>
  <c r="W36" i="13"/>
  <c r="Y35" i="13"/>
  <c r="X35" i="13"/>
  <c r="W35" i="13"/>
  <c r="Y34" i="13"/>
  <c r="X34" i="13"/>
  <c r="W34" i="13"/>
  <c r="Y33" i="13"/>
  <c r="X33" i="13"/>
  <c r="W33" i="13"/>
  <c r="Y32" i="13"/>
  <c r="X32" i="13"/>
  <c r="W32" i="13"/>
  <c r="Y31" i="13"/>
  <c r="X31" i="13"/>
  <c r="W31" i="13"/>
  <c r="Y30" i="13"/>
  <c r="X30" i="13"/>
  <c r="W30" i="13"/>
  <c r="Y29" i="13"/>
  <c r="X29" i="13"/>
  <c r="W29" i="13"/>
  <c r="Y28" i="13"/>
  <c r="X28" i="13"/>
  <c r="W28" i="13"/>
  <c r="Y27" i="13"/>
  <c r="X27" i="13"/>
  <c r="W27" i="13"/>
  <c r="Y26" i="13"/>
  <c r="X26" i="13"/>
  <c r="W26" i="13"/>
  <c r="Y25" i="13"/>
  <c r="X25" i="13"/>
  <c r="W25" i="13"/>
  <c r="Y24" i="13"/>
  <c r="X24" i="13"/>
  <c r="W24" i="13"/>
  <c r="P37" i="13"/>
  <c r="O37" i="13"/>
  <c r="N37" i="13"/>
  <c r="P36" i="13"/>
  <c r="O36" i="13"/>
  <c r="N36" i="13"/>
  <c r="P35" i="13"/>
  <c r="O35" i="13"/>
  <c r="N35" i="13"/>
  <c r="P34" i="13"/>
  <c r="O34" i="13"/>
  <c r="N34" i="13"/>
  <c r="P33" i="13"/>
  <c r="O33" i="13"/>
  <c r="N33" i="13"/>
  <c r="P32" i="13"/>
  <c r="O32" i="13"/>
  <c r="N32" i="13"/>
  <c r="P31" i="13"/>
  <c r="O31" i="13"/>
  <c r="N31" i="13"/>
  <c r="P30" i="13"/>
  <c r="O30" i="13"/>
  <c r="N30" i="13"/>
  <c r="P29" i="13"/>
  <c r="O29" i="13"/>
  <c r="N29" i="13"/>
  <c r="P28" i="13"/>
  <c r="O28" i="13"/>
  <c r="N28" i="13"/>
  <c r="P27" i="13"/>
  <c r="O27" i="13"/>
  <c r="N27" i="13"/>
  <c r="P26" i="13"/>
  <c r="O26" i="13"/>
  <c r="N26" i="13"/>
  <c r="P25" i="13"/>
  <c r="O25" i="13"/>
  <c r="N25" i="13"/>
  <c r="P24" i="13"/>
  <c r="O24" i="13"/>
  <c r="N24" i="13"/>
  <c r="G37" i="13"/>
  <c r="F37" i="13"/>
  <c r="E37" i="13"/>
  <c r="G36" i="13"/>
  <c r="F36" i="13"/>
  <c r="E36" i="13"/>
  <c r="G35" i="13"/>
  <c r="F35" i="13"/>
  <c r="E35" i="13"/>
  <c r="G34" i="13"/>
  <c r="F34" i="13"/>
  <c r="E34" i="13"/>
  <c r="G33" i="13"/>
  <c r="F33" i="13"/>
  <c r="E33" i="13"/>
  <c r="G32" i="13"/>
  <c r="F32" i="13"/>
  <c r="E32" i="13"/>
  <c r="G31" i="13"/>
  <c r="F31" i="13"/>
  <c r="E31" i="13"/>
  <c r="G30" i="13"/>
  <c r="F30" i="13"/>
  <c r="E30" i="13"/>
  <c r="G29" i="13"/>
  <c r="F29" i="13"/>
  <c r="E29" i="13"/>
  <c r="G28" i="13"/>
  <c r="F28" i="13"/>
  <c r="E28" i="13"/>
  <c r="G27" i="13"/>
  <c r="F27" i="13"/>
  <c r="E27" i="13"/>
  <c r="G26" i="13"/>
  <c r="F26" i="13"/>
  <c r="E26" i="13"/>
  <c r="G25" i="13"/>
  <c r="F25" i="13"/>
  <c r="E25" i="13"/>
  <c r="G24" i="13"/>
  <c r="F24" i="13"/>
  <c r="E24" i="13"/>
  <c r="AB36" i="1"/>
  <c r="AA36" i="1"/>
  <c r="Z36" i="1"/>
  <c r="Y36" i="1"/>
  <c r="AB35" i="1"/>
  <c r="AA35" i="1"/>
  <c r="Z35" i="1"/>
  <c r="Y35" i="1"/>
  <c r="AB34" i="1"/>
  <c r="AA34" i="1"/>
  <c r="Z34" i="1"/>
  <c r="Y34" i="1"/>
  <c r="AB33" i="1"/>
  <c r="AA33" i="1"/>
  <c r="Z33" i="1"/>
  <c r="Y33" i="1"/>
  <c r="AB32" i="1"/>
  <c r="AA32" i="1"/>
  <c r="Z32" i="1"/>
  <c r="Y32" i="1"/>
  <c r="AB31" i="1"/>
  <c r="AA31" i="1"/>
  <c r="Z31" i="1"/>
  <c r="Y31" i="1"/>
  <c r="AB30" i="1"/>
  <c r="AA30" i="1"/>
  <c r="Z30" i="1"/>
  <c r="Y30" i="1"/>
  <c r="AB29" i="1"/>
  <c r="AA29" i="1"/>
  <c r="Z29" i="1"/>
  <c r="Y29" i="1"/>
  <c r="AB28" i="1"/>
  <c r="AA28" i="1"/>
  <c r="Z28" i="1"/>
  <c r="Y28" i="1"/>
  <c r="AB27" i="1"/>
  <c r="AA27" i="1"/>
  <c r="Z27" i="1"/>
  <c r="Y27" i="1"/>
  <c r="AB26" i="1"/>
  <c r="AA26" i="1"/>
  <c r="Z26" i="1"/>
  <c r="Y26" i="1"/>
  <c r="AB25" i="1"/>
  <c r="AA25" i="1"/>
  <c r="Z25" i="1"/>
  <c r="Y25" i="1"/>
  <c r="AB24" i="1"/>
  <c r="AA24" i="1"/>
  <c r="Z24" i="1"/>
  <c r="Y24" i="1"/>
  <c r="AB23" i="1"/>
  <c r="AA23" i="1"/>
  <c r="Z23" i="1"/>
  <c r="Y23" i="1"/>
  <c r="R36" i="1"/>
  <c r="Q36" i="1"/>
  <c r="P36" i="1"/>
  <c r="O36" i="1"/>
  <c r="R35" i="1"/>
  <c r="Q35" i="1"/>
  <c r="P35" i="1"/>
  <c r="O35" i="1"/>
  <c r="R34" i="1"/>
  <c r="Q34" i="1"/>
  <c r="P34" i="1"/>
  <c r="O34" i="1"/>
  <c r="R33" i="1"/>
  <c r="Q33" i="1"/>
  <c r="P33" i="1"/>
  <c r="O33" i="1"/>
  <c r="R32" i="1"/>
  <c r="Q32" i="1"/>
  <c r="P32" i="1"/>
  <c r="O32" i="1"/>
  <c r="R31" i="1"/>
  <c r="Q31" i="1"/>
  <c r="P31" i="1"/>
  <c r="O31" i="1"/>
  <c r="R30" i="1"/>
  <c r="Q30" i="1"/>
  <c r="P30" i="1"/>
  <c r="O30" i="1"/>
  <c r="R29" i="1"/>
  <c r="Q29" i="1"/>
  <c r="P29" i="1"/>
  <c r="O29" i="1"/>
  <c r="R28" i="1"/>
  <c r="Q28" i="1"/>
  <c r="P28" i="1"/>
  <c r="O28" i="1"/>
  <c r="R27" i="1"/>
  <c r="Q27" i="1"/>
  <c r="P27" i="1"/>
  <c r="O27" i="1"/>
  <c r="R26" i="1"/>
  <c r="Q26" i="1"/>
  <c r="P26" i="1"/>
  <c r="O26" i="1"/>
  <c r="R25" i="1"/>
  <c r="Q25" i="1"/>
  <c r="P25" i="1"/>
  <c r="O25" i="1"/>
  <c r="R24" i="1"/>
  <c r="Q24" i="1"/>
  <c r="P24" i="1"/>
  <c r="O24" i="1"/>
  <c r="R23" i="1"/>
  <c r="Q23" i="1"/>
  <c r="P23" i="1"/>
  <c r="O23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AH20" i="27" l="1"/>
  <c r="AG20" i="27"/>
  <c r="V21" i="27"/>
  <c r="U21" i="27"/>
  <c r="V20" i="27"/>
  <c r="U20" i="27"/>
  <c r="J21" i="27"/>
  <c r="I21" i="27"/>
  <c r="J20" i="27"/>
  <c r="I20" i="27"/>
  <c r="AI20" i="27"/>
  <c r="AF20" i="27"/>
  <c r="AE20" i="27"/>
  <c r="W21" i="27"/>
  <c r="T21" i="27"/>
  <c r="S21" i="27"/>
  <c r="W20" i="27"/>
  <c r="T20" i="27"/>
  <c r="S20" i="27"/>
  <c r="K21" i="27"/>
  <c r="H21" i="27"/>
  <c r="G21" i="27"/>
  <c r="K20" i="27"/>
  <c r="H20" i="27"/>
  <c r="G20" i="27"/>
  <c r="AJ20" i="27"/>
  <c r="AD20" i="27"/>
  <c r="AC20" i="27"/>
  <c r="AB20" i="27"/>
  <c r="AA20" i="27"/>
  <c r="X21" i="27"/>
  <c r="R21" i="27"/>
  <c r="Q21" i="27"/>
  <c r="P21" i="27"/>
  <c r="O21" i="27"/>
  <c r="X22" i="27" s="1"/>
  <c r="X20" i="27"/>
  <c r="R20" i="27"/>
  <c r="Q20" i="27"/>
  <c r="P20" i="27"/>
  <c r="O20" i="27"/>
  <c r="L21" i="27"/>
  <c r="F21" i="27"/>
  <c r="E21" i="27"/>
  <c r="D21" i="27"/>
  <c r="C21" i="27"/>
  <c r="L20" i="27"/>
  <c r="F20" i="27"/>
  <c r="E20" i="27"/>
  <c r="D20" i="27"/>
  <c r="C20" i="27"/>
  <c r="Z11" i="27"/>
  <c r="Z12" i="27" s="1"/>
  <c r="Z13" i="27" s="1"/>
  <c r="Z14" i="27" s="1"/>
  <c r="Z15" i="27" s="1"/>
  <c r="Z16" i="27" s="1"/>
  <c r="Z17" i="27" s="1"/>
  <c r="Z18" i="27" s="1"/>
  <c r="Z19" i="27" s="1"/>
  <c r="N11" i="27"/>
  <c r="N12" i="27" s="1"/>
  <c r="N13" i="27" s="1"/>
  <c r="N14" i="27" s="1"/>
  <c r="N15" i="27" s="1"/>
  <c r="N16" i="27" s="1"/>
  <c r="N17" i="27" s="1"/>
  <c r="N18" i="27" s="1"/>
  <c r="N19" i="27" s="1"/>
  <c r="B11" i="27"/>
  <c r="B12" i="27" s="1"/>
  <c r="B13" i="27" s="1"/>
  <c r="B14" i="27" s="1"/>
  <c r="B15" i="27" s="1"/>
  <c r="B16" i="27" s="1"/>
  <c r="B17" i="27" s="1"/>
  <c r="B18" i="27" s="1"/>
  <c r="B19" i="27" s="1"/>
  <c r="R22" i="27" l="1"/>
  <c r="U22" i="27"/>
  <c r="J22" i="27"/>
  <c r="Q22" i="27"/>
  <c r="F22" i="27"/>
  <c r="O22" i="27"/>
  <c r="P22" i="27"/>
  <c r="S22" i="27"/>
  <c r="T22" i="27"/>
  <c r="V22" i="27"/>
  <c r="W22" i="27"/>
  <c r="H22" i="27"/>
  <c r="I22" i="27"/>
  <c r="K22" i="27"/>
  <c r="L22" i="27"/>
  <c r="D22" i="27"/>
  <c r="C22" i="27"/>
  <c r="G22" i="27"/>
  <c r="E22" i="27"/>
</calcChain>
</file>

<file path=xl/sharedStrings.xml><?xml version="1.0" encoding="utf-8"?>
<sst xmlns="http://schemas.openxmlformats.org/spreadsheetml/2006/main" count="1034" uniqueCount="170">
  <si>
    <t>Age</t>
  </si>
  <si>
    <t>at</t>
  </si>
  <si>
    <t>Numbers</t>
  </si>
  <si>
    <t>Stock</t>
  </si>
  <si>
    <t>FMort</t>
  </si>
  <si>
    <t>Landings</t>
  </si>
  <si>
    <t>Biomass</t>
  </si>
  <si>
    <t>Catch</t>
  </si>
  <si>
    <t>Combined</t>
  </si>
  <si>
    <t>Mean</t>
  </si>
  <si>
    <t>Spawning</t>
  </si>
  <si>
    <t>Recruits</t>
  </si>
  <si>
    <t>%</t>
  </si>
  <si>
    <t>=</t>
  </si>
  <si>
    <t>Percentile</t>
  </si>
  <si>
    <t>Report</t>
  </si>
  <si>
    <t>Requested</t>
  </si>
  <si>
    <t>Once</t>
  </si>
  <si>
    <t>Least</t>
  </si>
  <si>
    <t>Exceeded</t>
  </si>
  <si>
    <t>Threshold</t>
  </si>
  <si>
    <t>Probability</t>
  </si>
  <si>
    <t>Year</t>
  </si>
  <si>
    <t>Exceeds</t>
  </si>
  <si>
    <t>Mortality</t>
  </si>
  <si>
    <t>Fishing</t>
  </si>
  <si>
    <t>Total</t>
  </si>
  <si>
    <t>MT)</t>
  </si>
  <si>
    <t>(1000</t>
  </si>
  <si>
    <t>15+</t>
  </si>
  <si>
    <t>Fish</t>
  </si>
  <si>
    <t>-</t>
  </si>
  <si>
    <t>Distribution</t>
  </si>
  <si>
    <t>StdDev</t>
  </si>
  <si>
    <t>Average</t>
  </si>
  <si>
    <t>MT</t>
  </si>
  <si>
    <t>x</t>
  </si>
  <si>
    <t>Class</t>
  </si>
  <si>
    <t>Selection-2</t>
  </si>
  <si>
    <t>Selection-1</t>
  </si>
  <si>
    <t>Selection</t>
  </si>
  <si>
    <t>Recruitment</t>
  </si>
  <si>
    <t>Type</t>
  </si>
  <si>
    <t>Scenario</t>
  </si>
  <si>
    <t>Harvest</t>
  </si>
  <si>
    <t>Input</t>
  </si>
  <si>
    <t>Realizations</t>
  </si>
  <si>
    <t>of</t>
  </si>
  <si>
    <t>Solutions:</t>
  </si>
  <si>
    <t>Feasible</t>
  </si>
  <si>
    <t>Number</t>
  </si>
  <si>
    <t>Name:</t>
  </si>
  <si>
    <t>File</t>
  </si>
  <si>
    <t>Bootstrap</t>
  </si>
  <si>
    <t>Simulations:</t>
  </si>
  <si>
    <t>Bootstraps:</t>
  </si>
  <si>
    <t>Models:</t>
  </si>
  <si>
    <t>Fleets:</t>
  </si>
  <si>
    <t>Projection:</t>
  </si>
  <si>
    <t>in</t>
  </si>
  <si>
    <t>Years</t>
  </si>
  <si>
    <t>Classes:</t>
  </si>
  <si>
    <t>Class:</t>
  </si>
  <si>
    <t>First</t>
  </si>
  <si>
    <t>Run:</t>
  </si>
  <si>
    <t>Time</t>
  </si>
  <si>
    <t>&amp;</t>
  </si>
  <si>
    <t>Date</t>
  </si>
  <si>
    <t>VERSION</t>
  </si>
  <si>
    <t>AGEPRO</t>
  </si>
  <si>
    <t>Median</t>
  </si>
  <si>
    <t>P10</t>
  </si>
  <si>
    <t>P90</t>
  </si>
  <si>
    <t>Fishing Mortality</t>
  </si>
  <si>
    <t>Spawning Stock Biomass (mt)</t>
  </si>
  <si>
    <t>C:\Users\jon.brodziak\Desktop\2024</t>
  </si>
  <si>
    <t>WCNPO</t>
  </si>
  <si>
    <t>MLS</t>
  </si>
  <si>
    <t>Rebuilding\Bootstrap-numbers-at-age\2023_WCNPOMLS.bsn</t>
  </si>
  <si>
    <t>Fleet-1</t>
  </si>
  <si>
    <t>Fleet-2</t>
  </si>
  <si>
    <t>Fleet-3</t>
  </si>
  <si>
    <t>Fleet-4</t>
  </si>
  <si>
    <t>Fleet-5</t>
  </si>
  <si>
    <t>Fleet-6</t>
  </si>
  <si>
    <t>Fleet-7</t>
  </si>
  <si>
    <t>Fleet-8</t>
  </si>
  <si>
    <t>Fleet-9</t>
  </si>
  <si>
    <t>Selection-3</t>
  </si>
  <si>
    <t>P25</t>
  </si>
  <si>
    <t>P75</t>
  </si>
  <si>
    <t>P40</t>
  </si>
  <si>
    <t>P95</t>
  </si>
  <si>
    <t>P05</t>
  </si>
  <si>
    <t>Catch Biomass (mt)</t>
  </si>
  <si>
    <t>Probability of Achieving Rebuilding Target</t>
  </si>
  <si>
    <t>Probability of Overfishing</t>
  </si>
  <si>
    <t>Average 2025-2034</t>
  </si>
  <si>
    <t>Total   2025-2034</t>
  </si>
  <si>
    <t>Scenario 1. Constant F Rebuild</t>
  </si>
  <si>
    <t>Scenario 3. Phased F Rebuild</t>
  </si>
  <si>
    <t>F Status Quo Scenario</t>
  </si>
  <si>
    <t>Fmsy Scenario</t>
  </si>
  <si>
    <t>Percentiles of Catch Distributions for MLS Rebuilding Scenarios</t>
  </si>
  <si>
    <t>Percentiles of Fishing Mortality Distributions for MLS Rebuilding Scenarios</t>
  </si>
  <si>
    <t>Percentiles of Spawning Biomass Distributions for MLS Rebuilding Scenarios</t>
  </si>
  <si>
    <t>Probabilities of Achieving Rebuilding Target for MLS Rebuilding Scenarios</t>
  </si>
  <si>
    <t>Probabilities of  Overfishing for MLS Rebuilding Scenarios</t>
  </si>
  <si>
    <t>Comparison of Median Catches for MLS Rebuilding Scenarios</t>
  </si>
  <si>
    <t>Comparison of Median Spawning Biomasses for MLS Rebuilding Scenarios</t>
  </si>
  <si>
    <t>Comparison of Median Fishing Mortalities for MLS Rebuilding Scenarios</t>
  </si>
  <si>
    <t>Harvest Control</t>
  </si>
  <si>
    <t>F = 0.373 in 2025-2034</t>
  </si>
  <si>
    <t>Catch = 2175 mt in 2025-2034</t>
  </si>
  <si>
    <t>F = 0.55 in 2025-2027 and then F = 0.37 in 2028-2034</t>
  </si>
  <si>
    <t>Catch=2400 mt in 2025-2027 &amp; Catch=2150 mt in 2028-2034</t>
  </si>
  <si>
    <t>Catch=2250 mt in 2025-2027 &amp; Catch=2175 mt in 2028-2034</t>
  </si>
  <si>
    <t>Catch = 2180 mt in 2025-2034</t>
  </si>
  <si>
    <t>Catch = 2185 mt in 2025-2034</t>
  </si>
  <si>
    <t>Harvest Scenarios to Rebuild WCNPO Striped Marlin</t>
  </si>
  <si>
    <t>Rebuilding Scenario</t>
  </si>
  <si>
    <t>Reduce F by 45% in 2025</t>
  </si>
  <si>
    <t>Reduce F by 19% in 2025 Reduce F by 46% in 2028</t>
  </si>
  <si>
    <t>Description of Harvest Change from Recent Average Value in 2018-2020</t>
  </si>
  <si>
    <t>Harvest Reduction in 2025</t>
  </si>
  <si>
    <t>Harvest Reduction in 2028</t>
  </si>
  <si>
    <t>Harvest Reduction in 2032</t>
  </si>
  <si>
    <t xml:space="preserve">Percent Change in 2025 from Recent Average </t>
  </si>
  <si>
    <t>Percent Change  in 2028 from Recent Average</t>
  </si>
  <si>
    <t>Percent Change  in 2032 from Recent Average</t>
  </si>
  <si>
    <t>Scenario 1</t>
  </si>
  <si>
    <t>Scenario 2</t>
  </si>
  <si>
    <t>Scenario 3</t>
  </si>
  <si>
    <t>Scenario 4</t>
  </si>
  <si>
    <t>Scenario 5</t>
  </si>
  <si>
    <t>Scenario 6</t>
  </si>
  <si>
    <t>Scenario 7</t>
  </si>
  <si>
    <t>Scenario 8</t>
  </si>
  <si>
    <t>Total Reduction</t>
  </si>
  <si>
    <t>Harvest in 2025-2027</t>
  </si>
  <si>
    <t>Harvest in 2028-2031</t>
  </si>
  <si>
    <t>Harvest in 2032-2034</t>
  </si>
  <si>
    <t>Percent of Maximum Rebuilding Total</t>
  </si>
  <si>
    <t>Scenario 2. Contant Catch Rebuild</t>
  </si>
  <si>
    <t>Scenario 4. Phased Catch Rebuild with Minimal Initial Reduction</t>
  </si>
  <si>
    <t>Scenario 5. Phased Catch Rebuild with Moderate Initial Reduction</t>
  </si>
  <si>
    <t>Scenario 6.  3-Phase Catch Rebuild with Minimal Initial Reduction</t>
  </si>
  <si>
    <t>Scenario 7. Catch-Release with Low Survival Rebuild</t>
  </si>
  <si>
    <t>Scenario 8. Catch-Release with High Survival Rebuild</t>
  </si>
  <si>
    <t>Reduce C by 10% in 2025</t>
  </si>
  <si>
    <t>Reduce C by 1% in 2025 Reduce C by 11% in 2028</t>
  </si>
  <si>
    <t xml:space="preserve">Recent average fishing mortality is F = </t>
  </si>
  <si>
    <t xml:space="preserve">Recent average catch is C = </t>
  </si>
  <si>
    <t xml:space="preserve">Expected catch in 2025-2034 is E[C] = </t>
  </si>
  <si>
    <t>Reduce C by 7% in 2025 Reduce C by 10% in 2028</t>
  </si>
  <si>
    <t>Reduce C by 10% in 2025 Catch release of age-1 fish</t>
  </si>
  <si>
    <t>Catch=2400 mt in 2025-2027 &amp; Catch=2200 mt in 2028-2031 &amp; Catch=2100 mt in 2032-2034</t>
  </si>
  <si>
    <t>Reduce C by 1% in 2025 Reduce C by 8% in 2028 Reduce C by 5% in 2031</t>
  </si>
  <si>
    <t>Year with at least 60% chance of rebuilding.</t>
  </si>
  <si>
    <t>2025_MLS_scenario1.inp</t>
  </si>
  <si>
    <t>Mar</t>
  </si>
  <si>
    <t>2025_MLS_scenario1</t>
  </si>
  <si>
    <t>2025_MLS_scenario2.inp</t>
  </si>
  <si>
    <t>2025_MLS_scenario2</t>
  </si>
  <si>
    <t>2025_MLS_scenario3.inp</t>
  </si>
  <si>
    <t>2025_MLS_scenario3</t>
  </si>
  <si>
    <t>Scenario 1. No Carryover Catch</t>
  </si>
  <si>
    <t>Scenario 2. Carryover Catch in 2025</t>
  </si>
  <si>
    <t>Scenario 3. Carryover Catch in 2025-2026</t>
  </si>
  <si>
    <t>Year with less than a 50% chance of overfishing.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</si>
</sst>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%"/>
  </numFmts>
  <fonts count="9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theme="1"/>
      <name val="Times New Roman"/>
      <family val="1"/>
    </font>
    <font>
      <sz val="14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6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215">
    <xf numFmtId="0" fontId="0" fillId="0" borderId="0" xfId="0"/>
    <xf numFmtId="16" fontId="0" fillId="0" borderId="0" xfId="0" applyNumberFormat="1"/>
    <xf numFmtId="9" fontId="0" fillId="0" borderId="0" xfId="0" applyNumberFormat="1"/>
    <xf numFmtId="20" fontId="0" fillId="0" borderId="0" xfId="0" applyNumberFormat="1"/>
    <xf numFmtId="0" fontId="2" fillId="0" borderId="0" xfId="0" applyFont="1"/>
    <xf numFmtId="0" fontId="1" fillId="0" borderId="0" xfId="0" applyFont="1"/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  <xf numFmtId="1" fontId="4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164" fontId="0" fillId="0" borderId="0" xfId="0" applyNumberFormat="1"/>
    <xf numFmtId="0" fontId="0" fillId="0" borderId="0" xfId="0" applyBorder="1"/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1" fontId="4" fillId="0" borderId="0" xfId="0" applyNumberFormat="1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" fontId="5" fillId="0" borderId="4" xfId="0" applyNumberFormat="1" applyFont="1" applyBorder="1" applyAlignment="1">
      <alignment horizontal="center"/>
    </xf>
    <xf numFmtId="1" fontId="5" fillId="0" borderId="5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  <xf numFmtId="1" fontId="5" fillId="0" borderId="6" xfId="0" applyNumberFormat="1" applyFont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164" fontId="5" fillId="0" borderId="0" xfId="0" applyNumberFormat="1" applyFont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1" fontId="5" fillId="0" borderId="0" xfId="0" applyNumberFormat="1" applyFont="1" applyBorder="1" applyAlignment="1">
      <alignment horizontal="center"/>
    </xf>
    <xf numFmtId="2" fontId="5" fillId="0" borderId="0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0" fontId="5" fillId="0" borderId="0" xfId="0" applyFont="1"/>
    <xf numFmtId="1" fontId="5" fillId="0" borderId="2" xfId="0" applyNumberFormat="1" applyFont="1" applyBorder="1" applyAlignment="1">
      <alignment horizontal="center" vertical="center"/>
    </xf>
    <xf numFmtId="9" fontId="5" fillId="0" borderId="2" xfId="1" applyFont="1" applyBorder="1" applyAlignment="1">
      <alignment horizontal="center" vertical="center"/>
    </xf>
    <xf numFmtId="1" fontId="5" fillId="0" borderId="0" xfId="0" applyNumberFormat="1" applyFont="1" applyBorder="1" applyAlignment="1">
      <alignment horizontal="center" vertical="center"/>
    </xf>
    <xf numFmtId="0" fontId="0" fillId="2" borderId="0" xfId="0" applyFill="1" applyBorder="1"/>
    <xf numFmtId="0" fontId="5" fillId="0" borderId="0" xfId="0" applyFont="1" applyBorder="1" applyAlignment="1">
      <alignment horizontal="center" vertical="center" wrapText="1"/>
    </xf>
    <xf numFmtId="9" fontId="5" fillId="0" borderId="0" xfId="1" applyFont="1" applyBorder="1" applyAlignment="1">
      <alignment horizontal="center" vertical="center"/>
    </xf>
    <xf numFmtId="2" fontId="5" fillId="0" borderId="0" xfId="0" applyNumberFormat="1" applyFont="1" applyBorder="1" applyAlignment="1">
      <alignment horizontal="center" vertical="center"/>
    </xf>
    <xf numFmtId="0" fontId="2" fillId="0" borderId="0" xfId="0" applyFont="1" applyBorder="1"/>
    <xf numFmtId="0" fontId="1" fillId="0" borderId="0" xfId="0" applyFont="1" applyBorder="1"/>
    <xf numFmtId="0" fontId="0" fillId="0" borderId="0" xfId="0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2" fontId="5" fillId="0" borderId="2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2" xfId="0" applyFont="1" applyBorder="1" applyAlignment="1">
      <alignment horizontal="center"/>
    </xf>
    <xf numFmtId="0" fontId="3" fillId="0" borderId="0" xfId="0" applyFont="1" applyAlignment="1"/>
    <xf numFmtId="0" fontId="4" fillId="0" borderId="0" xfId="0" applyFont="1" applyAlignment="1">
      <alignment horizontal="left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1" fontId="5" fillId="0" borderId="12" xfId="0" applyNumberFormat="1" applyFont="1" applyBorder="1" applyAlignment="1">
      <alignment horizontal="center"/>
    </xf>
    <xf numFmtId="1" fontId="5" fillId="0" borderId="10" xfId="0" applyNumberFormat="1" applyFont="1" applyBorder="1" applyAlignment="1">
      <alignment horizontal="center"/>
    </xf>
    <xf numFmtId="2" fontId="5" fillId="0" borderId="12" xfId="0" applyNumberFormat="1" applyFont="1" applyBorder="1" applyAlignment="1">
      <alignment horizontal="center"/>
    </xf>
    <xf numFmtId="2" fontId="5" fillId="0" borderId="10" xfId="0" applyNumberFormat="1" applyFont="1" applyBorder="1" applyAlignment="1">
      <alignment horizontal="center"/>
    </xf>
    <xf numFmtId="2" fontId="5" fillId="0" borderId="12" xfId="0" applyNumberFormat="1" applyFont="1" applyBorder="1" applyAlignment="1">
      <alignment horizontal="center" vertical="center"/>
    </xf>
    <xf numFmtId="1" fontId="5" fillId="0" borderId="12" xfId="0" applyNumberFormat="1" applyFont="1" applyBorder="1" applyAlignment="1">
      <alignment horizontal="center" vertical="center"/>
    </xf>
    <xf numFmtId="0" fontId="0" fillId="0" borderId="0" xfId="0" applyFont="1" applyBorder="1"/>
    <xf numFmtId="0" fontId="5" fillId="2" borderId="11" xfId="0" applyFont="1" applyFill="1" applyBorder="1" applyAlignment="1">
      <alignment horizontal="center" vertical="center"/>
    </xf>
    <xf numFmtId="1" fontId="5" fillId="0" borderId="10" xfId="0" applyNumberFormat="1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1" fontId="5" fillId="0" borderId="8" xfId="0" applyNumberFormat="1" applyFont="1" applyBorder="1" applyAlignment="1">
      <alignment horizontal="center" vertical="center"/>
    </xf>
    <xf numFmtId="9" fontId="5" fillId="0" borderId="8" xfId="1" applyFont="1" applyBorder="1" applyAlignment="1">
      <alignment horizontal="center" vertical="center"/>
    </xf>
    <xf numFmtId="9" fontId="5" fillId="0" borderId="2" xfId="1" applyNumberFormat="1" applyFont="1" applyBorder="1" applyAlignment="1">
      <alignment horizontal="center" vertical="center"/>
    </xf>
    <xf numFmtId="2" fontId="5" fillId="0" borderId="10" xfId="0" applyNumberFormat="1" applyFont="1" applyBorder="1" applyAlignment="1">
      <alignment horizontal="center" vertical="center"/>
    </xf>
    <xf numFmtId="2" fontId="5" fillId="0" borderId="8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2" fontId="0" fillId="0" borderId="0" xfId="0" applyNumberFormat="1"/>
    <xf numFmtId="0" fontId="8" fillId="0" borderId="0" xfId="0" applyFont="1"/>
    <xf numFmtId="0" fontId="3" fillId="0" borderId="0" xfId="0" applyFont="1" applyAlignment="1">
      <alignment wrapText="1"/>
    </xf>
    <xf numFmtId="0" fontId="5" fillId="0" borderId="7" xfId="0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0" fontId="5" fillId="0" borderId="3" xfId="0" applyFont="1" applyBorder="1" applyAlignment="1">
      <alignment horizontal="center" wrapText="1"/>
    </xf>
    <xf numFmtId="0" fontId="5" fillId="0" borderId="8" xfId="0" applyFont="1" applyBorder="1" applyAlignment="1">
      <alignment horizontal="center" wrapText="1"/>
    </xf>
    <xf numFmtId="0" fontId="3" fillId="0" borderId="4" xfId="0" applyFont="1" applyBorder="1" applyAlignment="1">
      <alignment horizontal="center" vertical="center" wrapText="1"/>
    </xf>
    <xf numFmtId="166" fontId="3" fillId="0" borderId="13" xfId="1" applyNumberFormat="1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166" fontId="3" fillId="0" borderId="15" xfId="0" applyNumberFormat="1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166" fontId="3" fillId="0" borderId="11" xfId="1" applyNumberFormat="1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166" fontId="3" fillId="0" borderId="0" xfId="1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166" fontId="3" fillId="0" borderId="9" xfId="1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3" xfId="0" applyFont="1" applyBorder="1" applyAlignment="1">
      <alignment horizontal="center" vertical="center" wrapText="1"/>
    </xf>
    <xf numFmtId="166" fontId="3" fillId="0" borderId="7" xfId="1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166" fontId="3" fillId="0" borderId="8" xfId="0" applyNumberFormat="1" applyFont="1" applyBorder="1" applyAlignment="1">
      <alignment horizontal="center" vertical="center" wrapText="1"/>
    </xf>
    <xf numFmtId="166" fontId="3" fillId="0" borderId="2" xfId="1" applyNumberFormat="1" applyFont="1" applyBorder="1" applyAlignment="1">
      <alignment horizontal="center" vertical="center" wrapText="1"/>
    </xf>
    <xf numFmtId="166" fontId="3" fillId="0" borderId="14" xfId="1" applyNumberFormat="1" applyFont="1" applyBorder="1" applyAlignment="1">
      <alignment horizontal="center" vertical="center" wrapText="1"/>
    </xf>
    <xf numFmtId="1" fontId="5" fillId="0" borderId="13" xfId="0" applyNumberFormat="1" applyFont="1" applyBorder="1" applyAlignment="1">
      <alignment horizontal="center" vertical="center"/>
    </xf>
    <xf numFmtId="1" fontId="5" fillId="0" borderId="14" xfId="0" applyNumberFormat="1" applyFont="1" applyBorder="1" applyAlignment="1">
      <alignment horizontal="center" vertical="center"/>
    </xf>
    <xf numFmtId="1" fontId="5" fillId="0" borderId="15" xfId="0" applyNumberFormat="1" applyFont="1" applyBorder="1" applyAlignment="1">
      <alignment horizontal="center" vertical="center"/>
    </xf>
    <xf numFmtId="1" fontId="5" fillId="0" borderId="11" xfId="0" applyNumberFormat="1" applyFont="1" applyBorder="1" applyAlignment="1">
      <alignment horizontal="center" vertical="center"/>
    </xf>
    <xf numFmtId="1" fontId="5" fillId="0" borderId="7" xfId="0" applyNumberFormat="1" applyFont="1" applyBorder="1" applyAlignment="1">
      <alignment horizontal="center" vertical="center"/>
    </xf>
    <xf numFmtId="9" fontId="5" fillId="0" borderId="7" xfId="1" applyFont="1" applyBorder="1" applyAlignment="1">
      <alignment horizontal="center" vertical="center"/>
    </xf>
    <xf numFmtId="9" fontId="5" fillId="0" borderId="7" xfId="1" applyNumberFormat="1" applyFont="1" applyBorder="1" applyAlignment="1">
      <alignment horizontal="center" vertical="center"/>
    </xf>
    <xf numFmtId="9" fontId="5" fillId="0" borderId="8" xfId="1" applyNumberFormat="1" applyFont="1" applyBorder="1" applyAlignment="1">
      <alignment horizontal="center" vertical="center"/>
    </xf>
    <xf numFmtId="2" fontId="5" fillId="0" borderId="13" xfId="0" applyNumberFormat="1" applyFont="1" applyBorder="1" applyAlignment="1">
      <alignment horizontal="center" vertical="center"/>
    </xf>
    <xf numFmtId="2" fontId="5" fillId="0" borderId="14" xfId="0" applyNumberFormat="1" applyFont="1" applyBorder="1" applyAlignment="1">
      <alignment horizontal="center" vertical="center"/>
    </xf>
    <xf numFmtId="2" fontId="5" fillId="0" borderId="15" xfId="0" applyNumberFormat="1" applyFont="1" applyBorder="1" applyAlignment="1">
      <alignment horizontal="center" vertical="center"/>
    </xf>
    <xf numFmtId="2" fontId="5" fillId="0" borderId="11" xfId="0" applyNumberFormat="1" applyFont="1" applyBorder="1" applyAlignment="1">
      <alignment horizontal="center" vertical="center"/>
    </xf>
    <xf numFmtId="2" fontId="5" fillId="0" borderId="7" xfId="0" applyNumberFormat="1" applyFont="1" applyBorder="1" applyAlignment="1">
      <alignment horizontal="center" vertical="center"/>
    </xf>
    <xf numFmtId="2" fontId="5" fillId="3" borderId="11" xfId="0" applyNumberFormat="1" applyFont="1" applyFill="1" applyBorder="1" applyAlignment="1">
      <alignment horizontal="center" vertical="center"/>
    </xf>
    <xf numFmtId="2" fontId="5" fillId="3" borderId="10" xfId="0" applyNumberFormat="1" applyFont="1" applyFill="1" applyBorder="1" applyAlignment="1">
      <alignment horizontal="center" vertical="center"/>
    </xf>
    <xf numFmtId="2" fontId="5" fillId="3" borderId="12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4" fillId="2" borderId="0" xfId="0" applyFont="1" applyFill="1" applyAlignment="1">
      <alignment horizontal="center"/>
    </xf>
    <xf numFmtId="0" fontId="0" fillId="2" borderId="0" xfId="0" applyFill="1"/>
    <xf numFmtId="0" fontId="4" fillId="2" borderId="0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/>
    </xf>
    <xf numFmtId="0" fontId="4" fillId="2" borderId="0" xfId="0" applyFont="1" applyFill="1"/>
    <xf numFmtId="0" fontId="5" fillId="2" borderId="2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/>
    </xf>
    <xf numFmtId="2" fontId="5" fillId="2" borderId="0" xfId="0" applyNumberFormat="1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  <xf numFmtId="166" fontId="3" fillId="2" borderId="15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6" fontId="3" fillId="2" borderId="7" xfId="1" applyNumberFormat="1" applyFont="1" applyFill="1" applyBorder="1" applyAlignment="1">
      <alignment horizontal="center" vertical="center" wrapText="1"/>
    </xf>
    <xf numFmtId="166" fontId="3" fillId="2" borderId="8" xfId="1" applyNumberFormat="1" applyFont="1" applyFill="1" applyBorder="1" applyAlignment="1">
      <alignment horizontal="center" vertical="center" wrapText="1"/>
    </xf>
    <xf numFmtId="1" fontId="0" fillId="0" borderId="0" xfId="0" applyNumberFormat="1" applyBorder="1" applyAlignment="1">
      <alignment horizontal="center"/>
    </xf>
    <xf numFmtId="1" fontId="0" fillId="0" borderId="0" xfId="0" applyNumberFormat="1" applyBorder="1"/>
    <xf numFmtId="165" fontId="0" fillId="0" borderId="0" xfId="0" applyNumberFormat="1" applyBorder="1"/>
    <xf numFmtId="164" fontId="0" fillId="0" borderId="0" xfId="0" applyNumberFormat="1" applyBorder="1" applyAlignment="1">
      <alignment horizontal="center"/>
    </xf>
    <xf numFmtId="164" fontId="0" fillId="0" borderId="0" xfId="0" applyNumberFormat="1" applyBorder="1"/>
    <xf numFmtId="0" fontId="4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7" fillId="2" borderId="7" xfId="0" applyFont="1" applyFill="1" applyBorder="1" applyAlignment="1">
      <alignment horizontal="left"/>
    </xf>
    <xf numFmtId="2" fontId="4" fillId="0" borderId="2" xfId="0" applyNumberFormat="1" applyFont="1" applyBorder="1" applyAlignment="1">
      <alignment horizontal="center"/>
    </xf>
    <xf numFmtId="2" fontId="4" fillId="0" borderId="8" xfId="0" applyNumberFormat="1" applyFont="1" applyBorder="1" applyAlignment="1">
      <alignment horizontal="center"/>
    </xf>
    <xf numFmtId="0" fontId="5" fillId="0" borderId="0" xfId="0" applyFont="1" applyBorder="1" applyAlignment="1">
      <alignment horizontal="center" vertical="center"/>
    </xf>
    <xf numFmtId="2" fontId="0" fillId="0" borderId="0" xfId="0" applyNumberFormat="1" applyBorder="1"/>
    <xf numFmtId="0" fontId="5" fillId="2" borderId="9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 wrapText="1"/>
    </xf>
    <xf numFmtId="0" fontId="5" fillId="2" borderId="8" xfId="0" applyFont="1" applyFill="1" applyBorder="1" applyAlignment="1">
      <alignment horizontal="center" wrapText="1"/>
    </xf>
    <xf numFmtId="0" fontId="5" fillId="2" borderId="3" xfId="0" applyFont="1" applyFill="1" applyBorder="1" applyAlignment="1">
      <alignment horizontal="center" wrapText="1"/>
    </xf>
    <xf numFmtId="2" fontId="5" fillId="0" borderId="4" xfId="0" applyNumberFormat="1" applyFont="1" applyBorder="1" applyAlignment="1">
      <alignment horizontal="center" vertical="center"/>
    </xf>
    <xf numFmtId="2" fontId="5" fillId="3" borderId="6" xfId="0" applyNumberFormat="1" applyFont="1" applyFill="1" applyBorder="1" applyAlignment="1">
      <alignment horizontal="center" vertical="center"/>
    </xf>
    <xf numFmtId="2" fontId="5" fillId="3" borderId="5" xfId="0" applyNumberFormat="1" applyFont="1" applyFill="1" applyBorder="1" applyAlignment="1">
      <alignment horizontal="center" vertical="center"/>
    </xf>
    <xf numFmtId="2" fontId="5" fillId="3" borderId="9" xfId="0" applyNumberFormat="1" applyFont="1" applyFill="1" applyBorder="1" applyAlignment="1">
      <alignment horizontal="center" vertical="center"/>
    </xf>
    <xf numFmtId="2" fontId="5" fillId="0" borderId="11" xfId="0" applyNumberFormat="1" applyFont="1" applyFill="1" applyBorder="1" applyAlignment="1">
      <alignment horizontal="center" vertical="center"/>
    </xf>
    <xf numFmtId="2" fontId="5" fillId="0" borderId="5" xfId="0" applyNumberFormat="1" applyFont="1" applyFill="1" applyBorder="1" applyAlignment="1">
      <alignment horizontal="center" vertical="center"/>
    </xf>
    <xf numFmtId="2" fontId="5" fillId="0" borderId="12" xfId="0" applyNumberFormat="1" applyFont="1" applyFill="1" applyBorder="1" applyAlignment="1">
      <alignment horizontal="center" vertical="center"/>
    </xf>
    <xf numFmtId="2" fontId="5" fillId="0" borderId="9" xfId="0" applyNumberFormat="1" applyFont="1" applyFill="1" applyBorder="1" applyAlignment="1">
      <alignment horizontal="center" vertical="center"/>
    </xf>
    <xf numFmtId="2" fontId="5" fillId="0" borderId="6" xfId="0" applyNumberFormat="1" applyFont="1" applyFill="1" applyBorder="1" applyAlignment="1">
      <alignment horizontal="center" vertical="center"/>
    </xf>
    <xf numFmtId="2" fontId="5" fillId="0" borderId="10" xfId="0" applyNumberFormat="1" applyFont="1" applyFill="1" applyBorder="1" applyAlignment="1">
      <alignment horizontal="center" vertical="center"/>
    </xf>
    <xf numFmtId="2" fontId="5" fillId="3" borderId="13" xfId="0" applyNumberFormat="1" applyFont="1" applyFill="1" applyBorder="1" applyAlignment="1">
      <alignment horizontal="center" vertical="center"/>
    </xf>
    <xf numFmtId="2" fontId="5" fillId="3" borderId="4" xfId="0" applyNumberFormat="1" applyFont="1" applyFill="1" applyBorder="1" applyAlignment="1">
      <alignment horizontal="center" vertical="center"/>
    </xf>
    <xf numFmtId="2" fontId="5" fillId="3" borderId="15" xfId="0" applyNumberFormat="1" applyFont="1" applyFill="1" applyBorder="1" applyAlignment="1">
      <alignment horizontal="center" vertical="center"/>
    </xf>
    <xf numFmtId="0" fontId="4" fillId="3" borderId="7" xfId="0" applyFont="1" applyFill="1" applyBorder="1"/>
    <xf numFmtId="0" fontId="2" fillId="0" borderId="0" xfId="0" applyFont="1" applyFill="1"/>
    <xf numFmtId="0" fontId="4" fillId="0" borderId="0" xfId="0" applyFont="1" applyFill="1"/>
    <xf numFmtId="0" fontId="5" fillId="0" borderId="9" xfId="0" applyFont="1" applyFill="1" applyBorder="1" applyAlignment="1">
      <alignment horizontal="center"/>
    </xf>
    <xf numFmtId="0" fontId="5" fillId="0" borderId="7" xfId="0" applyFont="1" applyFill="1" applyBorder="1" applyAlignment="1">
      <alignment horizontal="center" wrapText="1"/>
    </xf>
    <xf numFmtId="0" fontId="5" fillId="0" borderId="3" xfId="0" applyFont="1" applyFill="1" applyBorder="1" applyAlignment="1">
      <alignment horizontal="center" wrapText="1"/>
    </xf>
    <xf numFmtId="0" fontId="5" fillId="0" borderId="8" xfId="0" applyFont="1" applyFill="1" applyBorder="1" applyAlignment="1">
      <alignment horizontal="center" wrapText="1"/>
    </xf>
    <xf numFmtId="0" fontId="4" fillId="0" borderId="0" xfId="0" applyFont="1" applyFill="1" applyAlignment="1">
      <alignment vertical="center"/>
    </xf>
    <xf numFmtId="0" fontId="5" fillId="0" borderId="11" xfId="0" applyFont="1" applyFill="1" applyBorder="1" applyAlignment="1">
      <alignment horizontal="center" vertical="center"/>
    </xf>
    <xf numFmtId="2" fontId="5" fillId="0" borderId="13" xfId="0" applyNumberFormat="1" applyFont="1" applyFill="1" applyBorder="1" applyAlignment="1">
      <alignment horizontal="center" vertical="center"/>
    </xf>
    <xf numFmtId="2" fontId="5" fillId="0" borderId="4" xfId="0" applyNumberFormat="1" applyFont="1" applyFill="1" applyBorder="1" applyAlignment="1">
      <alignment horizontal="center" vertical="center"/>
    </xf>
    <xf numFmtId="2" fontId="5" fillId="0" borderId="15" xfId="0" applyNumberFormat="1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left"/>
    </xf>
    <xf numFmtId="2" fontId="4" fillId="0" borderId="0" xfId="0" applyNumberFormat="1" applyFont="1" applyFill="1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 applyBorder="1"/>
    <xf numFmtId="0" fontId="7" fillId="0" borderId="0" xfId="0" applyFont="1" applyFill="1" applyBorder="1" applyAlignment="1">
      <alignment horizontal="left"/>
    </xf>
    <xf numFmtId="2" fontId="4" fillId="0" borderId="0" xfId="0" applyNumberFormat="1" applyFont="1" applyFill="1" applyBorder="1" applyAlignment="1">
      <alignment horizontal="center"/>
    </xf>
    <xf numFmtId="0" fontId="5" fillId="0" borderId="13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8" xfId="0" applyFont="1" applyFill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8" fillId="2" borderId="0" xfId="0" applyFont="1" applyFill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8" fillId="0" borderId="7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7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8" fillId="0" borderId="8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6"/>
  <sheetViews>
    <sheetView zoomScale="50" zoomScaleNormal="50" workbookViewId="0">
      <selection activeCell="B3" sqref="B3:J3"/>
    </sheetView>
  </sheetViews>
  <sheetFormatPr defaultRowHeight="14.6" x14ac:dyDescent="0.4"/>
  <cols>
    <col min="2" max="21" width="10.61328125" customWidth="1"/>
    <col min="22" max="30" width="10.61328125" style="15" customWidth="1"/>
    <col min="32" max="32" width="9.23046875" style="15"/>
    <col min="33" max="40" width="9.4609375" style="15" bestFit="1" customWidth="1"/>
    <col min="41" max="42" width="9.23046875" style="15"/>
    <col min="43" max="50" width="9.4609375" style="15" bestFit="1" customWidth="1"/>
    <col min="51" max="52" width="9.23046875" style="15"/>
    <col min="53" max="59" width="9.4609375" style="15" bestFit="1" customWidth="1"/>
    <col min="60" max="60" width="10.07421875" style="15" customWidth="1"/>
    <col min="61" max="62" width="9.23046875" style="15"/>
    <col min="63" max="70" width="9.4609375" style="15" bestFit="1" customWidth="1"/>
    <col min="71" max="72" width="9.23046875" style="15"/>
    <col min="73" max="76" width="9.4609375" style="15" bestFit="1" customWidth="1"/>
    <col min="77" max="77" width="9.4609375" style="15" customWidth="1"/>
    <col min="78" max="80" width="9.4609375" style="15" bestFit="1" customWidth="1"/>
    <col min="81" max="82" width="9.23046875" style="15"/>
    <col min="83" max="85" width="9.4609375" style="15" bestFit="1" customWidth="1"/>
    <col min="86" max="86" width="9.4609375" style="15" customWidth="1"/>
    <col min="87" max="90" width="9.4609375" style="15" bestFit="1" customWidth="1"/>
    <col min="91" max="92" width="9.23046875" style="15"/>
    <col min="93" max="95" width="9.4609375" style="15" bestFit="1" customWidth="1"/>
    <col min="96" max="96" width="9.4609375" style="15" customWidth="1"/>
    <col min="97" max="100" width="9.4609375" style="15" bestFit="1" customWidth="1"/>
    <col min="101" max="16384" width="9.23046875" style="15"/>
  </cols>
  <sheetData>
    <row r="1" spans="1:100" ht="26.15" x14ac:dyDescent="0.7">
      <c r="A1" s="4"/>
      <c r="B1" s="4" t="s">
        <v>105</v>
      </c>
    </row>
    <row r="2" spans="1:100" ht="15" thickBot="1" x14ac:dyDescent="0.45"/>
    <row r="3" spans="1:100" s="38" customFormat="1" ht="33.9" customHeight="1" thickBot="1" x14ac:dyDescent="0.55000000000000004">
      <c r="A3" s="128"/>
      <c r="B3" s="199" t="s">
        <v>166</v>
      </c>
      <c r="C3" s="200"/>
      <c r="D3" s="200"/>
      <c r="E3" s="200"/>
      <c r="F3" s="200"/>
      <c r="G3" s="200"/>
      <c r="H3" s="200"/>
      <c r="I3" s="200"/>
      <c r="J3" s="201"/>
      <c r="K3" s="129"/>
      <c r="L3" s="199" t="s">
        <v>167</v>
      </c>
      <c r="M3" s="200"/>
      <c r="N3" s="200"/>
      <c r="O3" s="200"/>
      <c r="P3" s="200"/>
      <c r="Q3" s="200"/>
      <c r="R3" s="200"/>
      <c r="S3" s="200"/>
      <c r="T3" s="201"/>
      <c r="U3" s="133"/>
      <c r="V3" s="199" t="s">
        <v>168</v>
      </c>
      <c r="W3" s="200"/>
      <c r="X3" s="200"/>
      <c r="Y3" s="200"/>
      <c r="Z3" s="200"/>
      <c r="AA3" s="200"/>
      <c r="AB3" s="200"/>
      <c r="AC3" s="200"/>
      <c r="AD3" s="201"/>
      <c r="AE3" s="128"/>
      <c r="AF3" s="205"/>
      <c r="AG3" s="205"/>
      <c r="AH3" s="205"/>
      <c r="AI3" s="205"/>
      <c r="AJ3" s="205"/>
      <c r="AK3" s="205"/>
      <c r="AL3" s="205"/>
      <c r="AM3" s="205"/>
      <c r="AN3" s="205"/>
      <c r="AP3" s="205"/>
      <c r="AQ3" s="205"/>
      <c r="AR3" s="205"/>
      <c r="AS3" s="205"/>
      <c r="AT3" s="205"/>
      <c r="AU3" s="205"/>
      <c r="AV3" s="205"/>
      <c r="AW3" s="205"/>
      <c r="AX3" s="205"/>
      <c r="AZ3" s="205"/>
      <c r="BA3" s="205"/>
      <c r="BB3" s="205"/>
      <c r="BC3" s="205"/>
      <c r="BD3" s="205"/>
      <c r="BE3" s="205"/>
      <c r="BF3" s="205"/>
      <c r="BG3" s="205"/>
      <c r="BH3" s="205"/>
      <c r="BJ3" s="205"/>
      <c r="BK3" s="205"/>
      <c r="BL3" s="205"/>
      <c r="BM3" s="205"/>
      <c r="BN3" s="205"/>
      <c r="BO3" s="205"/>
      <c r="BP3" s="205"/>
      <c r="BQ3" s="205"/>
      <c r="BR3" s="205"/>
      <c r="BT3" s="205"/>
      <c r="BU3" s="205"/>
      <c r="BV3" s="205"/>
      <c r="BW3" s="205"/>
      <c r="BX3" s="205"/>
      <c r="BY3" s="205"/>
      <c r="BZ3" s="205"/>
      <c r="CA3" s="205"/>
      <c r="CB3" s="205"/>
      <c r="CD3" s="205"/>
      <c r="CE3" s="205"/>
      <c r="CF3" s="205"/>
      <c r="CG3" s="205"/>
      <c r="CH3" s="205"/>
      <c r="CI3" s="205"/>
      <c r="CJ3" s="205"/>
      <c r="CK3" s="205"/>
      <c r="CL3" s="205"/>
      <c r="CN3" s="205"/>
      <c r="CO3" s="205"/>
      <c r="CP3" s="205"/>
      <c r="CQ3" s="205"/>
      <c r="CR3" s="205"/>
      <c r="CS3" s="205"/>
      <c r="CT3" s="205"/>
      <c r="CU3" s="205"/>
      <c r="CV3" s="205"/>
    </row>
    <row r="4" spans="1:100" s="42" customFormat="1" ht="21.9" customHeight="1" thickBot="1" x14ac:dyDescent="0.75">
      <c r="A4" s="4"/>
      <c r="B4" s="202" t="s">
        <v>74</v>
      </c>
      <c r="C4" s="203"/>
      <c r="D4" s="203"/>
      <c r="E4" s="203"/>
      <c r="F4" s="203"/>
      <c r="G4" s="203"/>
      <c r="H4" s="203"/>
      <c r="I4" s="203"/>
      <c r="J4" s="204"/>
      <c r="K4" s="20"/>
      <c r="L4" s="202" t="s">
        <v>74</v>
      </c>
      <c r="M4" s="203"/>
      <c r="N4" s="203"/>
      <c r="O4" s="203"/>
      <c r="P4" s="203"/>
      <c r="Q4" s="203"/>
      <c r="R4" s="203"/>
      <c r="S4" s="203"/>
      <c r="T4" s="204"/>
      <c r="U4" s="8"/>
      <c r="V4" s="202" t="s">
        <v>74</v>
      </c>
      <c r="W4" s="203"/>
      <c r="X4" s="203"/>
      <c r="Y4" s="203"/>
      <c r="Z4" s="203"/>
      <c r="AA4" s="203"/>
      <c r="AB4" s="203"/>
      <c r="AC4" s="203"/>
      <c r="AD4" s="204"/>
      <c r="AE4" s="4"/>
      <c r="AF4" s="206"/>
      <c r="AG4" s="206"/>
      <c r="AH4" s="206"/>
      <c r="AI4" s="206"/>
      <c r="AJ4" s="206"/>
      <c r="AK4" s="206"/>
      <c r="AL4" s="206"/>
      <c r="AM4" s="206"/>
      <c r="AN4" s="206"/>
      <c r="AP4" s="206"/>
      <c r="AQ4" s="206"/>
      <c r="AR4" s="206"/>
      <c r="AS4" s="206"/>
      <c r="AT4" s="206"/>
      <c r="AU4" s="206"/>
      <c r="AV4" s="206"/>
      <c r="AW4" s="206"/>
      <c r="AX4" s="206"/>
      <c r="AZ4" s="206"/>
      <c r="BA4" s="206"/>
      <c r="BB4" s="206"/>
      <c r="BC4" s="206"/>
      <c r="BD4" s="206"/>
      <c r="BE4" s="206"/>
      <c r="BF4" s="206"/>
      <c r="BG4" s="206"/>
      <c r="BH4" s="206"/>
      <c r="BJ4" s="206"/>
      <c r="BK4" s="206"/>
      <c r="BL4" s="206"/>
      <c r="BM4" s="206"/>
      <c r="BN4" s="206"/>
      <c r="BO4" s="206"/>
      <c r="BP4" s="206"/>
      <c r="BQ4" s="206"/>
      <c r="BR4" s="206"/>
      <c r="BT4" s="206"/>
      <c r="BU4" s="206"/>
      <c r="BV4" s="206"/>
      <c r="BW4" s="206"/>
      <c r="BX4" s="206"/>
      <c r="BY4" s="206"/>
      <c r="BZ4" s="206"/>
      <c r="CA4" s="206"/>
      <c r="CB4" s="206"/>
      <c r="CD4" s="207"/>
      <c r="CE4" s="207"/>
      <c r="CF4" s="207"/>
      <c r="CG4" s="207"/>
      <c r="CH4" s="207"/>
      <c r="CI4" s="207"/>
      <c r="CJ4" s="207"/>
      <c r="CK4" s="207"/>
      <c r="CL4" s="207"/>
      <c r="CN4" s="207"/>
      <c r="CO4" s="207"/>
      <c r="CP4" s="207"/>
      <c r="CQ4" s="207"/>
      <c r="CR4" s="207"/>
      <c r="CS4" s="207"/>
      <c r="CT4" s="207"/>
      <c r="CU4" s="207"/>
      <c r="CV4" s="207"/>
    </row>
    <row r="5" spans="1:100" ht="18.45" thickBot="1" x14ac:dyDescent="0.5">
      <c r="B5" s="53" t="s">
        <v>22</v>
      </c>
      <c r="C5" s="21" t="s">
        <v>93</v>
      </c>
      <c r="D5" s="21" t="s">
        <v>71</v>
      </c>
      <c r="E5" s="21" t="s">
        <v>89</v>
      </c>
      <c r="F5" s="22" t="s">
        <v>91</v>
      </c>
      <c r="G5" s="21" t="s">
        <v>70</v>
      </c>
      <c r="H5" s="21" t="s">
        <v>90</v>
      </c>
      <c r="I5" s="21" t="s">
        <v>72</v>
      </c>
      <c r="J5" s="54" t="s">
        <v>92</v>
      </c>
      <c r="K5" s="17"/>
      <c r="L5" s="53" t="s">
        <v>22</v>
      </c>
      <c r="M5" s="21" t="s">
        <v>93</v>
      </c>
      <c r="N5" s="21" t="s">
        <v>71</v>
      </c>
      <c r="O5" s="21" t="s">
        <v>89</v>
      </c>
      <c r="P5" s="22" t="s">
        <v>91</v>
      </c>
      <c r="Q5" s="21" t="s">
        <v>70</v>
      </c>
      <c r="R5" s="21" t="s">
        <v>90</v>
      </c>
      <c r="S5" s="21" t="s">
        <v>72</v>
      </c>
      <c r="T5" s="54" t="s">
        <v>92</v>
      </c>
      <c r="U5" s="8"/>
      <c r="V5" s="53" t="s">
        <v>22</v>
      </c>
      <c r="W5" s="21" t="s">
        <v>93</v>
      </c>
      <c r="X5" s="21" t="s">
        <v>71</v>
      </c>
      <c r="Y5" s="21" t="s">
        <v>89</v>
      </c>
      <c r="Z5" s="22" t="s">
        <v>91</v>
      </c>
      <c r="AA5" s="21" t="s">
        <v>70</v>
      </c>
      <c r="AB5" s="21" t="s">
        <v>90</v>
      </c>
      <c r="AC5" s="21" t="s">
        <v>72</v>
      </c>
      <c r="AD5" s="54" t="s">
        <v>92</v>
      </c>
      <c r="AF5" s="160"/>
      <c r="AG5" s="160"/>
      <c r="AH5" s="160"/>
      <c r="AI5" s="160"/>
      <c r="AJ5" s="160"/>
      <c r="AK5" s="160"/>
      <c r="AL5" s="160"/>
      <c r="AM5" s="160"/>
      <c r="AN5" s="160"/>
      <c r="AP5" s="160"/>
      <c r="AQ5" s="160"/>
      <c r="AR5" s="160"/>
      <c r="AS5" s="160"/>
      <c r="AT5" s="160"/>
      <c r="AU5" s="160"/>
      <c r="AV5" s="160"/>
      <c r="AW5" s="160"/>
      <c r="AX5" s="160"/>
      <c r="AZ5" s="160"/>
      <c r="BA5" s="160"/>
      <c r="BB5" s="160"/>
      <c r="BC5" s="160"/>
      <c r="BD5" s="160"/>
      <c r="BE5" s="160"/>
      <c r="BF5" s="160"/>
      <c r="BG5" s="160"/>
      <c r="BH5" s="160"/>
      <c r="BJ5" s="160"/>
      <c r="BK5" s="160"/>
      <c r="BL5" s="160"/>
      <c r="BM5" s="160"/>
      <c r="BN5" s="160"/>
      <c r="BO5" s="160"/>
      <c r="BP5" s="160"/>
      <c r="BQ5" s="160"/>
      <c r="BR5" s="160"/>
      <c r="BT5" s="160"/>
      <c r="BU5" s="160"/>
      <c r="BV5" s="160"/>
      <c r="BW5" s="160"/>
      <c r="BX5" s="160"/>
      <c r="BY5" s="160"/>
      <c r="BZ5" s="160"/>
      <c r="CA5" s="160"/>
      <c r="CB5" s="160"/>
      <c r="CD5" s="160"/>
      <c r="CE5" s="160"/>
      <c r="CF5" s="160"/>
      <c r="CG5" s="160"/>
      <c r="CH5" s="160"/>
      <c r="CI5" s="160"/>
      <c r="CJ5" s="160"/>
      <c r="CK5" s="160"/>
      <c r="CL5" s="160"/>
      <c r="CN5" s="160"/>
      <c r="CO5" s="160"/>
      <c r="CP5" s="160"/>
      <c r="CQ5" s="160"/>
      <c r="CR5" s="160"/>
      <c r="CS5" s="160"/>
      <c r="CT5" s="160"/>
      <c r="CU5" s="160"/>
      <c r="CV5" s="160"/>
    </row>
    <row r="6" spans="1:100" ht="18" x14ac:dyDescent="0.45">
      <c r="B6" s="55">
        <v>2021</v>
      </c>
      <c r="C6" s="30">
        <v>1980.3</v>
      </c>
      <c r="D6" s="30">
        <v>2117.6</v>
      </c>
      <c r="E6" s="30">
        <v>2335.9</v>
      </c>
      <c r="F6" s="23">
        <v>2514.6999999999998</v>
      </c>
      <c r="G6" s="30">
        <v>2638.3999999999996</v>
      </c>
      <c r="H6" s="30">
        <v>3023.5</v>
      </c>
      <c r="I6" s="30">
        <v>3424.7000000000003</v>
      </c>
      <c r="J6" s="56">
        <v>3730.4</v>
      </c>
      <c r="K6" s="9"/>
      <c r="L6" s="55">
        <v>2021</v>
      </c>
      <c r="M6" s="30">
        <v>1980.5</v>
      </c>
      <c r="N6" s="30">
        <v>2117.6</v>
      </c>
      <c r="O6" s="30">
        <v>2333.1</v>
      </c>
      <c r="P6" s="24">
        <v>2512.1999999999998</v>
      </c>
      <c r="Q6" s="30">
        <v>2639.6000000000004</v>
      </c>
      <c r="R6" s="30">
        <v>3025.4</v>
      </c>
      <c r="S6" s="30">
        <v>3424.1000000000004</v>
      </c>
      <c r="T6" s="56">
        <v>3732</v>
      </c>
      <c r="U6" s="8"/>
      <c r="V6" s="55">
        <v>2021</v>
      </c>
      <c r="W6" s="30">
        <v>1977.4</v>
      </c>
      <c r="X6" s="30">
        <v>2116.5</v>
      </c>
      <c r="Y6" s="30">
        <v>2331.7999999999997</v>
      </c>
      <c r="Z6" s="23">
        <v>2514.3000000000002</v>
      </c>
      <c r="AA6" s="30">
        <v>2639.7</v>
      </c>
      <c r="AB6" s="30">
        <v>3021.3999999999996</v>
      </c>
      <c r="AC6" s="30">
        <v>3420.7999999999997</v>
      </c>
      <c r="AD6" s="56">
        <v>3726</v>
      </c>
      <c r="AF6" s="160"/>
      <c r="AG6" s="30"/>
      <c r="AH6" s="30"/>
      <c r="AI6" s="30"/>
      <c r="AJ6" s="30"/>
      <c r="AK6" s="30"/>
      <c r="AL6" s="30"/>
      <c r="AM6" s="30"/>
      <c r="AN6" s="30"/>
      <c r="AP6" s="160"/>
      <c r="AQ6" s="30"/>
      <c r="AR6" s="30"/>
      <c r="AS6" s="30"/>
      <c r="AT6" s="30"/>
      <c r="AU6" s="30"/>
      <c r="AV6" s="30"/>
      <c r="AW6" s="30"/>
      <c r="AX6" s="30"/>
      <c r="AZ6" s="160"/>
      <c r="BA6" s="30"/>
      <c r="BB6" s="30"/>
      <c r="BC6" s="30"/>
      <c r="BD6" s="30"/>
      <c r="BE6" s="30"/>
      <c r="BF6" s="30"/>
      <c r="BG6" s="30"/>
      <c r="BH6" s="30"/>
      <c r="BJ6" s="160"/>
      <c r="BK6" s="30"/>
      <c r="BL6" s="30"/>
      <c r="BM6" s="30"/>
      <c r="BN6" s="30"/>
      <c r="BO6" s="30"/>
      <c r="BP6" s="30"/>
      <c r="BQ6" s="30"/>
      <c r="BR6" s="30"/>
      <c r="BT6" s="160"/>
      <c r="BU6" s="30"/>
      <c r="BV6" s="30"/>
      <c r="BW6" s="30"/>
      <c r="BX6" s="30"/>
      <c r="BY6" s="30"/>
      <c r="BZ6" s="30"/>
      <c r="CA6" s="30"/>
      <c r="CB6" s="30"/>
      <c r="CD6" s="160"/>
      <c r="CE6" s="30"/>
      <c r="CF6" s="30"/>
      <c r="CG6" s="30"/>
      <c r="CH6" s="30"/>
      <c r="CI6" s="30"/>
      <c r="CJ6" s="30"/>
      <c r="CK6" s="30"/>
      <c r="CL6" s="30"/>
      <c r="CN6" s="160"/>
      <c r="CO6" s="30"/>
      <c r="CP6" s="30"/>
      <c r="CQ6" s="30"/>
      <c r="CR6" s="30"/>
      <c r="CS6" s="30"/>
      <c r="CT6" s="30"/>
      <c r="CU6" s="30"/>
      <c r="CV6" s="30"/>
    </row>
    <row r="7" spans="1:100" ht="18" x14ac:dyDescent="0.45">
      <c r="B7" s="55">
        <v>2022</v>
      </c>
      <c r="C7" s="30">
        <v>2807</v>
      </c>
      <c r="D7" s="30">
        <v>3037.5</v>
      </c>
      <c r="E7" s="30">
        <v>3480.4</v>
      </c>
      <c r="F7" s="24">
        <v>3793.4</v>
      </c>
      <c r="G7" s="30">
        <v>3972.9</v>
      </c>
      <c r="H7" s="30">
        <v>4518</v>
      </c>
      <c r="I7" s="30">
        <v>5197.8</v>
      </c>
      <c r="J7" s="56">
        <v>5634.5999999999995</v>
      </c>
      <c r="K7" s="9"/>
      <c r="L7" s="55">
        <v>2022</v>
      </c>
      <c r="M7" s="30">
        <v>2814.2</v>
      </c>
      <c r="N7" s="30">
        <v>3038.5</v>
      </c>
      <c r="O7" s="30">
        <v>3478.1</v>
      </c>
      <c r="P7" s="24">
        <v>3791.4</v>
      </c>
      <c r="Q7" s="30">
        <v>3972.4</v>
      </c>
      <c r="R7" s="30">
        <v>4514.5999999999995</v>
      </c>
      <c r="S7" s="30">
        <v>5205.2</v>
      </c>
      <c r="T7" s="56">
        <v>5643.9000000000005</v>
      </c>
      <c r="U7" s="8"/>
      <c r="V7" s="55">
        <v>2022</v>
      </c>
      <c r="W7" s="30">
        <v>2806.4</v>
      </c>
      <c r="X7" s="30">
        <v>3033.4</v>
      </c>
      <c r="Y7" s="30">
        <v>3477.1</v>
      </c>
      <c r="Z7" s="24">
        <v>3791.3</v>
      </c>
      <c r="AA7" s="30">
        <v>3975.2999999999997</v>
      </c>
      <c r="AB7" s="30">
        <v>4516.3999999999996</v>
      </c>
      <c r="AC7" s="30">
        <v>5193.5</v>
      </c>
      <c r="AD7" s="56">
        <v>5629.3</v>
      </c>
      <c r="AF7" s="160"/>
      <c r="AG7" s="30"/>
      <c r="AH7" s="30"/>
      <c r="AI7" s="30"/>
      <c r="AJ7" s="30"/>
      <c r="AK7" s="30"/>
      <c r="AL7" s="30"/>
      <c r="AM7" s="30"/>
      <c r="AN7" s="30"/>
      <c r="AP7" s="160"/>
      <c r="AQ7" s="30"/>
      <c r="AR7" s="30"/>
      <c r="AS7" s="30"/>
      <c r="AT7" s="30"/>
      <c r="AU7" s="30"/>
      <c r="AV7" s="30"/>
      <c r="AW7" s="30"/>
      <c r="AX7" s="30"/>
      <c r="AZ7" s="160"/>
      <c r="BA7" s="30"/>
      <c r="BB7" s="30"/>
      <c r="BC7" s="30"/>
      <c r="BD7" s="30"/>
      <c r="BE7" s="30"/>
      <c r="BF7" s="30"/>
      <c r="BG7" s="30"/>
      <c r="BH7" s="30"/>
      <c r="BJ7" s="160"/>
      <c r="BK7" s="30"/>
      <c r="BL7" s="30"/>
      <c r="BM7" s="30"/>
      <c r="BN7" s="30"/>
      <c r="BO7" s="30"/>
      <c r="BP7" s="30"/>
      <c r="BQ7" s="30"/>
      <c r="BR7" s="30"/>
      <c r="BT7" s="160"/>
      <c r="BU7" s="30"/>
      <c r="BV7" s="30"/>
      <c r="BW7" s="30"/>
      <c r="BX7" s="30"/>
      <c r="BY7" s="30"/>
      <c r="BZ7" s="30"/>
      <c r="CA7" s="30"/>
      <c r="CB7" s="30"/>
      <c r="CD7" s="160"/>
      <c r="CE7" s="30"/>
      <c r="CF7" s="30"/>
      <c r="CG7" s="30"/>
      <c r="CH7" s="30"/>
      <c r="CI7" s="30"/>
      <c r="CJ7" s="30"/>
      <c r="CK7" s="30"/>
      <c r="CL7" s="30"/>
      <c r="CN7" s="160"/>
      <c r="CO7" s="30"/>
      <c r="CP7" s="30"/>
      <c r="CQ7" s="30"/>
      <c r="CR7" s="30"/>
      <c r="CS7" s="30"/>
      <c r="CT7" s="30"/>
      <c r="CU7" s="30"/>
      <c r="CV7" s="30"/>
    </row>
    <row r="8" spans="1:100" ht="18" x14ac:dyDescent="0.45">
      <c r="B8" s="55">
        <v>2023</v>
      </c>
      <c r="C8" s="30">
        <v>3594.3999999999996</v>
      </c>
      <c r="D8" s="30">
        <v>3940.9</v>
      </c>
      <c r="E8" s="30">
        <v>4619.7999999999993</v>
      </c>
      <c r="F8" s="24">
        <v>5181.3</v>
      </c>
      <c r="G8" s="30">
        <v>5520.8</v>
      </c>
      <c r="H8" s="30">
        <v>6487.9</v>
      </c>
      <c r="I8" s="30">
        <v>7583.4000000000005</v>
      </c>
      <c r="J8" s="56">
        <v>8303.5</v>
      </c>
      <c r="K8" s="9"/>
      <c r="L8" s="55">
        <v>2023</v>
      </c>
      <c r="M8" s="30">
        <v>3594.1</v>
      </c>
      <c r="N8" s="30">
        <v>3943.4</v>
      </c>
      <c r="O8" s="30">
        <v>4628.3</v>
      </c>
      <c r="P8" s="24">
        <v>5177.7</v>
      </c>
      <c r="Q8" s="30">
        <v>5513.7</v>
      </c>
      <c r="R8" s="30">
        <v>6480.2</v>
      </c>
      <c r="S8" s="30">
        <v>7602.1</v>
      </c>
      <c r="T8" s="56">
        <v>8288.7000000000007</v>
      </c>
      <c r="U8" s="8"/>
      <c r="V8" s="55">
        <v>2023</v>
      </c>
      <c r="W8" s="30">
        <v>3583.6</v>
      </c>
      <c r="X8" s="30">
        <v>3934.6</v>
      </c>
      <c r="Y8" s="30">
        <v>4618.5999999999995</v>
      </c>
      <c r="Z8" s="24">
        <v>5179.7000000000007</v>
      </c>
      <c r="AA8" s="30">
        <v>5526.3</v>
      </c>
      <c r="AB8" s="30">
        <v>6486.3</v>
      </c>
      <c r="AC8" s="30">
        <v>7584.1</v>
      </c>
      <c r="AD8" s="56">
        <v>8299.6999999999989</v>
      </c>
      <c r="AF8" s="160"/>
      <c r="AG8" s="30"/>
      <c r="AH8" s="30"/>
      <c r="AI8" s="30"/>
      <c r="AJ8" s="30"/>
      <c r="AK8" s="30"/>
      <c r="AL8" s="30"/>
      <c r="AM8" s="30"/>
      <c r="AN8" s="30"/>
      <c r="AP8" s="160"/>
      <c r="AQ8" s="30"/>
      <c r="AR8" s="30"/>
      <c r="AS8" s="30"/>
      <c r="AT8" s="30"/>
      <c r="AU8" s="30"/>
      <c r="AV8" s="30"/>
      <c r="AW8" s="30"/>
      <c r="AX8" s="30"/>
      <c r="AZ8" s="160"/>
      <c r="BA8" s="30"/>
      <c r="BB8" s="30"/>
      <c r="BC8" s="30"/>
      <c r="BD8" s="30"/>
      <c r="BE8" s="30"/>
      <c r="BF8" s="30"/>
      <c r="BG8" s="30"/>
      <c r="BH8" s="30"/>
      <c r="BJ8" s="160"/>
      <c r="BK8" s="30"/>
      <c r="BL8" s="30"/>
      <c r="BM8" s="30"/>
      <c r="BN8" s="30"/>
      <c r="BO8" s="30"/>
      <c r="BP8" s="30"/>
      <c r="BQ8" s="30"/>
      <c r="BR8" s="30"/>
      <c r="BT8" s="160"/>
      <c r="BU8" s="30"/>
      <c r="BV8" s="30"/>
      <c r="BW8" s="30"/>
      <c r="BX8" s="30"/>
      <c r="BY8" s="30"/>
      <c r="BZ8" s="30"/>
      <c r="CA8" s="30"/>
      <c r="CB8" s="30"/>
      <c r="CD8" s="160"/>
      <c r="CE8" s="30"/>
      <c r="CF8" s="30"/>
      <c r="CG8" s="30"/>
      <c r="CH8" s="30"/>
      <c r="CI8" s="30"/>
      <c r="CJ8" s="30"/>
      <c r="CK8" s="30"/>
      <c r="CL8" s="30"/>
      <c r="CN8" s="160"/>
      <c r="CO8" s="30"/>
      <c r="CP8" s="30"/>
      <c r="CQ8" s="30"/>
      <c r="CR8" s="30"/>
      <c r="CS8" s="30"/>
      <c r="CT8" s="30"/>
      <c r="CU8" s="30"/>
      <c r="CV8" s="30"/>
    </row>
    <row r="9" spans="1:100" ht="18" x14ac:dyDescent="0.45">
      <c r="B9" s="55">
        <v>2024</v>
      </c>
      <c r="C9" s="30">
        <v>3361.7</v>
      </c>
      <c r="D9" s="30">
        <v>3794.7000000000003</v>
      </c>
      <c r="E9" s="30">
        <v>4637.7</v>
      </c>
      <c r="F9" s="24">
        <v>5298.2</v>
      </c>
      <c r="G9" s="30">
        <v>5715.9000000000005</v>
      </c>
      <c r="H9" s="30">
        <v>6947.0999999999995</v>
      </c>
      <c r="I9" s="30">
        <v>8135.3000000000011</v>
      </c>
      <c r="J9" s="56">
        <v>8890.2000000000007</v>
      </c>
      <c r="K9" s="9"/>
      <c r="L9" s="55">
        <v>2024</v>
      </c>
      <c r="M9" s="30">
        <v>3349.9</v>
      </c>
      <c r="N9" s="30">
        <v>3791.1000000000004</v>
      </c>
      <c r="O9" s="30">
        <v>4644.8999999999996</v>
      </c>
      <c r="P9" s="24">
        <v>5300.5</v>
      </c>
      <c r="Q9" s="30">
        <v>5717.6</v>
      </c>
      <c r="R9" s="30">
        <v>6939.0999999999995</v>
      </c>
      <c r="S9" s="30">
        <v>8125.2999999999993</v>
      </c>
      <c r="T9" s="56">
        <v>8894.6</v>
      </c>
      <c r="U9" s="8"/>
      <c r="V9" s="55">
        <v>2024</v>
      </c>
      <c r="W9" s="30">
        <v>3330.2000000000003</v>
      </c>
      <c r="X9" s="30">
        <v>3781.8999999999996</v>
      </c>
      <c r="Y9" s="30">
        <v>4633.3</v>
      </c>
      <c r="Z9" s="24">
        <v>5293.5</v>
      </c>
      <c r="AA9" s="30">
        <v>5722.1</v>
      </c>
      <c r="AB9" s="30">
        <v>6948.4000000000005</v>
      </c>
      <c r="AC9" s="30">
        <v>8140.3</v>
      </c>
      <c r="AD9" s="56">
        <v>8917.4000000000015</v>
      </c>
      <c r="AF9" s="160"/>
      <c r="AG9" s="30"/>
      <c r="AH9" s="30"/>
      <c r="AI9" s="30"/>
      <c r="AJ9" s="30"/>
      <c r="AK9" s="30"/>
      <c r="AL9" s="30"/>
      <c r="AM9" s="30"/>
      <c r="AN9" s="30"/>
      <c r="AP9" s="160"/>
      <c r="AQ9" s="30"/>
      <c r="AR9" s="30"/>
      <c r="AS9" s="30"/>
      <c r="AT9" s="30"/>
      <c r="AU9" s="30"/>
      <c r="AV9" s="30"/>
      <c r="AW9" s="30"/>
      <c r="AX9" s="30"/>
      <c r="AZ9" s="160"/>
      <c r="BA9" s="30"/>
      <c r="BB9" s="30"/>
      <c r="BC9" s="30"/>
      <c r="BD9" s="30"/>
      <c r="BE9" s="30"/>
      <c r="BF9" s="30"/>
      <c r="BG9" s="30"/>
      <c r="BH9" s="30"/>
      <c r="BJ9" s="160"/>
      <c r="BK9" s="30"/>
      <c r="BL9" s="30"/>
      <c r="BM9" s="30"/>
      <c r="BN9" s="30"/>
      <c r="BO9" s="30"/>
      <c r="BP9" s="30"/>
      <c r="BQ9" s="30"/>
      <c r="BR9" s="30"/>
      <c r="BT9" s="160"/>
      <c r="BU9" s="30"/>
      <c r="BV9" s="30"/>
      <c r="BW9" s="30"/>
      <c r="BX9" s="30"/>
      <c r="BY9" s="30"/>
      <c r="BZ9" s="30"/>
      <c r="CA9" s="30"/>
      <c r="CB9" s="30"/>
      <c r="CD9" s="160"/>
      <c r="CE9" s="30"/>
      <c r="CF9" s="30"/>
      <c r="CG9" s="30"/>
      <c r="CH9" s="30"/>
      <c r="CI9" s="30"/>
      <c r="CJ9" s="30"/>
      <c r="CK9" s="30"/>
      <c r="CL9" s="30"/>
      <c r="CN9" s="160"/>
      <c r="CO9" s="30"/>
      <c r="CP9" s="30"/>
      <c r="CQ9" s="30"/>
      <c r="CR9" s="30"/>
      <c r="CS9" s="30"/>
      <c r="CT9" s="30"/>
      <c r="CU9" s="30"/>
      <c r="CV9" s="30"/>
    </row>
    <row r="10" spans="1:100" ht="18" x14ac:dyDescent="0.45">
      <c r="B10" s="55">
        <v>2025</v>
      </c>
      <c r="C10" s="30">
        <v>2797.6</v>
      </c>
      <c r="D10" s="30">
        <v>3288</v>
      </c>
      <c r="E10" s="30">
        <v>4223.6000000000004</v>
      </c>
      <c r="F10" s="24">
        <v>4949.0999999999995</v>
      </c>
      <c r="G10" s="30">
        <v>5413.5</v>
      </c>
      <c r="H10" s="30">
        <v>6734.2000000000007</v>
      </c>
      <c r="I10" s="30">
        <v>8032.8</v>
      </c>
      <c r="J10" s="56">
        <v>8859.9</v>
      </c>
      <c r="K10" s="9"/>
      <c r="L10" s="55">
        <v>2025</v>
      </c>
      <c r="M10" s="30">
        <v>2432.9</v>
      </c>
      <c r="N10" s="30">
        <v>2939.1</v>
      </c>
      <c r="O10" s="30">
        <v>3889.7</v>
      </c>
      <c r="P10" s="24">
        <v>4617.3999999999996</v>
      </c>
      <c r="Q10" s="30">
        <v>5081.2</v>
      </c>
      <c r="R10" s="30">
        <v>6381.8</v>
      </c>
      <c r="S10" s="30">
        <v>7656.7</v>
      </c>
      <c r="T10" s="56">
        <v>8492.2999999999993</v>
      </c>
      <c r="U10" s="8"/>
      <c r="V10" s="55">
        <v>2025</v>
      </c>
      <c r="W10" s="30">
        <v>2435.4</v>
      </c>
      <c r="X10" s="30">
        <v>2933.3</v>
      </c>
      <c r="Y10" s="30">
        <v>3871.6</v>
      </c>
      <c r="Z10" s="24">
        <v>4604.8</v>
      </c>
      <c r="AA10" s="30">
        <v>5074</v>
      </c>
      <c r="AB10" s="30">
        <v>6397.5</v>
      </c>
      <c r="AC10" s="30">
        <v>7679</v>
      </c>
      <c r="AD10" s="56">
        <v>8516.2999999999993</v>
      </c>
      <c r="AF10" s="160"/>
      <c r="AG10" s="30"/>
      <c r="AH10" s="30"/>
      <c r="AI10" s="30"/>
      <c r="AJ10" s="30"/>
      <c r="AK10" s="30"/>
      <c r="AL10" s="30"/>
      <c r="AM10" s="30"/>
      <c r="AN10" s="30"/>
      <c r="AP10" s="160"/>
      <c r="AQ10" s="30"/>
      <c r="AR10" s="30"/>
      <c r="AS10" s="30"/>
      <c r="AT10" s="30"/>
      <c r="AU10" s="30"/>
      <c r="AV10" s="30"/>
      <c r="AW10" s="30"/>
      <c r="AX10" s="30"/>
      <c r="AZ10" s="160"/>
      <c r="BA10" s="30"/>
      <c r="BB10" s="30"/>
      <c r="BC10" s="30"/>
      <c r="BD10" s="30"/>
      <c r="BE10" s="30"/>
      <c r="BF10" s="30"/>
      <c r="BG10" s="30"/>
      <c r="BH10" s="30"/>
      <c r="BJ10" s="160"/>
      <c r="BK10" s="30"/>
      <c r="BL10" s="30"/>
      <c r="BM10" s="30"/>
      <c r="BN10" s="30"/>
      <c r="BO10" s="30"/>
      <c r="BP10" s="30"/>
      <c r="BQ10" s="30"/>
      <c r="BR10" s="30"/>
      <c r="BT10" s="160"/>
      <c r="BU10" s="30"/>
      <c r="BV10" s="30"/>
      <c r="BW10" s="30"/>
      <c r="BX10" s="30"/>
      <c r="BY10" s="30"/>
      <c r="BZ10" s="30"/>
      <c r="CA10" s="30"/>
      <c r="CB10" s="30"/>
      <c r="CD10" s="160"/>
      <c r="CE10" s="30"/>
      <c r="CF10" s="30"/>
      <c r="CG10" s="30"/>
      <c r="CH10" s="30"/>
      <c r="CI10" s="30"/>
      <c r="CJ10" s="30"/>
      <c r="CK10" s="30"/>
      <c r="CL10" s="30"/>
      <c r="CN10" s="160"/>
      <c r="CO10" s="30"/>
      <c r="CP10" s="30"/>
      <c r="CQ10" s="30"/>
      <c r="CR10" s="30"/>
      <c r="CS10" s="30"/>
      <c r="CT10" s="30"/>
      <c r="CU10" s="30"/>
      <c r="CV10" s="30"/>
    </row>
    <row r="11" spans="1:100" ht="18" x14ac:dyDescent="0.45">
      <c r="B11" s="55">
        <v>2026</v>
      </c>
      <c r="C11" s="30">
        <v>2272.4</v>
      </c>
      <c r="D11" s="30">
        <v>2794.5</v>
      </c>
      <c r="E11" s="30">
        <v>3771.3</v>
      </c>
      <c r="F11" s="24">
        <v>4537.3999999999996</v>
      </c>
      <c r="G11" s="30">
        <v>5014.8999999999996</v>
      </c>
      <c r="H11" s="30">
        <v>6390.4</v>
      </c>
      <c r="I11" s="30">
        <v>7758.2000000000007</v>
      </c>
      <c r="J11" s="56">
        <v>8659</v>
      </c>
      <c r="K11" s="9"/>
      <c r="L11" s="55">
        <v>2026</v>
      </c>
      <c r="M11" s="30">
        <v>1783.6000000000001</v>
      </c>
      <c r="N11" s="30">
        <v>2280.3000000000002</v>
      </c>
      <c r="O11" s="30">
        <v>3237.1</v>
      </c>
      <c r="P11" s="24">
        <v>3983.7</v>
      </c>
      <c r="Q11" s="30">
        <v>4460.0999999999995</v>
      </c>
      <c r="R11" s="30">
        <v>5813.7</v>
      </c>
      <c r="S11" s="30">
        <v>7147.4000000000005</v>
      </c>
      <c r="T11" s="56">
        <v>8018.3</v>
      </c>
      <c r="U11" s="8"/>
      <c r="V11" s="55">
        <v>2026</v>
      </c>
      <c r="W11" s="30">
        <v>1448.3999999999999</v>
      </c>
      <c r="X11" s="30">
        <v>1939</v>
      </c>
      <c r="Y11" s="30">
        <v>2890.2000000000003</v>
      </c>
      <c r="Z11" s="24">
        <v>3642</v>
      </c>
      <c r="AA11" s="30">
        <v>4120.8</v>
      </c>
      <c r="AB11" s="30">
        <v>5470.1</v>
      </c>
      <c r="AC11" s="30">
        <v>6816.2</v>
      </c>
      <c r="AD11" s="56">
        <v>7692.1</v>
      </c>
      <c r="AF11" s="160"/>
      <c r="AG11" s="30"/>
      <c r="AH11" s="30"/>
      <c r="AI11" s="30"/>
      <c r="AJ11" s="30"/>
      <c r="AK11" s="30"/>
      <c r="AL11" s="30"/>
      <c r="AM11" s="30"/>
      <c r="AN11" s="30"/>
      <c r="AP11" s="160"/>
      <c r="AQ11" s="30"/>
      <c r="AR11" s="30"/>
      <c r="AS11" s="30"/>
      <c r="AT11" s="30"/>
      <c r="AU11" s="30"/>
      <c r="AV11" s="30"/>
      <c r="AW11" s="30"/>
      <c r="AX11" s="30"/>
      <c r="AZ11" s="160"/>
      <c r="BA11" s="30"/>
      <c r="BB11" s="30"/>
      <c r="BC11" s="30"/>
      <c r="BD11" s="30"/>
      <c r="BE11" s="30"/>
      <c r="BF11" s="30"/>
      <c r="BG11" s="30"/>
      <c r="BH11" s="30"/>
      <c r="BJ11" s="160"/>
      <c r="BK11" s="30"/>
      <c r="BL11" s="30"/>
      <c r="BM11" s="30"/>
      <c r="BN11" s="30"/>
      <c r="BO11" s="30"/>
      <c r="BP11" s="30"/>
      <c r="BQ11" s="30"/>
      <c r="BR11" s="30"/>
      <c r="BT11" s="160"/>
      <c r="BU11" s="30"/>
      <c r="BV11" s="30"/>
      <c r="BW11" s="30"/>
      <c r="BX11" s="30"/>
      <c r="BY11" s="30"/>
      <c r="BZ11" s="30"/>
      <c r="CA11" s="30"/>
      <c r="CB11" s="30"/>
      <c r="CD11" s="160"/>
      <c r="CE11" s="30"/>
      <c r="CF11" s="30"/>
      <c r="CG11" s="30"/>
      <c r="CH11" s="30"/>
      <c r="CI11" s="30"/>
      <c r="CJ11" s="30"/>
      <c r="CK11" s="30"/>
      <c r="CL11" s="30"/>
      <c r="CN11" s="160"/>
      <c r="CO11" s="30"/>
      <c r="CP11" s="30"/>
      <c r="CQ11" s="30"/>
      <c r="CR11" s="30"/>
      <c r="CS11" s="30"/>
      <c r="CT11" s="30"/>
      <c r="CU11" s="30"/>
      <c r="CV11" s="30"/>
    </row>
    <row r="12" spans="1:100" ht="18" x14ac:dyDescent="0.45">
      <c r="B12" s="55">
        <v>2027</v>
      </c>
      <c r="C12" s="30">
        <v>1897.8999999999999</v>
      </c>
      <c r="D12" s="30">
        <v>2441.1999999999998</v>
      </c>
      <c r="E12" s="30">
        <v>3439</v>
      </c>
      <c r="F12" s="24">
        <v>4211.1000000000004</v>
      </c>
      <c r="G12" s="30">
        <v>4707.2000000000007</v>
      </c>
      <c r="H12" s="30">
        <v>6116.6</v>
      </c>
      <c r="I12" s="30">
        <v>7510.9000000000005</v>
      </c>
      <c r="J12" s="56">
        <v>8465.4000000000015</v>
      </c>
      <c r="K12" s="9"/>
      <c r="L12" s="55">
        <v>2027</v>
      </c>
      <c r="M12" s="30">
        <v>1519.7</v>
      </c>
      <c r="N12" s="30">
        <v>2028.7000000000003</v>
      </c>
      <c r="O12" s="30">
        <v>2991.2000000000003</v>
      </c>
      <c r="P12" s="24">
        <v>3749.1</v>
      </c>
      <c r="Q12" s="30">
        <v>4233.6000000000004</v>
      </c>
      <c r="R12" s="30">
        <v>5622.0999999999995</v>
      </c>
      <c r="S12" s="30">
        <v>7010.3</v>
      </c>
      <c r="T12" s="56">
        <v>7930.6</v>
      </c>
      <c r="U12" s="8"/>
      <c r="V12" s="55">
        <v>2027</v>
      </c>
      <c r="W12" s="30">
        <v>1067.8000000000002</v>
      </c>
      <c r="X12" s="30">
        <v>1524.2</v>
      </c>
      <c r="Y12" s="30">
        <v>2474</v>
      </c>
      <c r="Z12" s="24">
        <v>3212.1</v>
      </c>
      <c r="AA12" s="30">
        <v>3689.5</v>
      </c>
      <c r="AB12" s="30">
        <v>5064.8</v>
      </c>
      <c r="AC12" s="30">
        <v>6449.0999999999995</v>
      </c>
      <c r="AD12" s="56">
        <v>7359.3</v>
      </c>
      <c r="AF12" s="160"/>
      <c r="AG12" s="30"/>
      <c r="AH12" s="30"/>
      <c r="AI12" s="30"/>
      <c r="AJ12" s="30"/>
      <c r="AK12" s="30"/>
      <c r="AL12" s="30"/>
      <c r="AM12" s="30"/>
      <c r="AN12" s="30"/>
      <c r="AP12" s="160"/>
      <c r="AQ12" s="30"/>
      <c r="AR12" s="30"/>
      <c r="AS12" s="30"/>
      <c r="AT12" s="30"/>
      <c r="AU12" s="30"/>
      <c r="AV12" s="30"/>
      <c r="AW12" s="30"/>
      <c r="AX12" s="30"/>
      <c r="AZ12" s="160"/>
      <c r="BA12" s="30"/>
      <c r="BB12" s="30"/>
      <c r="BC12" s="30"/>
      <c r="BD12" s="30"/>
      <c r="BE12" s="30"/>
      <c r="BF12" s="30"/>
      <c r="BG12" s="30"/>
      <c r="BH12" s="30"/>
      <c r="BJ12" s="160"/>
      <c r="BK12" s="30"/>
      <c r="BL12" s="30"/>
      <c r="BM12" s="30"/>
      <c r="BN12" s="30"/>
      <c r="BO12" s="30"/>
      <c r="BP12" s="30"/>
      <c r="BQ12" s="30"/>
      <c r="BR12" s="30"/>
      <c r="BT12" s="160"/>
      <c r="BU12" s="30"/>
      <c r="BV12" s="30"/>
      <c r="BW12" s="30"/>
      <c r="BX12" s="30"/>
      <c r="BY12" s="30"/>
      <c r="BZ12" s="30"/>
      <c r="CA12" s="30"/>
      <c r="CB12" s="30"/>
      <c r="CD12" s="160"/>
      <c r="CE12" s="30"/>
      <c r="CF12" s="30"/>
      <c r="CG12" s="30"/>
      <c r="CH12" s="30"/>
      <c r="CI12" s="30"/>
      <c r="CJ12" s="30"/>
      <c r="CK12" s="30"/>
      <c r="CL12" s="30"/>
      <c r="CN12" s="160"/>
      <c r="CO12" s="30"/>
      <c r="CP12" s="30"/>
      <c r="CQ12" s="30"/>
      <c r="CR12" s="30"/>
      <c r="CS12" s="30"/>
      <c r="CT12" s="30"/>
      <c r="CU12" s="30"/>
      <c r="CV12" s="30"/>
    </row>
    <row r="13" spans="1:100" ht="18" x14ac:dyDescent="0.45">
      <c r="B13" s="55">
        <v>2028</v>
      </c>
      <c r="C13" s="30">
        <v>1699.3</v>
      </c>
      <c r="D13" s="30">
        <v>2235.7999999999997</v>
      </c>
      <c r="E13" s="30">
        <v>3236.9</v>
      </c>
      <c r="F13" s="24">
        <v>4020.4000000000005</v>
      </c>
      <c r="G13" s="30">
        <v>4514.8</v>
      </c>
      <c r="H13" s="30">
        <v>5944.5</v>
      </c>
      <c r="I13" s="30">
        <v>7374.9000000000005</v>
      </c>
      <c r="J13" s="56">
        <v>8346.1999999999989</v>
      </c>
      <c r="K13" s="9"/>
      <c r="L13" s="55">
        <v>2028</v>
      </c>
      <c r="M13" s="30">
        <v>1442</v>
      </c>
      <c r="N13" s="30">
        <v>1941.6</v>
      </c>
      <c r="O13" s="30">
        <v>2926.6</v>
      </c>
      <c r="P13" s="24">
        <v>3695.3</v>
      </c>
      <c r="Q13" s="30">
        <v>4183.8</v>
      </c>
      <c r="R13" s="30">
        <v>5592.4</v>
      </c>
      <c r="S13" s="30">
        <v>7013</v>
      </c>
      <c r="T13" s="56">
        <v>7956.9</v>
      </c>
      <c r="U13" s="8"/>
      <c r="V13" s="55">
        <v>2028</v>
      </c>
      <c r="W13" s="30">
        <v>1074.2</v>
      </c>
      <c r="X13" s="30">
        <v>1552</v>
      </c>
      <c r="Y13" s="30">
        <v>2507.1</v>
      </c>
      <c r="Z13" s="24">
        <v>3257.7</v>
      </c>
      <c r="AA13" s="30">
        <v>3742.6</v>
      </c>
      <c r="AB13" s="30">
        <v>5139.2</v>
      </c>
      <c r="AC13" s="30">
        <v>6555.7999999999993</v>
      </c>
      <c r="AD13" s="56">
        <v>7492.7</v>
      </c>
      <c r="AF13" s="160"/>
      <c r="AG13" s="30"/>
      <c r="AH13" s="30"/>
      <c r="AI13" s="30"/>
      <c r="AJ13" s="30"/>
      <c r="AK13" s="30"/>
      <c r="AL13" s="30"/>
      <c r="AM13" s="30"/>
      <c r="AN13" s="30"/>
      <c r="AP13" s="160"/>
      <c r="AQ13" s="30"/>
      <c r="AR13" s="30"/>
      <c r="AS13" s="30"/>
      <c r="AT13" s="30"/>
      <c r="AU13" s="30"/>
      <c r="AV13" s="30"/>
      <c r="AW13" s="30"/>
      <c r="AX13" s="30"/>
      <c r="AZ13" s="160"/>
      <c r="BA13" s="30"/>
      <c r="BB13" s="30"/>
      <c r="BC13" s="30"/>
      <c r="BD13" s="30"/>
      <c r="BE13" s="30"/>
      <c r="BF13" s="30"/>
      <c r="BG13" s="30"/>
      <c r="BH13" s="30"/>
      <c r="BJ13" s="160"/>
      <c r="BK13" s="30"/>
      <c r="BL13" s="30"/>
      <c r="BM13" s="30"/>
      <c r="BN13" s="30"/>
      <c r="BO13" s="30"/>
      <c r="BP13" s="30"/>
      <c r="BQ13" s="30"/>
      <c r="BR13" s="30"/>
      <c r="BT13" s="160"/>
      <c r="BU13" s="30"/>
      <c r="BV13" s="30"/>
      <c r="BW13" s="30"/>
      <c r="BX13" s="30"/>
      <c r="BY13" s="30"/>
      <c r="BZ13" s="30"/>
      <c r="CA13" s="30"/>
      <c r="CB13" s="30"/>
      <c r="CD13" s="160"/>
      <c r="CE13" s="30"/>
      <c r="CF13" s="30"/>
      <c r="CG13" s="30"/>
      <c r="CH13" s="30"/>
      <c r="CI13" s="30"/>
      <c r="CJ13" s="30"/>
      <c r="CK13" s="30"/>
      <c r="CL13" s="30"/>
      <c r="CN13" s="160"/>
      <c r="CO13" s="30"/>
      <c r="CP13" s="30"/>
      <c r="CQ13" s="30"/>
      <c r="CR13" s="30"/>
      <c r="CS13" s="30"/>
      <c r="CT13" s="30"/>
      <c r="CU13" s="30"/>
      <c r="CV13" s="30"/>
    </row>
    <row r="14" spans="1:100" ht="18" x14ac:dyDescent="0.45">
      <c r="B14" s="55">
        <v>2029</v>
      </c>
      <c r="C14" s="30">
        <v>1577.1</v>
      </c>
      <c r="D14" s="30">
        <v>2112.2999999999997</v>
      </c>
      <c r="E14" s="30">
        <v>3098.7</v>
      </c>
      <c r="F14" s="24">
        <v>3887.5</v>
      </c>
      <c r="G14" s="30">
        <v>4390</v>
      </c>
      <c r="H14" s="30">
        <v>5829.5</v>
      </c>
      <c r="I14" s="30">
        <v>7276.2</v>
      </c>
      <c r="J14" s="56">
        <v>8244.1</v>
      </c>
      <c r="K14" s="9"/>
      <c r="L14" s="55">
        <v>2029</v>
      </c>
      <c r="M14" s="30">
        <v>1427.2</v>
      </c>
      <c r="N14" s="30">
        <v>1945.3</v>
      </c>
      <c r="O14" s="30">
        <v>2936.5</v>
      </c>
      <c r="P14" s="24">
        <v>3711.2</v>
      </c>
      <c r="Q14" s="30">
        <v>4212.7</v>
      </c>
      <c r="R14" s="30">
        <v>5637.8</v>
      </c>
      <c r="S14" s="30">
        <v>7085.6</v>
      </c>
      <c r="T14" s="56">
        <v>8063.4</v>
      </c>
      <c r="U14" s="8"/>
      <c r="V14" s="55">
        <v>2029</v>
      </c>
      <c r="W14" s="30">
        <v>1167</v>
      </c>
      <c r="X14" s="30">
        <v>1663</v>
      </c>
      <c r="Y14" s="30">
        <v>2628.8</v>
      </c>
      <c r="Z14" s="24">
        <v>3393.4</v>
      </c>
      <c r="AA14" s="30">
        <v>3893.8</v>
      </c>
      <c r="AB14" s="30">
        <v>5323.4000000000005</v>
      </c>
      <c r="AC14" s="30">
        <v>6759.2</v>
      </c>
      <c r="AD14" s="56">
        <v>7707.8</v>
      </c>
      <c r="AF14" s="160"/>
      <c r="AG14" s="30"/>
      <c r="AH14" s="30"/>
      <c r="AI14" s="30"/>
      <c r="AJ14" s="30"/>
      <c r="AK14" s="30"/>
      <c r="AL14" s="30"/>
      <c r="AM14" s="30"/>
      <c r="AN14" s="30"/>
      <c r="AP14" s="160"/>
      <c r="AQ14" s="30"/>
      <c r="AR14" s="30"/>
      <c r="AS14" s="30"/>
      <c r="AT14" s="30"/>
      <c r="AU14" s="30"/>
      <c r="AV14" s="30"/>
      <c r="AW14" s="30"/>
      <c r="AX14" s="30"/>
      <c r="AZ14" s="160"/>
      <c r="BA14" s="30"/>
      <c r="BB14" s="30"/>
      <c r="BC14" s="30"/>
      <c r="BD14" s="30"/>
      <c r="BE14" s="30"/>
      <c r="BF14" s="30"/>
      <c r="BG14" s="30"/>
      <c r="BH14" s="30"/>
      <c r="BJ14" s="160"/>
      <c r="BK14" s="30"/>
      <c r="BL14" s="30"/>
      <c r="BM14" s="30"/>
      <c r="BN14" s="30"/>
      <c r="BO14" s="30"/>
      <c r="BP14" s="30"/>
      <c r="BQ14" s="30"/>
      <c r="BR14" s="30"/>
      <c r="BT14" s="160"/>
      <c r="BU14" s="30"/>
      <c r="BV14" s="30"/>
      <c r="BW14" s="30"/>
      <c r="BX14" s="30"/>
      <c r="BY14" s="30"/>
      <c r="BZ14" s="30"/>
      <c r="CA14" s="30"/>
      <c r="CB14" s="30"/>
      <c r="CD14" s="160"/>
      <c r="CE14" s="30"/>
      <c r="CF14" s="30"/>
      <c r="CG14" s="30"/>
      <c r="CH14" s="30"/>
      <c r="CI14" s="30"/>
      <c r="CJ14" s="30"/>
      <c r="CK14" s="30"/>
      <c r="CL14" s="30"/>
      <c r="CN14" s="160"/>
      <c r="CO14" s="30"/>
      <c r="CP14" s="30"/>
      <c r="CQ14" s="30"/>
      <c r="CR14" s="30"/>
      <c r="CS14" s="30"/>
      <c r="CT14" s="30"/>
      <c r="CU14" s="30"/>
      <c r="CV14" s="30"/>
    </row>
    <row r="15" spans="1:100" ht="18" x14ac:dyDescent="0.45">
      <c r="B15" s="55">
        <v>2030</v>
      </c>
      <c r="C15" s="30">
        <v>1473.3</v>
      </c>
      <c r="D15" s="30">
        <v>1985.1000000000001</v>
      </c>
      <c r="E15" s="30">
        <v>2985.1</v>
      </c>
      <c r="F15" s="24">
        <v>3767.3999999999996</v>
      </c>
      <c r="G15" s="30">
        <v>4275</v>
      </c>
      <c r="H15" s="30">
        <v>5729.0999999999995</v>
      </c>
      <c r="I15" s="30">
        <v>7177.7</v>
      </c>
      <c r="J15" s="56">
        <v>8135.9999999999991</v>
      </c>
      <c r="K15" s="9"/>
      <c r="L15" s="55">
        <v>2030</v>
      </c>
      <c r="M15" s="30">
        <v>1411.5</v>
      </c>
      <c r="N15" s="30">
        <v>1935.1000000000001</v>
      </c>
      <c r="O15" s="30">
        <v>2935.1</v>
      </c>
      <c r="P15" s="24">
        <v>3725.4</v>
      </c>
      <c r="Q15" s="30">
        <v>4223.2000000000007</v>
      </c>
      <c r="R15" s="30">
        <v>5663.9</v>
      </c>
      <c r="S15" s="30">
        <v>7138.5</v>
      </c>
      <c r="T15" s="56">
        <v>8088.3</v>
      </c>
      <c r="U15" s="8"/>
      <c r="V15" s="55">
        <v>2030</v>
      </c>
      <c r="W15" s="30">
        <v>1234.3</v>
      </c>
      <c r="X15" s="30">
        <v>1748.8</v>
      </c>
      <c r="Y15" s="30">
        <v>2742.6</v>
      </c>
      <c r="Z15" s="24">
        <v>3509.1</v>
      </c>
      <c r="AA15" s="30">
        <v>4021</v>
      </c>
      <c r="AB15" s="30">
        <v>5456.5999999999995</v>
      </c>
      <c r="AC15" s="30">
        <v>6905.3</v>
      </c>
      <c r="AD15" s="56">
        <v>7878.3</v>
      </c>
      <c r="AF15" s="160"/>
      <c r="AG15" s="30"/>
      <c r="AH15" s="30"/>
      <c r="AI15" s="30"/>
      <c r="AJ15" s="30"/>
      <c r="AK15" s="30"/>
      <c r="AL15" s="30"/>
      <c r="AM15" s="30"/>
      <c r="AN15" s="30"/>
      <c r="AP15" s="160"/>
      <c r="AQ15" s="30"/>
      <c r="AR15" s="30"/>
      <c r="AS15" s="30"/>
      <c r="AT15" s="30"/>
      <c r="AU15" s="30"/>
      <c r="AV15" s="30"/>
      <c r="AW15" s="30"/>
      <c r="AX15" s="30"/>
      <c r="AZ15" s="160"/>
      <c r="BA15" s="30"/>
      <c r="BB15" s="30"/>
      <c r="BC15" s="30"/>
      <c r="BD15" s="30"/>
      <c r="BE15" s="30"/>
      <c r="BF15" s="30"/>
      <c r="BG15" s="30"/>
      <c r="BH15" s="30"/>
      <c r="BJ15" s="160"/>
      <c r="BK15" s="30"/>
      <c r="BL15" s="30"/>
      <c r="BM15" s="30"/>
      <c r="BN15" s="30"/>
      <c r="BO15" s="30"/>
      <c r="BP15" s="30"/>
      <c r="BQ15" s="30"/>
      <c r="BR15" s="30"/>
      <c r="BT15" s="160"/>
      <c r="BU15" s="30"/>
      <c r="BV15" s="30"/>
      <c r="BW15" s="30"/>
      <c r="BX15" s="30"/>
      <c r="BY15" s="30"/>
      <c r="BZ15" s="30"/>
      <c r="CA15" s="30"/>
      <c r="CB15" s="30"/>
      <c r="CD15" s="160"/>
      <c r="CE15" s="30"/>
      <c r="CF15" s="30"/>
      <c r="CG15" s="30"/>
      <c r="CH15" s="30"/>
      <c r="CI15" s="30"/>
      <c r="CJ15" s="30"/>
      <c r="CK15" s="30"/>
      <c r="CL15" s="30"/>
      <c r="CN15" s="160"/>
      <c r="CO15" s="30"/>
      <c r="CP15" s="30"/>
      <c r="CQ15" s="30"/>
      <c r="CR15" s="30"/>
      <c r="CS15" s="30"/>
      <c r="CT15" s="30"/>
      <c r="CU15" s="30"/>
      <c r="CV15" s="30"/>
    </row>
    <row r="16" spans="1:100" ht="18" x14ac:dyDescent="0.45">
      <c r="B16" s="55">
        <v>2031</v>
      </c>
      <c r="C16" s="30">
        <v>1371.3</v>
      </c>
      <c r="D16" s="30">
        <v>1892</v>
      </c>
      <c r="E16" s="30">
        <v>2895.7000000000003</v>
      </c>
      <c r="F16" s="24">
        <v>3690.3</v>
      </c>
      <c r="G16" s="30">
        <v>4197</v>
      </c>
      <c r="H16" s="30">
        <v>5637.6</v>
      </c>
      <c r="I16" s="30">
        <v>7091.1</v>
      </c>
      <c r="J16" s="56">
        <v>8067.5000000000009</v>
      </c>
      <c r="K16" s="9"/>
      <c r="L16" s="55">
        <v>2031</v>
      </c>
      <c r="M16" s="30">
        <v>1396.4</v>
      </c>
      <c r="N16" s="30">
        <v>1929.3</v>
      </c>
      <c r="O16" s="30">
        <v>2937.3999999999996</v>
      </c>
      <c r="P16" s="24">
        <v>3728.7</v>
      </c>
      <c r="Q16" s="30">
        <v>4231</v>
      </c>
      <c r="R16" s="30">
        <v>5683.4</v>
      </c>
      <c r="S16" s="30">
        <v>7152.2</v>
      </c>
      <c r="T16" s="56">
        <v>8128.4</v>
      </c>
      <c r="U16" s="8"/>
      <c r="V16" s="55">
        <v>2031</v>
      </c>
      <c r="W16" s="30">
        <v>1292.3</v>
      </c>
      <c r="X16" s="30">
        <v>1819.8000000000002</v>
      </c>
      <c r="Y16" s="30">
        <v>2829.5</v>
      </c>
      <c r="Z16" s="24">
        <v>3617.9</v>
      </c>
      <c r="AA16" s="30">
        <v>4107.7000000000007</v>
      </c>
      <c r="AB16" s="30">
        <v>5569.4</v>
      </c>
      <c r="AC16" s="30">
        <v>7014.5999999999995</v>
      </c>
      <c r="AD16" s="56">
        <v>7974.7000000000007</v>
      </c>
      <c r="AF16" s="160"/>
      <c r="AG16" s="30"/>
      <c r="AH16" s="30"/>
      <c r="AI16" s="30"/>
      <c r="AJ16" s="30"/>
      <c r="AK16" s="30"/>
      <c r="AL16" s="30"/>
      <c r="AM16" s="30"/>
      <c r="AN16" s="30"/>
      <c r="AP16" s="160"/>
      <c r="AQ16" s="30"/>
      <c r="AR16" s="30"/>
      <c r="AS16" s="30"/>
      <c r="AT16" s="30"/>
      <c r="AU16" s="30"/>
      <c r="AV16" s="30"/>
      <c r="AW16" s="30"/>
      <c r="AX16" s="30"/>
      <c r="AZ16" s="160"/>
      <c r="BA16" s="30"/>
      <c r="BB16" s="30"/>
      <c r="BC16" s="30"/>
      <c r="BD16" s="30"/>
      <c r="BE16" s="30"/>
      <c r="BF16" s="30"/>
      <c r="BG16" s="30"/>
      <c r="BH16" s="30"/>
      <c r="BJ16" s="160"/>
      <c r="BK16" s="30"/>
      <c r="BL16" s="30"/>
      <c r="BM16" s="30"/>
      <c r="BN16" s="30"/>
      <c r="BO16" s="30"/>
      <c r="BP16" s="30"/>
      <c r="BQ16" s="30"/>
      <c r="BR16" s="30"/>
      <c r="BT16" s="160"/>
      <c r="BU16" s="30"/>
      <c r="BV16" s="30"/>
      <c r="BW16" s="30"/>
      <c r="BX16" s="30"/>
      <c r="BY16" s="30"/>
      <c r="BZ16" s="30"/>
      <c r="CA16" s="30"/>
      <c r="CB16" s="30"/>
      <c r="CD16" s="160"/>
      <c r="CE16" s="30"/>
      <c r="CF16" s="30"/>
      <c r="CG16" s="30"/>
      <c r="CH16" s="30"/>
      <c r="CI16" s="30"/>
      <c r="CJ16" s="30"/>
      <c r="CK16" s="30"/>
      <c r="CL16" s="30"/>
      <c r="CN16" s="160"/>
      <c r="CO16" s="30"/>
      <c r="CP16" s="30"/>
      <c r="CQ16" s="30"/>
      <c r="CR16" s="30"/>
      <c r="CS16" s="30"/>
      <c r="CT16" s="30"/>
      <c r="CU16" s="30"/>
      <c r="CV16" s="30"/>
    </row>
    <row r="17" spans="2:101" ht="18" x14ac:dyDescent="0.45">
      <c r="B17" s="55">
        <v>2032</v>
      </c>
      <c r="C17" s="30">
        <v>1334.4</v>
      </c>
      <c r="D17" s="30">
        <v>1854</v>
      </c>
      <c r="E17" s="30">
        <v>2863.4</v>
      </c>
      <c r="F17" s="24">
        <v>3655.9</v>
      </c>
      <c r="G17" s="30">
        <v>4167.3</v>
      </c>
      <c r="H17" s="30">
        <v>5614.4</v>
      </c>
      <c r="I17" s="30">
        <v>7060.7</v>
      </c>
      <c r="J17" s="56">
        <v>8034.8</v>
      </c>
      <c r="K17" s="9"/>
      <c r="L17" s="55">
        <v>2032</v>
      </c>
      <c r="M17" s="30">
        <v>1387.7</v>
      </c>
      <c r="N17" s="30">
        <v>1924.8</v>
      </c>
      <c r="O17" s="30">
        <v>2936.2</v>
      </c>
      <c r="P17" s="24">
        <v>3728.1</v>
      </c>
      <c r="Q17" s="30">
        <v>4244.7999999999993</v>
      </c>
      <c r="R17" s="30">
        <v>5698.5</v>
      </c>
      <c r="S17" s="30">
        <v>7153.9000000000005</v>
      </c>
      <c r="T17" s="56">
        <v>8149.5999999999995</v>
      </c>
      <c r="U17" s="8"/>
      <c r="V17" s="55">
        <v>2032</v>
      </c>
      <c r="W17" s="30">
        <v>1328.1000000000001</v>
      </c>
      <c r="X17" s="30">
        <v>1873.3999999999999</v>
      </c>
      <c r="Y17" s="30">
        <v>2889.1</v>
      </c>
      <c r="Z17" s="24">
        <v>3687.2</v>
      </c>
      <c r="AA17" s="30">
        <v>4195.2999999999993</v>
      </c>
      <c r="AB17" s="30">
        <v>5651.0999999999995</v>
      </c>
      <c r="AC17" s="30">
        <v>7101.5</v>
      </c>
      <c r="AD17" s="56">
        <v>8042.6</v>
      </c>
      <c r="AF17" s="160"/>
      <c r="AG17" s="30"/>
      <c r="AH17" s="30"/>
      <c r="AI17" s="30"/>
      <c r="AJ17" s="30"/>
      <c r="AK17" s="30"/>
      <c r="AL17" s="30"/>
      <c r="AM17" s="30"/>
      <c r="AN17" s="30"/>
      <c r="AP17" s="160"/>
      <c r="AQ17" s="30"/>
      <c r="AR17" s="30"/>
      <c r="AS17" s="30"/>
      <c r="AT17" s="30"/>
      <c r="AU17" s="30"/>
      <c r="AV17" s="30"/>
      <c r="AW17" s="30"/>
      <c r="AX17" s="30"/>
      <c r="AZ17" s="160"/>
      <c r="BA17" s="30"/>
      <c r="BB17" s="30"/>
      <c r="BC17" s="30"/>
      <c r="BD17" s="30"/>
      <c r="BE17" s="30"/>
      <c r="BF17" s="30"/>
      <c r="BG17" s="30"/>
      <c r="BH17" s="30"/>
      <c r="BJ17" s="160"/>
      <c r="BK17" s="30"/>
      <c r="BL17" s="30"/>
      <c r="BM17" s="30"/>
      <c r="BN17" s="30"/>
      <c r="BO17" s="30"/>
      <c r="BP17" s="30"/>
      <c r="BQ17" s="30"/>
      <c r="BR17" s="30"/>
      <c r="BT17" s="160"/>
      <c r="BU17" s="30"/>
      <c r="BV17" s="30"/>
      <c r="BW17" s="30"/>
      <c r="BX17" s="30"/>
      <c r="BY17" s="30"/>
      <c r="BZ17" s="30"/>
      <c r="CA17" s="30"/>
      <c r="CB17" s="30"/>
      <c r="CD17" s="160"/>
      <c r="CE17" s="30"/>
      <c r="CF17" s="30"/>
      <c r="CG17" s="30"/>
      <c r="CH17" s="30"/>
      <c r="CI17" s="30"/>
      <c r="CJ17" s="30"/>
      <c r="CK17" s="30"/>
      <c r="CL17" s="30"/>
      <c r="CN17" s="160"/>
      <c r="CO17" s="30"/>
      <c r="CP17" s="30"/>
      <c r="CQ17" s="30"/>
      <c r="CR17" s="30"/>
      <c r="CS17" s="30"/>
      <c r="CT17" s="30"/>
      <c r="CU17" s="30"/>
      <c r="CV17" s="30"/>
    </row>
    <row r="18" spans="2:101" ht="18" x14ac:dyDescent="0.45">
      <c r="B18" s="55">
        <v>2033</v>
      </c>
      <c r="C18" s="30">
        <v>1336.9</v>
      </c>
      <c r="D18" s="30">
        <v>1859.9</v>
      </c>
      <c r="E18" s="30">
        <v>2877.3</v>
      </c>
      <c r="F18" s="24">
        <v>3661.7999999999997</v>
      </c>
      <c r="G18" s="30">
        <v>4165.0999999999995</v>
      </c>
      <c r="H18" s="30">
        <v>5631.5999999999995</v>
      </c>
      <c r="I18" s="30">
        <v>7080.5</v>
      </c>
      <c r="J18" s="56">
        <v>8076.4</v>
      </c>
      <c r="K18" s="9"/>
      <c r="L18" s="55">
        <v>2033</v>
      </c>
      <c r="M18" s="30">
        <v>1381</v>
      </c>
      <c r="N18" s="30">
        <v>1917.3</v>
      </c>
      <c r="O18" s="30">
        <v>2936.3</v>
      </c>
      <c r="P18" s="24">
        <v>3739.9</v>
      </c>
      <c r="Q18" s="30">
        <v>4248.4000000000005</v>
      </c>
      <c r="R18" s="30">
        <v>5701.1</v>
      </c>
      <c r="S18" s="30">
        <v>7169.8</v>
      </c>
      <c r="T18" s="56">
        <v>8175.7000000000007</v>
      </c>
      <c r="U18" s="8"/>
      <c r="V18" s="55">
        <v>2033</v>
      </c>
      <c r="W18" s="30">
        <v>1373.6</v>
      </c>
      <c r="X18" s="30">
        <v>1912</v>
      </c>
      <c r="Y18" s="30">
        <v>2950</v>
      </c>
      <c r="Z18" s="24">
        <v>3748.7</v>
      </c>
      <c r="AA18" s="30">
        <v>4257.5</v>
      </c>
      <c r="AB18" s="30">
        <v>5718.7</v>
      </c>
      <c r="AC18" s="30">
        <v>7185</v>
      </c>
      <c r="AD18" s="56">
        <v>8139.7999999999993</v>
      </c>
      <c r="AF18" s="160"/>
      <c r="AG18" s="30"/>
      <c r="AH18" s="30"/>
      <c r="AI18" s="30"/>
      <c r="AJ18" s="30"/>
      <c r="AK18" s="30"/>
      <c r="AL18" s="30"/>
      <c r="AM18" s="30"/>
      <c r="AN18" s="30"/>
      <c r="AP18" s="160"/>
      <c r="AQ18" s="30"/>
      <c r="AR18" s="30"/>
      <c r="AS18" s="30"/>
      <c r="AT18" s="30"/>
      <c r="AU18" s="30"/>
      <c r="AV18" s="30"/>
      <c r="AW18" s="30"/>
      <c r="AX18" s="30"/>
      <c r="AZ18" s="160"/>
      <c r="BA18" s="30"/>
      <c r="BB18" s="30"/>
      <c r="BC18" s="30"/>
      <c r="BD18" s="30"/>
      <c r="BE18" s="30"/>
      <c r="BF18" s="30"/>
      <c r="BG18" s="30"/>
      <c r="BH18" s="30"/>
      <c r="BJ18" s="160"/>
      <c r="BK18" s="30"/>
      <c r="BL18" s="30"/>
      <c r="BM18" s="30"/>
      <c r="BN18" s="30"/>
      <c r="BO18" s="30"/>
      <c r="BP18" s="30"/>
      <c r="BQ18" s="30"/>
      <c r="BR18" s="30"/>
      <c r="BT18" s="160"/>
      <c r="BU18" s="30"/>
      <c r="BV18" s="30"/>
      <c r="BW18" s="30"/>
      <c r="BX18" s="30"/>
      <c r="BY18" s="30"/>
      <c r="BZ18" s="30"/>
      <c r="CA18" s="30"/>
      <c r="CB18" s="30"/>
      <c r="CD18" s="160"/>
      <c r="CE18" s="30"/>
      <c r="CF18" s="30"/>
      <c r="CG18" s="30"/>
      <c r="CH18" s="30"/>
      <c r="CI18" s="30"/>
      <c r="CJ18" s="30"/>
      <c r="CK18" s="30"/>
      <c r="CL18" s="30"/>
      <c r="CN18" s="160"/>
      <c r="CO18" s="30"/>
      <c r="CP18" s="30"/>
      <c r="CQ18" s="30"/>
      <c r="CR18" s="30"/>
      <c r="CS18" s="30"/>
      <c r="CT18" s="30"/>
      <c r="CU18" s="30"/>
      <c r="CV18" s="30"/>
    </row>
    <row r="19" spans="2:101" ht="18.45" thickBot="1" x14ac:dyDescent="0.5">
      <c r="B19" s="53">
        <v>2034</v>
      </c>
      <c r="C19" s="25">
        <v>1337.3</v>
      </c>
      <c r="D19" s="25">
        <v>1868.2</v>
      </c>
      <c r="E19" s="25">
        <v>2890.5</v>
      </c>
      <c r="F19" s="26">
        <v>3682.3</v>
      </c>
      <c r="G19" s="25">
        <v>4191.3999999999996</v>
      </c>
      <c r="H19" s="25">
        <v>5642.5</v>
      </c>
      <c r="I19" s="25">
        <v>7116.2</v>
      </c>
      <c r="J19" s="57">
        <v>8089.6</v>
      </c>
      <c r="K19" s="9"/>
      <c r="L19" s="53">
        <v>2034</v>
      </c>
      <c r="M19" s="25">
        <v>1372.8</v>
      </c>
      <c r="N19" s="25">
        <v>1912.3000000000002</v>
      </c>
      <c r="O19" s="25">
        <v>2940</v>
      </c>
      <c r="P19" s="26">
        <v>3735.2</v>
      </c>
      <c r="Q19" s="25">
        <v>4249.3</v>
      </c>
      <c r="R19" s="25">
        <v>5714.1</v>
      </c>
      <c r="S19" s="25">
        <v>7179.9</v>
      </c>
      <c r="T19" s="57">
        <v>8165.1</v>
      </c>
      <c r="U19" s="8"/>
      <c r="V19" s="53">
        <v>2034</v>
      </c>
      <c r="W19" s="25">
        <v>1406</v>
      </c>
      <c r="X19" s="25">
        <v>1946.1</v>
      </c>
      <c r="Y19" s="25">
        <v>2984.9</v>
      </c>
      <c r="Z19" s="26">
        <v>3789.2000000000003</v>
      </c>
      <c r="AA19" s="25">
        <v>4306.0999999999995</v>
      </c>
      <c r="AB19" s="25">
        <v>5779.5</v>
      </c>
      <c r="AC19" s="25">
        <v>7236</v>
      </c>
      <c r="AD19" s="57">
        <v>8187.3</v>
      </c>
      <c r="AF19" s="160"/>
      <c r="AG19" s="30"/>
      <c r="AH19" s="30"/>
      <c r="AI19" s="30"/>
      <c r="AJ19" s="30"/>
      <c r="AK19" s="30"/>
      <c r="AL19" s="30"/>
      <c r="AM19" s="30"/>
      <c r="AN19" s="30"/>
      <c r="AP19" s="160"/>
      <c r="AQ19" s="30"/>
      <c r="AR19" s="30"/>
      <c r="AS19" s="30"/>
      <c r="AT19" s="30"/>
      <c r="AU19" s="30"/>
      <c r="AV19" s="30"/>
      <c r="AW19" s="30"/>
      <c r="AX19" s="30"/>
      <c r="AZ19" s="160"/>
      <c r="BA19" s="30"/>
      <c r="BB19" s="30"/>
      <c r="BC19" s="30"/>
      <c r="BD19" s="30"/>
      <c r="BE19" s="30"/>
      <c r="BF19" s="30"/>
      <c r="BG19" s="30"/>
      <c r="BH19" s="30"/>
      <c r="BJ19" s="160"/>
      <c r="BK19" s="30"/>
      <c r="BL19" s="30"/>
      <c r="BM19" s="30"/>
      <c r="BN19" s="30"/>
      <c r="BO19" s="30"/>
      <c r="BP19" s="30"/>
      <c r="BQ19" s="30"/>
      <c r="BR19" s="30"/>
      <c r="BT19" s="160"/>
      <c r="BU19" s="30"/>
      <c r="BV19" s="30"/>
      <c r="BW19" s="30"/>
      <c r="BX19" s="30"/>
      <c r="BY19" s="30"/>
      <c r="BZ19" s="30"/>
      <c r="CA19" s="30"/>
      <c r="CB19" s="30"/>
      <c r="CD19" s="160"/>
      <c r="CE19" s="30"/>
      <c r="CF19" s="30"/>
      <c r="CG19" s="30"/>
      <c r="CH19" s="30"/>
      <c r="CI19" s="30"/>
      <c r="CJ19" s="30"/>
      <c r="CK19" s="30"/>
      <c r="CL19" s="30"/>
      <c r="CN19" s="160"/>
      <c r="CO19" s="30"/>
      <c r="CP19" s="30"/>
      <c r="CQ19" s="30"/>
      <c r="CR19" s="30"/>
      <c r="CS19" s="30"/>
      <c r="CT19" s="30"/>
      <c r="CU19" s="30"/>
      <c r="CV19" s="30"/>
    </row>
    <row r="20" spans="2:101" ht="18" x14ac:dyDescent="0.45">
      <c r="B20" s="6"/>
      <c r="C20" s="6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8"/>
      <c r="V20" s="17"/>
      <c r="W20" s="18"/>
      <c r="X20" s="18"/>
      <c r="Y20" s="18"/>
      <c r="Z20" s="16"/>
      <c r="AA20" s="17"/>
      <c r="AB20" s="18"/>
      <c r="AC20" s="18"/>
      <c r="AD20" s="18"/>
    </row>
    <row r="21" spans="2:101" ht="18" x14ac:dyDescent="0.45">
      <c r="B21" s="6"/>
      <c r="C21" s="150"/>
      <c r="D21" s="150"/>
      <c r="E21" s="150"/>
      <c r="F21" s="30"/>
      <c r="G21" s="150"/>
      <c r="H21" s="150"/>
      <c r="I21" s="150"/>
      <c r="J21" s="150"/>
      <c r="K21" s="150"/>
      <c r="L21" s="18"/>
      <c r="M21" s="18"/>
      <c r="N21" s="18"/>
      <c r="O21" s="18"/>
      <c r="P21" s="18"/>
      <c r="Q21" s="18"/>
      <c r="R21" s="16"/>
      <c r="S21" s="17"/>
      <c r="T21" s="18"/>
      <c r="U21" s="15"/>
      <c r="Y21" s="18"/>
      <c r="Z21" s="18"/>
      <c r="AA21" s="18"/>
      <c r="AB21" s="18"/>
      <c r="AC21" s="18"/>
      <c r="AD21" s="18"/>
      <c r="AE21" s="18"/>
      <c r="AH21" s="151"/>
      <c r="AI21" s="151"/>
      <c r="AJ21" s="151"/>
      <c r="AK21" s="151"/>
      <c r="AL21" s="151"/>
      <c r="AM21" s="151"/>
      <c r="AN21" s="151"/>
      <c r="AO21" s="151"/>
      <c r="AR21" s="151"/>
      <c r="AS21" s="151"/>
      <c r="AT21" s="151"/>
      <c r="AU21" s="151"/>
      <c r="AV21" s="151"/>
      <c r="AW21" s="151"/>
      <c r="AX21" s="151"/>
      <c r="AY21" s="151"/>
      <c r="BB21" s="151"/>
      <c r="BC21" s="151"/>
      <c r="BD21" s="151"/>
      <c r="BE21" s="151"/>
      <c r="BF21" s="151"/>
      <c r="BG21" s="151"/>
      <c r="BH21" s="151"/>
      <c r="BI21" s="151"/>
      <c r="BY21" s="152"/>
      <c r="CF21" s="151"/>
      <c r="CG21" s="151"/>
      <c r="CH21" s="151"/>
      <c r="CJ21" s="151"/>
      <c r="CK21" s="151"/>
      <c r="CL21" s="151"/>
      <c r="CM21" s="151"/>
      <c r="CW21" s="151"/>
    </row>
    <row r="22" spans="2:101" ht="18" x14ac:dyDescent="0.4">
      <c r="B22" s="6"/>
      <c r="C22" s="150"/>
      <c r="D22" s="150"/>
      <c r="E22" t="s">
        <v>71</v>
      </c>
      <c r="F22" t="s">
        <v>70</v>
      </c>
      <c r="G22" t="s">
        <v>72</v>
      </c>
      <c r="H22" s="150" t="s">
        <v>91</v>
      </c>
      <c r="I22" s="150"/>
      <c r="J22" s="150"/>
      <c r="K22" s="150"/>
      <c r="L22" s="18"/>
      <c r="M22" s="18"/>
      <c r="N22" s="18"/>
      <c r="O22" t="s">
        <v>71</v>
      </c>
      <c r="P22" t="s">
        <v>70</v>
      </c>
      <c r="Q22" t="s">
        <v>72</v>
      </c>
      <c r="R22" s="150" t="s">
        <v>91</v>
      </c>
      <c r="S22" s="17"/>
      <c r="T22" s="18"/>
      <c r="U22" s="15"/>
      <c r="Y22" t="s">
        <v>71</v>
      </c>
      <c r="Z22" t="s">
        <v>70</v>
      </c>
      <c r="AA22" t="s">
        <v>72</v>
      </c>
      <c r="AB22" s="150" t="s">
        <v>91</v>
      </c>
      <c r="AC22" s="18"/>
      <c r="AD22" s="18"/>
      <c r="AE22" s="18"/>
      <c r="AH22" s="151"/>
      <c r="AL22" s="150"/>
      <c r="AM22" s="151"/>
      <c r="AN22" s="151"/>
      <c r="AO22" s="151"/>
      <c r="AR22" s="151"/>
      <c r="AV22" s="150"/>
      <c r="AW22" s="151"/>
      <c r="AX22" s="151"/>
      <c r="AY22" s="151"/>
      <c r="BB22" s="151"/>
      <c r="BF22" s="150"/>
      <c r="BG22" s="151"/>
      <c r="BH22" s="151"/>
      <c r="BI22" s="151"/>
      <c r="BP22" s="150"/>
      <c r="BZ22" s="150"/>
      <c r="CE22" s="151"/>
      <c r="CF22" s="151"/>
      <c r="CG22" s="151"/>
      <c r="CH22" s="151"/>
      <c r="CJ22" s="151"/>
      <c r="CK22" s="151"/>
      <c r="CL22" s="151"/>
    </row>
    <row r="23" spans="2:101" ht="18" x14ac:dyDescent="0.4">
      <c r="C23" s="150"/>
      <c r="D23" s="150"/>
      <c r="E23">
        <f>D6/1000</f>
        <v>2.1175999999999999</v>
      </c>
      <c r="F23">
        <f>G6/1000</f>
        <v>2.6383999999999999</v>
      </c>
      <c r="G23">
        <f>I6/1000</f>
        <v>3.4247000000000001</v>
      </c>
      <c r="H23" s="153">
        <f>F6/1000</f>
        <v>2.5146999999999999</v>
      </c>
      <c r="I23" s="150"/>
      <c r="J23" s="150"/>
      <c r="K23" s="150"/>
      <c r="L23" s="153"/>
      <c r="M23" s="18"/>
      <c r="N23" s="18"/>
      <c r="O23">
        <f>N6/1000</f>
        <v>2.1175999999999999</v>
      </c>
      <c r="P23">
        <f>Q6/1000</f>
        <v>2.6396000000000002</v>
      </c>
      <c r="Q23">
        <f>S6/1000</f>
        <v>3.4241000000000001</v>
      </c>
      <c r="R23" s="153">
        <f>P6/1000</f>
        <v>2.5122</v>
      </c>
      <c r="S23" s="19"/>
      <c r="T23" s="18"/>
      <c r="U23" s="15"/>
      <c r="Y23">
        <f>X6/1000</f>
        <v>2.1164999999999998</v>
      </c>
      <c r="Z23">
        <f>AA6/1000</f>
        <v>2.6396999999999999</v>
      </c>
      <c r="AA23">
        <f>AC6/1000</f>
        <v>3.4207999999999998</v>
      </c>
      <c r="AB23" s="153">
        <f>Z6/1000</f>
        <v>2.5143</v>
      </c>
      <c r="AC23" s="18"/>
      <c r="AD23" s="18"/>
      <c r="AE23" s="18"/>
      <c r="AH23" s="151"/>
      <c r="AL23" s="153"/>
      <c r="AM23" s="151"/>
      <c r="AN23" s="151"/>
      <c r="AO23" s="151"/>
      <c r="AR23" s="151"/>
      <c r="AV23" s="153"/>
      <c r="AW23" s="151"/>
      <c r="AX23" s="151"/>
      <c r="AY23" s="151"/>
      <c r="BB23" s="151"/>
      <c r="BF23" s="153"/>
      <c r="BG23" s="151"/>
      <c r="BH23" s="151"/>
      <c r="BI23" s="151"/>
      <c r="BP23" s="153"/>
      <c r="BZ23" s="153"/>
      <c r="CE23" s="151"/>
      <c r="CF23" s="151"/>
      <c r="CG23" s="151"/>
      <c r="CH23" s="151"/>
      <c r="CI23" s="154"/>
      <c r="CJ23" s="151"/>
      <c r="CK23" s="151"/>
      <c r="CL23" s="151"/>
    </row>
    <row r="24" spans="2:101" ht="18" x14ac:dyDescent="0.4">
      <c r="C24" s="150"/>
      <c r="D24" s="150"/>
      <c r="E24">
        <f t="shared" ref="E24:E36" si="0">D7/1000</f>
        <v>3.0375000000000001</v>
      </c>
      <c r="F24">
        <f t="shared" ref="F24:F36" si="1">G7/1000</f>
        <v>3.9729000000000001</v>
      </c>
      <c r="G24">
        <f t="shared" ref="G24:G36" si="2">I7/1000</f>
        <v>5.1978</v>
      </c>
      <c r="H24" s="153">
        <f t="shared" ref="H24:H36" si="3">F7/1000</f>
        <v>3.7934000000000001</v>
      </c>
      <c r="I24" s="150"/>
      <c r="J24" s="150"/>
      <c r="K24" s="150"/>
      <c r="L24" s="153"/>
      <c r="M24" s="18"/>
      <c r="N24" s="18"/>
      <c r="O24">
        <f t="shared" ref="O24:O36" si="4">N7/1000</f>
        <v>3.0385</v>
      </c>
      <c r="P24">
        <f t="shared" ref="P24:P36" si="5">Q7/1000</f>
        <v>3.9723999999999999</v>
      </c>
      <c r="Q24">
        <f t="shared" ref="Q24:Q36" si="6">S7/1000</f>
        <v>5.2051999999999996</v>
      </c>
      <c r="R24" s="153">
        <f t="shared" ref="R24:R36" si="7">P7/1000</f>
        <v>3.7913999999999999</v>
      </c>
      <c r="S24" s="19"/>
      <c r="T24" s="18"/>
      <c r="U24" s="15"/>
      <c r="Y24">
        <f t="shared" ref="Y24:Y36" si="8">X7/1000</f>
        <v>3.0333999999999999</v>
      </c>
      <c r="Z24">
        <f t="shared" ref="Z24:Z36" si="9">AA7/1000</f>
        <v>3.9752999999999998</v>
      </c>
      <c r="AA24">
        <f t="shared" ref="AA24:AA36" si="10">AC7/1000</f>
        <v>5.1935000000000002</v>
      </c>
      <c r="AB24" s="153">
        <f t="shared" ref="AB24:AB36" si="11">Z7/1000</f>
        <v>3.7913000000000001</v>
      </c>
      <c r="AC24" s="18"/>
      <c r="AD24" s="18"/>
      <c r="AE24" s="18"/>
      <c r="AH24" s="151"/>
      <c r="AL24" s="153"/>
      <c r="AM24" s="151"/>
      <c r="AN24" s="151"/>
      <c r="AO24" s="151"/>
      <c r="AR24" s="151"/>
      <c r="AV24" s="153"/>
      <c r="AW24" s="151"/>
      <c r="AX24" s="151"/>
      <c r="AY24" s="151"/>
      <c r="BB24" s="151"/>
      <c r="BF24" s="153"/>
      <c r="BG24" s="151"/>
      <c r="BH24" s="151"/>
      <c r="BI24" s="151"/>
      <c r="BP24" s="153"/>
      <c r="BZ24" s="153"/>
      <c r="CE24" s="151"/>
      <c r="CF24" s="151"/>
      <c r="CG24" s="151"/>
      <c r="CH24" s="151"/>
      <c r="CI24" s="154"/>
      <c r="CJ24" s="151"/>
      <c r="CK24" s="151"/>
      <c r="CL24" s="151"/>
    </row>
    <row r="25" spans="2:101" ht="18" x14ac:dyDescent="0.4">
      <c r="C25" s="150"/>
      <c r="D25" s="150"/>
      <c r="E25">
        <f t="shared" si="0"/>
        <v>3.9409000000000001</v>
      </c>
      <c r="F25">
        <f t="shared" si="1"/>
        <v>5.5208000000000004</v>
      </c>
      <c r="G25">
        <f t="shared" si="2"/>
        <v>7.5834000000000001</v>
      </c>
      <c r="H25" s="153">
        <f t="shared" si="3"/>
        <v>5.1813000000000002</v>
      </c>
      <c r="I25" s="150"/>
      <c r="J25" s="150"/>
      <c r="K25" s="150"/>
      <c r="L25" s="153"/>
      <c r="M25" s="18"/>
      <c r="N25" s="18"/>
      <c r="O25">
        <f t="shared" si="4"/>
        <v>3.9434</v>
      </c>
      <c r="P25">
        <f t="shared" si="5"/>
        <v>5.5137</v>
      </c>
      <c r="Q25">
        <f t="shared" si="6"/>
        <v>7.6021000000000001</v>
      </c>
      <c r="R25" s="153">
        <f t="shared" si="7"/>
        <v>5.1776999999999997</v>
      </c>
      <c r="S25" s="19"/>
      <c r="T25" s="18"/>
      <c r="U25" s="15"/>
      <c r="Y25">
        <f t="shared" si="8"/>
        <v>3.9346000000000001</v>
      </c>
      <c r="Z25">
        <f t="shared" si="9"/>
        <v>5.5263</v>
      </c>
      <c r="AA25">
        <f t="shared" si="10"/>
        <v>7.5841000000000003</v>
      </c>
      <c r="AB25" s="153">
        <f t="shared" si="11"/>
        <v>5.1797000000000004</v>
      </c>
      <c r="AC25" s="18"/>
      <c r="AD25" s="18"/>
      <c r="AE25" s="18"/>
      <c r="AH25" s="151"/>
      <c r="AL25" s="153"/>
      <c r="AM25" s="151"/>
      <c r="AN25" s="151"/>
      <c r="AO25" s="151"/>
      <c r="AR25" s="151"/>
      <c r="AV25" s="153"/>
      <c r="AW25" s="151"/>
      <c r="AX25" s="151"/>
      <c r="AY25" s="151"/>
      <c r="BB25" s="151"/>
      <c r="BF25" s="153"/>
      <c r="BG25" s="151"/>
      <c r="BH25" s="151"/>
      <c r="BI25" s="151"/>
      <c r="BP25" s="153"/>
      <c r="BZ25" s="153"/>
      <c r="CE25" s="151"/>
      <c r="CF25" s="151"/>
      <c r="CG25" s="151"/>
      <c r="CH25" s="151"/>
      <c r="CI25" s="154"/>
      <c r="CJ25" s="151"/>
      <c r="CK25" s="151"/>
      <c r="CL25" s="151"/>
    </row>
    <row r="26" spans="2:101" ht="18" x14ac:dyDescent="0.4">
      <c r="C26" s="150"/>
      <c r="D26" s="150"/>
      <c r="E26">
        <f t="shared" si="0"/>
        <v>3.7947000000000002</v>
      </c>
      <c r="F26">
        <f t="shared" si="1"/>
        <v>5.7159000000000004</v>
      </c>
      <c r="G26">
        <f t="shared" si="2"/>
        <v>8.1353000000000009</v>
      </c>
      <c r="H26" s="153">
        <f t="shared" si="3"/>
        <v>5.2981999999999996</v>
      </c>
      <c r="I26" s="150"/>
      <c r="J26" s="150"/>
      <c r="K26" s="150"/>
      <c r="L26" s="15"/>
      <c r="M26" s="18"/>
      <c r="N26" s="18"/>
      <c r="O26">
        <f t="shared" si="4"/>
        <v>3.7911000000000006</v>
      </c>
      <c r="P26">
        <f t="shared" si="5"/>
        <v>5.7176</v>
      </c>
      <c r="Q26">
        <f t="shared" si="6"/>
        <v>8.1252999999999993</v>
      </c>
      <c r="R26" s="153">
        <f t="shared" si="7"/>
        <v>5.3005000000000004</v>
      </c>
      <c r="S26" s="15"/>
      <c r="T26" s="18"/>
      <c r="U26" s="15"/>
      <c r="Y26">
        <f t="shared" si="8"/>
        <v>3.7818999999999998</v>
      </c>
      <c r="Z26">
        <f t="shared" si="9"/>
        <v>5.7221000000000002</v>
      </c>
      <c r="AA26">
        <f t="shared" si="10"/>
        <v>8.1402999999999999</v>
      </c>
      <c r="AB26" s="153">
        <f t="shared" si="11"/>
        <v>5.2934999999999999</v>
      </c>
      <c r="AC26" s="18"/>
      <c r="AD26" s="18"/>
      <c r="AE26" s="18"/>
      <c r="AH26" s="151"/>
      <c r="AL26" s="153"/>
      <c r="AM26" s="151"/>
      <c r="AN26" s="151"/>
      <c r="AO26" s="151"/>
      <c r="AR26" s="151"/>
      <c r="AV26" s="153"/>
      <c r="AW26" s="151"/>
      <c r="AX26" s="151"/>
      <c r="AY26" s="151"/>
      <c r="BB26" s="151"/>
      <c r="BF26" s="153"/>
      <c r="BG26" s="151"/>
      <c r="BH26" s="151"/>
      <c r="BI26" s="151"/>
      <c r="BP26" s="153"/>
      <c r="BZ26" s="153"/>
      <c r="CE26" s="151"/>
      <c r="CF26" s="151"/>
      <c r="CG26" s="151"/>
      <c r="CH26" s="151"/>
      <c r="CI26" s="154"/>
      <c r="CJ26" s="151"/>
      <c r="CK26" s="151"/>
      <c r="CL26" s="151"/>
    </row>
    <row r="27" spans="2:101" ht="18" x14ac:dyDescent="0.4">
      <c r="C27" s="150"/>
      <c r="D27" s="150"/>
      <c r="E27">
        <f t="shared" si="0"/>
        <v>3.2879999999999998</v>
      </c>
      <c r="F27">
        <f t="shared" si="1"/>
        <v>5.4135</v>
      </c>
      <c r="G27">
        <f t="shared" si="2"/>
        <v>8.0327999999999999</v>
      </c>
      <c r="H27" s="153">
        <f t="shared" si="3"/>
        <v>4.9490999999999996</v>
      </c>
      <c r="I27" s="150"/>
      <c r="J27" s="150"/>
      <c r="K27" s="150"/>
      <c r="L27" s="15"/>
      <c r="M27" s="18"/>
      <c r="N27" s="18"/>
      <c r="O27">
        <f t="shared" si="4"/>
        <v>2.9390999999999998</v>
      </c>
      <c r="P27">
        <f t="shared" si="5"/>
        <v>5.0811999999999999</v>
      </c>
      <c r="Q27">
        <f t="shared" si="6"/>
        <v>7.6566999999999998</v>
      </c>
      <c r="R27" s="153">
        <f t="shared" si="7"/>
        <v>4.6173999999999999</v>
      </c>
      <c r="S27" s="15"/>
      <c r="T27" s="18"/>
      <c r="U27" s="15"/>
      <c r="Y27">
        <f t="shared" si="8"/>
        <v>2.9333</v>
      </c>
      <c r="Z27">
        <f t="shared" si="9"/>
        <v>5.0739999999999998</v>
      </c>
      <c r="AA27">
        <f t="shared" si="10"/>
        <v>7.6790000000000003</v>
      </c>
      <c r="AB27" s="153">
        <f t="shared" si="11"/>
        <v>4.6048</v>
      </c>
      <c r="AC27" s="18"/>
      <c r="AD27" s="18"/>
      <c r="AE27" s="18"/>
      <c r="AH27" s="151"/>
      <c r="AL27" s="153"/>
      <c r="AM27" s="151"/>
      <c r="AN27" s="151"/>
      <c r="AO27" s="151"/>
      <c r="AR27" s="151"/>
      <c r="AV27" s="153"/>
      <c r="AW27" s="151"/>
      <c r="AX27" s="151"/>
      <c r="AY27" s="151"/>
      <c r="BB27" s="151"/>
      <c r="BF27" s="153"/>
      <c r="BG27" s="151"/>
      <c r="BH27" s="151"/>
      <c r="BI27" s="151"/>
      <c r="BP27" s="153"/>
      <c r="BZ27" s="153"/>
      <c r="CE27" s="151"/>
      <c r="CF27" s="151"/>
      <c r="CG27" s="151"/>
      <c r="CH27" s="151"/>
      <c r="CI27" s="154"/>
      <c r="CJ27" s="151"/>
      <c r="CK27" s="151"/>
      <c r="CL27" s="151"/>
    </row>
    <row r="28" spans="2:101" ht="18" x14ac:dyDescent="0.4">
      <c r="C28" s="150"/>
      <c r="D28" s="150"/>
      <c r="E28">
        <f t="shared" si="0"/>
        <v>2.7945000000000002</v>
      </c>
      <c r="F28">
        <f t="shared" si="1"/>
        <v>5.0148999999999999</v>
      </c>
      <c r="G28">
        <f t="shared" si="2"/>
        <v>7.7582000000000004</v>
      </c>
      <c r="H28" s="153">
        <f t="shared" si="3"/>
        <v>4.5373999999999999</v>
      </c>
      <c r="I28" s="150"/>
      <c r="J28" s="150"/>
      <c r="K28" s="150"/>
      <c r="L28" s="15"/>
      <c r="M28" s="18"/>
      <c r="N28" s="18"/>
      <c r="O28">
        <f t="shared" si="4"/>
        <v>2.2803</v>
      </c>
      <c r="P28">
        <f t="shared" si="5"/>
        <v>4.4600999999999997</v>
      </c>
      <c r="Q28">
        <f t="shared" si="6"/>
        <v>7.1474000000000002</v>
      </c>
      <c r="R28" s="153">
        <f t="shared" si="7"/>
        <v>3.9836999999999998</v>
      </c>
      <c r="S28" s="15"/>
      <c r="T28" s="18"/>
      <c r="U28" s="15"/>
      <c r="Y28">
        <f t="shared" si="8"/>
        <v>1.9390000000000001</v>
      </c>
      <c r="Z28">
        <f t="shared" si="9"/>
        <v>4.1208</v>
      </c>
      <c r="AA28">
        <f t="shared" si="10"/>
        <v>6.8162000000000003</v>
      </c>
      <c r="AB28" s="153">
        <f t="shared" si="11"/>
        <v>3.6419999999999999</v>
      </c>
      <c r="AC28" s="18"/>
      <c r="AD28" s="18"/>
      <c r="AE28" s="18"/>
      <c r="AH28" s="151"/>
      <c r="AL28" s="153"/>
      <c r="AM28" s="151"/>
      <c r="AN28" s="151"/>
      <c r="AO28" s="151"/>
      <c r="AR28" s="151"/>
      <c r="AV28" s="153"/>
      <c r="AW28" s="151"/>
      <c r="AX28" s="151"/>
      <c r="AY28" s="151"/>
      <c r="BB28" s="151"/>
      <c r="BF28" s="153"/>
      <c r="BG28" s="151"/>
      <c r="BH28" s="151"/>
      <c r="BI28" s="151"/>
      <c r="BP28" s="153"/>
      <c r="BZ28" s="153"/>
      <c r="CE28" s="151"/>
      <c r="CF28" s="151"/>
      <c r="CG28" s="151"/>
      <c r="CH28" s="151"/>
      <c r="CI28" s="154"/>
      <c r="CJ28" s="151"/>
      <c r="CK28" s="151"/>
      <c r="CL28" s="151"/>
    </row>
    <row r="29" spans="2:101" ht="18" x14ac:dyDescent="0.4">
      <c r="C29" s="150"/>
      <c r="D29" s="150"/>
      <c r="E29">
        <f t="shared" si="0"/>
        <v>2.4411999999999998</v>
      </c>
      <c r="F29">
        <f t="shared" si="1"/>
        <v>4.7072000000000012</v>
      </c>
      <c r="G29">
        <f t="shared" si="2"/>
        <v>7.5109000000000004</v>
      </c>
      <c r="H29" s="153">
        <f t="shared" si="3"/>
        <v>4.2111000000000001</v>
      </c>
      <c r="I29" s="150"/>
      <c r="J29" s="150"/>
      <c r="K29" s="150"/>
      <c r="L29" s="15"/>
      <c r="M29" s="18"/>
      <c r="N29" s="18"/>
      <c r="O29">
        <f t="shared" si="4"/>
        <v>2.0287000000000002</v>
      </c>
      <c r="P29">
        <f t="shared" si="5"/>
        <v>4.2336</v>
      </c>
      <c r="Q29">
        <f t="shared" si="6"/>
        <v>7.0103</v>
      </c>
      <c r="R29" s="153">
        <f t="shared" si="7"/>
        <v>3.7490999999999999</v>
      </c>
      <c r="S29" s="15"/>
      <c r="T29" s="18"/>
      <c r="U29" s="15"/>
      <c r="Y29">
        <f t="shared" si="8"/>
        <v>1.5242</v>
      </c>
      <c r="Z29">
        <f t="shared" si="9"/>
        <v>3.6894999999999998</v>
      </c>
      <c r="AA29">
        <f t="shared" si="10"/>
        <v>6.4490999999999996</v>
      </c>
      <c r="AB29" s="153">
        <f t="shared" si="11"/>
        <v>3.2121</v>
      </c>
      <c r="AC29" s="18"/>
      <c r="AD29" s="18"/>
      <c r="AE29" s="18"/>
      <c r="AH29" s="151"/>
      <c r="AL29" s="153"/>
      <c r="AM29" s="151"/>
      <c r="AN29" s="151"/>
      <c r="AO29" s="151"/>
      <c r="AR29" s="151"/>
      <c r="AV29" s="153"/>
      <c r="AW29" s="151"/>
      <c r="AX29" s="151"/>
      <c r="AY29" s="151"/>
      <c r="BB29" s="151"/>
      <c r="BF29" s="153"/>
      <c r="BG29" s="151"/>
      <c r="BH29" s="151"/>
      <c r="BI29" s="151"/>
      <c r="BP29" s="153"/>
      <c r="BZ29" s="153"/>
      <c r="CE29" s="151"/>
      <c r="CF29" s="151"/>
      <c r="CG29" s="151"/>
      <c r="CH29" s="151"/>
      <c r="CI29" s="154"/>
      <c r="CJ29" s="151"/>
      <c r="CK29" s="151"/>
      <c r="CL29" s="151"/>
    </row>
    <row r="30" spans="2:101" ht="18" x14ac:dyDescent="0.4">
      <c r="C30" s="150"/>
      <c r="D30" s="150"/>
      <c r="E30">
        <f t="shared" si="0"/>
        <v>2.2357999999999998</v>
      </c>
      <c r="F30">
        <f t="shared" si="1"/>
        <v>4.5148000000000001</v>
      </c>
      <c r="G30">
        <f t="shared" si="2"/>
        <v>7.3749000000000002</v>
      </c>
      <c r="H30" s="153">
        <f t="shared" si="3"/>
        <v>4.0204000000000004</v>
      </c>
      <c r="I30" s="150"/>
      <c r="J30" s="150"/>
      <c r="K30" s="150"/>
      <c r="L30" s="15"/>
      <c r="M30" s="18"/>
      <c r="N30" s="18"/>
      <c r="O30">
        <f t="shared" si="4"/>
        <v>1.9416</v>
      </c>
      <c r="P30">
        <f t="shared" si="5"/>
        <v>4.1837999999999997</v>
      </c>
      <c r="Q30">
        <f t="shared" si="6"/>
        <v>7.0129999999999999</v>
      </c>
      <c r="R30" s="153">
        <f t="shared" si="7"/>
        <v>3.6953</v>
      </c>
      <c r="S30" s="15"/>
      <c r="T30" s="18"/>
      <c r="U30" s="15"/>
      <c r="Y30">
        <f t="shared" si="8"/>
        <v>1.552</v>
      </c>
      <c r="Z30">
        <f t="shared" si="9"/>
        <v>3.7425999999999999</v>
      </c>
      <c r="AA30">
        <f t="shared" si="10"/>
        <v>6.5557999999999996</v>
      </c>
      <c r="AB30" s="153">
        <f t="shared" si="11"/>
        <v>3.2576999999999998</v>
      </c>
      <c r="AC30" s="18"/>
      <c r="AD30" s="18"/>
      <c r="AE30" s="18"/>
      <c r="AH30" s="151"/>
      <c r="AL30" s="153"/>
      <c r="AM30" s="151"/>
      <c r="AN30" s="151"/>
      <c r="AO30" s="151"/>
      <c r="AR30" s="151"/>
      <c r="AV30" s="153"/>
      <c r="AW30" s="151"/>
      <c r="AX30" s="151"/>
      <c r="AY30" s="151"/>
      <c r="BB30" s="151"/>
      <c r="BF30" s="153"/>
      <c r="BG30" s="151"/>
      <c r="BH30" s="151"/>
      <c r="BI30" s="151"/>
      <c r="BP30" s="153"/>
      <c r="BZ30" s="153"/>
      <c r="CE30" s="151"/>
      <c r="CF30" s="151"/>
      <c r="CG30" s="151"/>
      <c r="CH30" s="151"/>
      <c r="CI30" s="154"/>
      <c r="CJ30" s="151"/>
      <c r="CK30" s="151"/>
      <c r="CL30" s="151"/>
    </row>
    <row r="31" spans="2:101" ht="18" x14ac:dyDescent="0.4">
      <c r="C31" s="150"/>
      <c r="D31" s="150"/>
      <c r="E31">
        <f t="shared" si="0"/>
        <v>2.1122999999999998</v>
      </c>
      <c r="F31">
        <f t="shared" si="1"/>
        <v>4.3899999999999997</v>
      </c>
      <c r="G31">
        <f t="shared" si="2"/>
        <v>7.2762000000000002</v>
      </c>
      <c r="H31" s="153">
        <f t="shared" si="3"/>
        <v>3.8875000000000002</v>
      </c>
      <c r="I31" s="150"/>
      <c r="J31" s="150"/>
      <c r="K31" s="150"/>
      <c r="L31" s="15"/>
      <c r="M31" s="18"/>
      <c r="N31" s="18"/>
      <c r="O31">
        <f t="shared" si="4"/>
        <v>1.9453</v>
      </c>
      <c r="P31">
        <f t="shared" si="5"/>
        <v>4.2126999999999999</v>
      </c>
      <c r="Q31">
        <f t="shared" si="6"/>
        <v>7.0856000000000003</v>
      </c>
      <c r="R31" s="153">
        <f t="shared" si="7"/>
        <v>3.7111999999999998</v>
      </c>
      <c r="S31" s="15"/>
      <c r="T31" s="18"/>
      <c r="U31" s="15"/>
      <c r="Y31">
        <f t="shared" si="8"/>
        <v>1.663</v>
      </c>
      <c r="Z31">
        <f t="shared" si="9"/>
        <v>3.8938000000000001</v>
      </c>
      <c r="AA31">
        <f t="shared" si="10"/>
        <v>6.7591999999999999</v>
      </c>
      <c r="AB31" s="153">
        <f t="shared" si="11"/>
        <v>3.3934000000000002</v>
      </c>
      <c r="AC31" s="18"/>
      <c r="AD31" s="18"/>
      <c r="AE31" s="18"/>
      <c r="AH31" s="151"/>
      <c r="AL31" s="153"/>
      <c r="AM31" s="151"/>
      <c r="AN31" s="151"/>
      <c r="AO31" s="151"/>
      <c r="AR31" s="151"/>
      <c r="AV31" s="153"/>
      <c r="AW31" s="151"/>
      <c r="AX31" s="151"/>
      <c r="AY31" s="151"/>
      <c r="BB31" s="151"/>
      <c r="BF31" s="153"/>
      <c r="BG31" s="151"/>
      <c r="BH31" s="151"/>
      <c r="BI31" s="151"/>
      <c r="BP31" s="153"/>
      <c r="BZ31" s="153"/>
      <c r="CE31" s="151"/>
      <c r="CF31" s="151"/>
      <c r="CG31" s="151"/>
      <c r="CH31" s="151"/>
      <c r="CI31" s="154"/>
      <c r="CJ31" s="151"/>
      <c r="CK31" s="151"/>
      <c r="CL31" s="151"/>
    </row>
    <row r="32" spans="2:101" ht="18" x14ac:dyDescent="0.4">
      <c r="C32" s="150"/>
      <c r="D32" s="150"/>
      <c r="E32">
        <f t="shared" si="0"/>
        <v>1.9851000000000001</v>
      </c>
      <c r="F32">
        <f t="shared" si="1"/>
        <v>4.2750000000000004</v>
      </c>
      <c r="G32">
        <f t="shared" si="2"/>
        <v>7.1776999999999997</v>
      </c>
      <c r="H32" s="153">
        <f t="shared" si="3"/>
        <v>3.7673999999999994</v>
      </c>
      <c r="I32" s="150"/>
      <c r="J32" s="150"/>
      <c r="K32" s="150"/>
      <c r="L32" s="15"/>
      <c r="M32" s="18"/>
      <c r="N32" s="18"/>
      <c r="O32">
        <f t="shared" si="4"/>
        <v>1.9351</v>
      </c>
      <c r="P32">
        <f t="shared" si="5"/>
        <v>4.2232000000000003</v>
      </c>
      <c r="Q32">
        <f t="shared" si="6"/>
        <v>7.1384999999999996</v>
      </c>
      <c r="R32" s="153">
        <f t="shared" si="7"/>
        <v>3.7254</v>
      </c>
      <c r="S32" s="15"/>
      <c r="T32" s="18"/>
      <c r="U32" s="15"/>
      <c r="Y32">
        <f t="shared" si="8"/>
        <v>1.7487999999999999</v>
      </c>
      <c r="Z32">
        <f t="shared" si="9"/>
        <v>4.0209999999999999</v>
      </c>
      <c r="AA32">
        <f t="shared" si="10"/>
        <v>6.9053000000000004</v>
      </c>
      <c r="AB32" s="153">
        <f t="shared" si="11"/>
        <v>3.5091000000000001</v>
      </c>
      <c r="AC32" s="18"/>
      <c r="AD32" s="18"/>
      <c r="AE32" s="18"/>
      <c r="AH32" s="151"/>
      <c r="AL32" s="153"/>
      <c r="AM32" s="151"/>
      <c r="AN32" s="151"/>
      <c r="AO32" s="151"/>
      <c r="AR32" s="151"/>
      <c r="AV32" s="153"/>
      <c r="AW32" s="151"/>
      <c r="AX32" s="151"/>
      <c r="AY32" s="151"/>
      <c r="BB32" s="151"/>
      <c r="BF32" s="153"/>
      <c r="BG32" s="151"/>
      <c r="BH32" s="151"/>
      <c r="BI32" s="151"/>
      <c r="BP32" s="153"/>
      <c r="BZ32" s="153"/>
      <c r="CE32" s="151"/>
      <c r="CF32" s="151"/>
      <c r="CG32" s="151"/>
      <c r="CH32" s="151"/>
      <c r="CI32" s="154"/>
      <c r="CJ32" s="151"/>
      <c r="CK32" s="151"/>
      <c r="CL32" s="151"/>
    </row>
    <row r="33" spans="3:97" ht="18" x14ac:dyDescent="0.4">
      <c r="C33" s="150"/>
      <c r="D33" s="150"/>
      <c r="E33">
        <f t="shared" si="0"/>
        <v>1.8919999999999999</v>
      </c>
      <c r="F33">
        <f t="shared" si="1"/>
        <v>4.1970000000000001</v>
      </c>
      <c r="G33">
        <f t="shared" si="2"/>
        <v>7.0911</v>
      </c>
      <c r="H33" s="153">
        <f t="shared" si="3"/>
        <v>3.6903000000000001</v>
      </c>
      <c r="I33" s="150"/>
      <c r="J33" s="150"/>
      <c r="K33" s="150"/>
      <c r="L33" s="15"/>
      <c r="M33" s="18"/>
      <c r="N33" s="18"/>
      <c r="O33">
        <f t="shared" si="4"/>
        <v>1.9293</v>
      </c>
      <c r="P33">
        <f t="shared" si="5"/>
        <v>4.2309999999999999</v>
      </c>
      <c r="Q33">
        <f t="shared" si="6"/>
        <v>7.1521999999999997</v>
      </c>
      <c r="R33" s="153">
        <f t="shared" si="7"/>
        <v>3.7286999999999999</v>
      </c>
      <c r="S33" s="15"/>
      <c r="T33" s="18"/>
      <c r="U33" s="15"/>
      <c r="Y33">
        <f t="shared" si="8"/>
        <v>1.8198000000000001</v>
      </c>
      <c r="Z33">
        <f t="shared" si="9"/>
        <v>4.1077000000000004</v>
      </c>
      <c r="AA33">
        <f t="shared" si="10"/>
        <v>7.0145999999999997</v>
      </c>
      <c r="AB33" s="153">
        <f t="shared" si="11"/>
        <v>3.6179000000000001</v>
      </c>
      <c r="AC33" s="18"/>
      <c r="AD33" s="18"/>
      <c r="AE33" s="18"/>
      <c r="AH33" s="151"/>
      <c r="AL33" s="153"/>
      <c r="AM33" s="151"/>
      <c r="AN33" s="151"/>
      <c r="AO33" s="151"/>
      <c r="AR33" s="151"/>
      <c r="AV33" s="153"/>
      <c r="AW33" s="151"/>
      <c r="AX33" s="151"/>
      <c r="AY33" s="151"/>
      <c r="BB33" s="151"/>
      <c r="BF33" s="153"/>
      <c r="BG33" s="151"/>
      <c r="BH33" s="151"/>
      <c r="BI33" s="151"/>
      <c r="BP33" s="153"/>
      <c r="BZ33" s="153"/>
      <c r="CE33" s="151"/>
      <c r="CF33" s="151"/>
      <c r="CG33" s="151"/>
      <c r="CH33" s="151"/>
      <c r="CI33" s="154"/>
      <c r="CJ33" s="151"/>
      <c r="CK33" s="151"/>
      <c r="CL33" s="151"/>
    </row>
    <row r="34" spans="3:97" ht="18" x14ac:dyDescent="0.4">
      <c r="C34" s="150"/>
      <c r="D34" s="150"/>
      <c r="E34">
        <f t="shared" si="0"/>
        <v>1.8540000000000001</v>
      </c>
      <c r="F34">
        <f t="shared" si="1"/>
        <v>4.1673</v>
      </c>
      <c r="G34">
        <f t="shared" si="2"/>
        <v>7.0606999999999998</v>
      </c>
      <c r="H34" s="153">
        <f t="shared" si="3"/>
        <v>3.6558999999999999</v>
      </c>
      <c r="I34" s="150"/>
      <c r="J34" s="150"/>
      <c r="K34" s="150"/>
      <c r="L34" s="15"/>
      <c r="M34" s="18"/>
      <c r="N34" s="18"/>
      <c r="O34">
        <f t="shared" si="4"/>
        <v>1.9247999999999998</v>
      </c>
      <c r="P34">
        <f t="shared" si="5"/>
        <v>4.2447999999999997</v>
      </c>
      <c r="Q34">
        <f t="shared" si="6"/>
        <v>7.1539000000000001</v>
      </c>
      <c r="R34" s="153">
        <f t="shared" si="7"/>
        <v>3.7281</v>
      </c>
      <c r="S34" s="15"/>
      <c r="T34" s="18"/>
      <c r="U34" s="15"/>
      <c r="Y34">
        <f t="shared" si="8"/>
        <v>1.8734</v>
      </c>
      <c r="Z34">
        <f t="shared" si="9"/>
        <v>4.1952999999999996</v>
      </c>
      <c r="AA34">
        <f t="shared" si="10"/>
        <v>7.1014999999999997</v>
      </c>
      <c r="AB34" s="153">
        <f t="shared" si="11"/>
        <v>3.6871999999999998</v>
      </c>
      <c r="AC34" s="18"/>
      <c r="AD34" s="18"/>
      <c r="AE34" s="18"/>
      <c r="AH34" s="151"/>
      <c r="AL34" s="153"/>
      <c r="AM34" s="151"/>
      <c r="AN34" s="151"/>
      <c r="AO34" s="151"/>
      <c r="AR34" s="151"/>
      <c r="AV34" s="153"/>
      <c r="AW34" s="151"/>
      <c r="AX34" s="151"/>
      <c r="AY34" s="151"/>
      <c r="BB34" s="151"/>
      <c r="BF34" s="153"/>
      <c r="BG34" s="151"/>
      <c r="BH34" s="151"/>
      <c r="BI34" s="151"/>
      <c r="BP34" s="153"/>
      <c r="BZ34" s="153"/>
      <c r="CE34" s="151"/>
      <c r="CF34" s="151"/>
      <c r="CG34" s="151"/>
      <c r="CH34" s="151"/>
      <c r="CI34" s="154"/>
      <c r="CJ34" s="151"/>
      <c r="CK34" s="151"/>
      <c r="CL34" s="151"/>
    </row>
    <row r="35" spans="3:97" x14ac:dyDescent="0.4">
      <c r="E35">
        <f t="shared" si="0"/>
        <v>1.8599000000000001</v>
      </c>
      <c r="F35">
        <f t="shared" si="1"/>
        <v>4.1650999999999998</v>
      </c>
      <c r="G35">
        <f t="shared" si="2"/>
        <v>7.0804999999999998</v>
      </c>
      <c r="H35" s="153">
        <f t="shared" si="3"/>
        <v>3.6617999999999999</v>
      </c>
      <c r="O35">
        <f t="shared" si="4"/>
        <v>1.9173</v>
      </c>
      <c r="P35">
        <f t="shared" si="5"/>
        <v>4.2484000000000002</v>
      </c>
      <c r="Q35">
        <f t="shared" si="6"/>
        <v>7.1698000000000004</v>
      </c>
      <c r="R35" s="153">
        <f t="shared" si="7"/>
        <v>3.7399</v>
      </c>
      <c r="Y35">
        <f t="shared" si="8"/>
        <v>1.9119999999999999</v>
      </c>
      <c r="Z35">
        <f t="shared" si="9"/>
        <v>4.2575000000000003</v>
      </c>
      <c r="AA35">
        <f t="shared" si="10"/>
        <v>7.1849999999999996</v>
      </c>
      <c r="AB35" s="153">
        <f t="shared" si="11"/>
        <v>3.7486999999999999</v>
      </c>
      <c r="AL35" s="153"/>
      <c r="AV35" s="153"/>
      <c r="BF35" s="153"/>
      <c r="BP35" s="153"/>
      <c r="BZ35" s="153"/>
      <c r="CE35" s="151"/>
      <c r="CF35" s="151"/>
      <c r="CG35" s="151"/>
      <c r="CI35" s="154"/>
      <c r="CJ35" s="151"/>
      <c r="CK35" s="151"/>
      <c r="CL35" s="151"/>
      <c r="CS35" s="154"/>
    </row>
    <row r="36" spans="3:97" x14ac:dyDescent="0.4">
      <c r="E36">
        <f t="shared" si="0"/>
        <v>1.8682000000000001</v>
      </c>
      <c r="F36">
        <f t="shared" si="1"/>
        <v>4.1913999999999998</v>
      </c>
      <c r="G36">
        <f t="shared" si="2"/>
        <v>7.1162000000000001</v>
      </c>
      <c r="H36" s="153">
        <f t="shared" si="3"/>
        <v>3.6823000000000001</v>
      </c>
      <c r="O36">
        <f t="shared" si="4"/>
        <v>1.9123000000000001</v>
      </c>
      <c r="P36">
        <f t="shared" si="5"/>
        <v>4.2492999999999999</v>
      </c>
      <c r="Q36">
        <f t="shared" si="6"/>
        <v>7.1798999999999999</v>
      </c>
      <c r="R36" s="153">
        <f t="shared" si="7"/>
        <v>3.7351999999999999</v>
      </c>
      <c r="Y36">
        <f t="shared" si="8"/>
        <v>1.9460999999999999</v>
      </c>
      <c r="Z36">
        <f t="shared" si="9"/>
        <v>4.3060999999999998</v>
      </c>
      <c r="AA36">
        <f t="shared" si="10"/>
        <v>7.2359999999999998</v>
      </c>
      <c r="AB36" s="153">
        <f t="shared" si="11"/>
        <v>3.7892000000000001</v>
      </c>
      <c r="AL36" s="153"/>
      <c r="AV36" s="153"/>
      <c r="BF36" s="153"/>
      <c r="BP36" s="153"/>
      <c r="BZ36" s="153"/>
      <c r="CE36" s="151"/>
      <c r="CF36" s="151"/>
      <c r="CG36" s="151"/>
      <c r="CI36" s="154"/>
      <c r="CJ36" s="151"/>
      <c r="CK36" s="151"/>
      <c r="CL36" s="151"/>
      <c r="CS36" s="154"/>
    </row>
  </sheetData>
  <mergeCells count="20">
    <mergeCell ref="BT3:CB3"/>
    <mergeCell ref="BT4:CB4"/>
    <mergeCell ref="AF3:AN3"/>
    <mergeCell ref="AF4:AN4"/>
    <mergeCell ref="CN3:CV3"/>
    <mergeCell ref="CN4:CV4"/>
    <mergeCell ref="CD3:CL3"/>
    <mergeCell ref="AZ4:BH4"/>
    <mergeCell ref="CD4:CL4"/>
    <mergeCell ref="AP3:AX3"/>
    <mergeCell ref="AP4:AX4"/>
    <mergeCell ref="AZ3:BH3"/>
    <mergeCell ref="BJ3:BR3"/>
    <mergeCell ref="BJ4:BR4"/>
    <mergeCell ref="B3:J3"/>
    <mergeCell ref="B4:J4"/>
    <mergeCell ref="L3:T3"/>
    <mergeCell ref="L4:T4"/>
    <mergeCell ref="V3:AD3"/>
    <mergeCell ref="V4:AD4"/>
  </mergeCells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U54"/>
  <sheetViews>
    <sheetView zoomScale="50" zoomScaleNormal="50" workbookViewId="0">
      <selection activeCell="T4" sqref="T4:AA4"/>
    </sheetView>
  </sheetViews>
  <sheetFormatPr defaultRowHeight="14.6" x14ac:dyDescent="0.4"/>
  <cols>
    <col min="29" max="46" width="9.23046875" style="15"/>
    <col min="47" max="54" width="11.07421875" style="15" customWidth="1"/>
    <col min="55" max="55" width="9.23046875" style="15"/>
    <col min="56" max="63" width="10.3046875" style="15" customWidth="1"/>
    <col min="64" max="64" width="9.23046875" style="15"/>
    <col min="65" max="72" width="10" style="15" customWidth="1"/>
    <col min="73" max="16384" width="9.23046875" style="15"/>
  </cols>
  <sheetData>
    <row r="1" spans="1:99" ht="26.15" x14ac:dyDescent="0.7">
      <c r="A1" s="4"/>
      <c r="B1" s="4" t="s">
        <v>104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2"/>
      <c r="AD1" s="42"/>
      <c r="AE1" s="42"/>
      <c r="AF1" s="42"/>
      <c r="AG1" s="42"/>
      <c r="AH1" s="42"/>
      <c r="AI1" s="42"/>
      <c r="AJ1" s="42"/>
      <c r="AL1" s="42"/>
      <c r="AM1" s="42"/>
      <c r="AN1" s="42"/>
      <c r="AO1" s="42"/>
      <c r="AP1" s="42"/>
      <c r="AQ1" s="42"/>
      <c r="AR1" s="42"/>
      <c r="AS1" s="42"/>
      <c r="AT1" s="42"/>
      <c r="AU1" s="42"/>
      <c r="AV1" s="42"/>
      <c r="AW1" s="42"/>
      <c r="AX1" s="42"/>
      <c r="AY1" s="42"/>
      <c r="AZ1" s="42"/>
      <c r="BA1" s="42"/>
      <c r="BB1" s="42"/>
      <c r="BD1" s="42"/>
      <c r="BE1" s="42"/>
      <c r="BF1" s="42"/>
      <c r="BG1" s="42"/>
      <c r="BH1" s="42"/>
      <c r="BI1" s="42"/>
      <c r="BJ1" s="42"/>
      <c r="BK1" s="42"/>
      <c r="BM1" s="42"/>
      <c r="BN1" s="42"/>
      <c r="BO1" s="42"/>
      <c r="BP1" s="42"/>
      <c r="BQ1" s="42"/>
      <c r="BR1" s="42"/>
      <c r="BS1" s="42"/>
      <c r="BT1" s="42"/>
      <c r="BV1" s="42"/>
      <c r="BW1" s="42"/>
      <c r="BX1" s="42"/>
      <c r="BY1" s="42"/>
      <c r="BZ1" s="42"/>
      <c r="CA1" s="42"/>
      <c r="CB1" s="42"/>
      <c r="CC1" s="42"/>
      <c r="CE1" s="42"/>
      <c r="CF1" s="42"/>
      <c r="CG1" s="42"/>
      <c r="CH1" s="42"/>
      <c r="CI1" s="42"/>
      <c r="CJ1" s="42"/>
      <c r="CK1" s="42"/>
      <c r="CL1" s="42"/>
      <c r="CM1" s="42"/>
    </row>
    <row r="3" spans="1:99" ht="18.899999999999999" thickBot="1" x14ac:dyDescent="0.45">
      <c r="CM3" s="45"/>
    </row>
    <row r="4" spans="1:99" s="38" customFormat="1" ht="28.3" customHeight="1" thickBot="1" x14ac:dyDescent="0.55000000000000004">
      <c r="A4" s="128"/>
      <c r="B4" s="199" t="s">
        <v>166</v>
      </c>
      <c r="C4" s="200"/>
      <c r="D4" s="200"/>
      <c r="E4" s="200"/>
      <c r="F4" s="200"/>
      <c r="G4" s="200"/>
      <c r="H4" s="200"/>
      <c r="I4" s="201"/>
      <c r="J4" s="128"/>
      <c r="K4" s="199" t="s">
        <v>167</v>
      </c>
      <c r="L4" s="200"/>
      <c r="M4" s="200"/>
      <c r="N4" s="200"/>
      <c r="O4" s="200"/>
      <c r="P4" s="200"/>
      <c r="Q4" s="200"/>
      <c r="R4" s="201"/>
      <c r="S4" s="128"/>
      <c r="T4" s="199" t="s">
        <v>168</v>
      </c>
      <c r="U4" s="200"/>
      <c r="V4" s="200"/>
      <c r="W4" s="200"/>
      <c r="X4" s="200"/>
      <c r="Y4" s="200"/>
      <c r="Z4" s="200"/>
      <c r="AA4" s="201"/>
      <c r="AB4" s="128"/>
      <c r="AC4" s="205"/>
      <c r="AD4" s="205"/>
      <c r="AE4" s="205"/>
      <c r="AF4" s="205"/>
      <c r="AG4" s="205"/>
      <c r="AH4" s="205"/>
      <c r="AI4" s="205"/>
      <c r="AJ4" s="205"/>
      <c r="AL4" s="205"/>
      <c r="AM4" s="205"/>
      <c r="AN4" s="205"/>
      <c r="AO4" s="205"/>
      <c r="AP4" s="205"/>
      <c r="AQ4" s="205"/>
      <c r="AR4" s="205"/>
      <c r="AS4" s="205"/>
      <c r="AU4" s="205"/>
      <c r="AV4" s="205"/>
      <c r="AW4" s="205"/>
      <c r="AX4" s="205"/>
      <c r="AY4" s="205"/>
      <c r="AZ4" s="205"/>
      <c r="BA4" s="205"/>
      <c r="BB4" s="205"/>
      <c r="BD4" s="205"/>
      <c r="BE4" s="205"/>
      <c r="BF4" s="205"/>
      <c r="BG4" s="205"/>
      <c r="BH4" s="205"/>
      <c r="BI4" s="205"/>
      <c r="BJ4" s="205"/>
      <c r="BK4" s="205"/>
      <c r="BM4" s="205"/>
      <c r="BN4" s="205"/>
      <c r="BO4" s="205"/>
      <c r="BP4" s="205"/>
      <c r="BQ4" s="205"/>
      <c r="BR4" s="205"/>
      <c r="BS4" s="205"/>
      <c r="BT4" s="205"/>
      <c r="BV4" s="205"/>
      <c r="BW4" s="205"/>
      <c r="BX4" s="205"/>
      <c r="BY4" s="205"/>
      <c r="BZ4" s="205"/>
      <c r="CA4" s="205"/>
      <c r="CB4" s="205"/>
      <c r="CC4" s="205"/>
      <c r="CE4" s="205"/>
      <c r="CF4" s="205"/>
      <c r="CG4" s="205"/>
      <c r="CH4" s="205"/>
      <c r="CI4" s="205"/>
      <c r="CJ4" s="205"/>
      <c r="CK4" s="205"/>
      <c r="CL4" s="205"/>
      <c r="CM4" s="139"/>
    </row>
    <row r="5" spans="1:99" ht="21.9" customHeight="1" thickBot="1" x14ac:dyDescent="0.5">
      <c r="B5" s="202" t="s">
        <v>73</v>
      </c>
      <c r="C5" s="203"/>
      <c r="D5" s="203"/>
      <c r="E5" s="203"/>
      <c r="F5" s="203"/>
      <c r="G5" s="203"/>
      <c r="H5" s="203"/>
      <c r="I5" s="204"/>
      <c r="J5" s="8"/>
      <c r="K5" s="202" t="s">
        <v>73</v>
      </c>
      <c r="L5" s="203"/>
      <c r="M5" s="203"/>
      <c r="N5" s="203"/>
      <c r="O5" s="203"/>
      <c r="P5" s="203"/>
      <c r="Q5" s="203"/>
      <c r="R5" s="204"/>
      <c r="S5" s="48"/>
      <c r="T5" s="202" t="s">
        <v>73</v>
      </c>
      <c r="U5" s="203"/>
      <c r="V5" s="203"/>
      <c r="W5" s="203"/>
      <c r="X5" s="203"/>
      <c r="Y5" s="203"/>
      <c r="Z5" s="203"/>
      <c r="AA5" s="204"/>
      <c r="AB5" s="8"/>
      <c r="AC5" s="206"/>
      <c r="AD5" s="206"/>
      <c r="AE5" s="206"/>
      <c r="AF5" s="206"/>
      <c r="AG5" s="206"/>
      <c r="AH5" s="206"/>
      <c r="AI5" s="206"/>
      <c r="AJ5" s="206"/>
      <c r="AK5" s="16"/>
      <c r="AL5" s="206"/>
      <c r="AM5" s="206"/>
      <c r="AN5" s="206"/>
      <c r="AO5" s="206"/>
      <c r="AP5" s="206"/>
      <c r="AQ5" s="206"/>
      <c r="AR5" s="206"/>
      <c r="AS5" s="206"/>
      <c r="AT5" s="16"/>
      <c r="AU5" s="206"/>
      <c r="AV5" s="206"/>
      <c r="AW5" s="206"/>
      <c r="AX5" s="206"/>
      <c r="AY5" s="206"/>
      <c r="AZ5" s="206"/>
      <c r="BA5" s="206"/>
      <c r="BB5" s="206"/>
      <c r="BC5" s="156"/>
      <c r="BD5" s="206"/>
      <c r="BE5" s="206"/>
      <c r="BF5" s="206"/>
      <c r="BG5" s="206"/>
      <c r="BH5" s="206"/>
      <c r="BI5" s="206"/>
      <c r="BJ5" s="206"/>
      <c r="BK5" s="206"/>
      <c r="BL5" s="156"/>
      <c r="BM5" s="206"/>
      <c r="BN5" s="206"/>
      <c r="BO5" s="206"/>
      <c r="BP5" s="206"/>
      <c r="BQ5" s="206"/>
      <c r="BR5" s="206"/>
      <c r="BS5" s="206"/>
      <c r="BT5" s="206"/>
      <c r="BU5" s="16"/>
      <c r="BV5" s="206"/>
      <c r="BW5" s="206"/>
      <c r="BX5" s="206"/>
      <c r="BY5" s="206"/>
      <c r="BZ5" s="206"/>
      <c r="CA5" s="206"/>
      <c r="CB5" s="206"/>
      <c r="CC5" s="206"/>
      <c r="CD5" s="16"/>
      <c r="CE5" s="206"/>
      <c r="CF5" s="206"/>
      <c r="CG5" s="206"/>
      <c r="CH5" s="206"/>
      <c r="CI5" s="206"/>
      <c r="CJ5" s="206"/>
      <c r="CK5" s="206"/>
      <c r="CL5" s="206"/>
      <c r="CM5" s="16"/>
      <c r="CN5" s="207"/>
      <c r="CO5" s="207"/>
      <c r="CP5" s="207"/>
      <c r="CQ5" s="207"/>
      <c r="CR5" s="207"/>
      <c r="CS5" s="207"/>
      <c r="CT5" s="207"/>
      <c r="CU5" s="207"/>
    </row>
    <row r="6" spans="1:99" s="43" customFormat="1" ht="26.6" thickBot="1" x14ac:dyDescent="0.75">
      <c r="A6" s="5"/>
      <c r="B6" s="53" t="s">
        <v>22</v>
      </c>
      <c r="C6" s="21" t="s">
        <v>93</v>
      </c>
      <c r="D6" s="21" t="s">
        <v>71</v>
      </c>
      <c r="E6" s="21" t="s">
        <v>89</v>
      </c>
      <c r="F6" s="29" t="s">
        <v>70</v>
      </c>
      <c r="G6" s="21" t="s">
        <v>90</v>
      </c>
      <c r="H6" s="21" t="s">
        <v>72</v>
      </c>
      <c r="I6" s="54" t="s">
        <v>92</v>
      </c>
      <c r="J6" s="5"/>
      <c r="K6" s="53" t="s">
        <v>22</v>
      </c>
      <c r="L6" s="21" t="s">
        <v>93</v>
      </c>
      <c r="M6" s="21" t="s">
        <v>71</v>
      </c>
      <c r="N6" s="21" t="s">
        <v>89</v>
      </c>
      <c r="O6" s="29" t="s">
        <v>70</v>
      </c>
      <c r="P6" s="21" t="s">
        <v>90</v>
      </c>
      <c r="Q6" s="21" t="s">
        <v>72</v>
      </c>
      <c r="R6" s="54" t="s">
        <v>92</v>
      </c>
      <c r="S6" s="5"/>
      <c r="T6" s="53" t="s">
        <v>22</v>
      </c>
      <c r="U6" s="21" t="s">
        <v>93</v>
      </c>
      <c r="V6" s="21" t="s">
        <v>71</v>
      </c>
      <c r="W6" s="21" t="s">
        <v>89</v>
      </c>
      <c r="X6" s="29" t="s">
        <v>70</v>
      </c>
      <c r="Y6" s="21" t="s">
        <v>90</v>
      </c>
      <c r="Z6" s="21" t="s">
        <v>72</v>
      </c>
      <c r="AA6" s="54" t="s">
        <v>92</v>
      </c>
      <c r="AB6" s="5"/>
      <c r="AC6" s="160"/>
      <c r="AD6" s="160"/>
      <c r="AE6" s="160"/>
      <c r="AF6" s="160"/>
      <c r="AG6" s="160"/>
      <c r="AH6" s="160"/>
      <c r="AI6" s="160"/>
      <c r="AJ6" s="160"/>
      <c r="AL6" s="160"/>
      <c r="AM6" s="160"/>
      <c r="AN6" s="160"/>
      <c r="AO6" s="160"/>
      <c r="AP6" s="160"/>
      <c r="AQ6" s="160"/>
      <c r="AR6" s="160"/>
      <c r="AS6" s="160"/>
      <c r="AU6" s="160"/>
      <c r="AV6" s="160"/>
      <c r="AW6" s="160"/>
      <c r="AX6" s="160"/>
      <c r="AY6" s="160"/>
      <c r="AZ6" s="160"/>
      <c r="BA6" s="160"/>
      <c r="BB6" s="160"/>
      <c r="BC6" s="42"/>
      <c r="BD6" s="160"/>
      <c r="BE6" s="160"/>
      <c r="BF6" s="160"/>
      <c r="BG6" s="160"/>
      <c r="BH6" s="160"/>
      <c r="BI6" s="160"/>
      <c r="BJ6" s="160"/>
      <c r="BK6" s="160"/>
      <c r="BL6" s="42"/>
      <c r="BM6" s="160"/>
      <c r="BN6" s="160"/>
      <c r="BO6" s="160"/>
      <c r="BP6" s="160"/>
      <c r="BQ6" s="160"/>
      <c r="BR6" s="160"/>
      <c r="BS6" s="160"/>
      <c r="BT6" s="160"/>
      <c r="BU6" s="42"/>
      <c r="BV6" s="160"/>
      <c r="BW6" s="160"/>
      <c r="BX6" s="160"/>
      <c r="BY6" s="160"/>
      <c r="BZ6" s="160"/>
      <c r="CA6" s="160"/>
      <c r="CB6" s="160"/>
      <c r="CC6" s="160"/>
      <c r="CD6" s="42"/>
      <c r="CE6" s="160"/>
      <c r="CF6" s="160"/>
      <c r="CG6" s="160"/>
      <c r="CH6" s="160"/>
      <c r="CI6" s="160"/>
      <c r="CJ6" s="160"/>
      <c r="CK6" s="160"/>
      <c r="CL6" s="160"/>
      <c r="CM6" s="155"/>
    </row>
    <row r="7" spans="1:99" ht="15.45" x14ac:dyDescent="0.4">
      <c r="B7" s="55">
        <v>2021</v>
      </c>
      <c r="C7" s="31">
        <v>0.243621</v>
      </c>
      <c r="D7" s="31">
        <v>0.263403</v>
      </c>
      <c r="E7" s="31">
        <v>0.29213100000000003</v>
      </c>
      <c r="F7" s="31">
        <v>0.33056100000000005</v>
      </c>
      <c r="G7" s="31">
        <v>0.36754200000000004</v>
      </c>
      <c r="H7" s="31">
        <v>0.40168799999999999</v>
      </c>
      <c r="I7" s="58">
        <v>0.423234</v>
      </c>
      <c r="K7" s="55">
        <v>2021</v>
      </c>
      <c r="L7" s="31">
        <v>0.24330599999999999</v>
      </c>
      <c r="M7" s="31">
        <v>0.263403</v>
      </c>
      <c r="N7" s="31">
        <v>0.29175299999999998</v>
      </c>
      <c r="O7" s="31">
        <v>0.33043499999999998</v>
      </c>
      <c r="P7" s="31">
        <v>0.36754200000000004</v>
      </c>
      <c r="Q7" s="31">
        <v>0.40156199999999997</v>
      </c>
      <c r="R7" s="58">
        <v>0.42354900000000001</v>
      </c>
      <c r="T7" s="55">
        <v>2021</v>
      </c>
      <c r="U7" s="31">
        <v>0.24374700000000002</v>
      </c>
      <c r="V7" s="31">
        <v>0.26346600000000003</v>
      </c>
      <c r="W7" s="31">
        <v>0.29200500000000001</v>
      </c>
      <c r="X7" s="31">
        <v>0.33075000000000004</v>
      </c>
      <c r="Y7" s="31">
        <v>0.36747900000000006</v>
      </c>
      <c r="Z7" s="31">
        <v>0.40143600000000002</v>
      </c>
      <c r="AA7" s="58">
        <v>0.42386399999999996</v>
      </c>
      <c r="AC7" s="160"/>
      <c r="AD7" s="31"/>
      <c r="AE7" s="31"/>
      <c r="AF7" s="31"/>
      <c r="AG7" s="31"/>
      <c r="AH7" s="31"/>
      <c r="AI7" s="31"/>
      <c r="AJ7" s="31"/>
      <c r="AL7" s="160"/>
      <c r="AM7" s="31"/>
      <c r="AN7" s="31"/>
      <c r="AO7" s="31"/>
      <c r="AP7" s="31"/>
      <c r="AQ7" s="31"/>
      <c r="AR7" s="31"/>
      <c r="AS7" s="31"/>
      <c r="AU7" s="160"/>
      <c r="AV7" s="31"/>
      <c r="AW7" s="31"/>
      <c r="AX7" s="31"/>
      <c r="AY7" s="31"/>
      <c r="AZ7" s="31"/>
      <c r="BA7" s="31"/>
      <c r="BB7" s="31"/>
      <c r="BC7" s="44"/>
      <c r="BD7" s="160"/>
      <c r="BE7" s="31"/>
      <c r="BF7" s="31"/>
      <c r="BG7" s="31"/>
      <c r="BH7" s="31"/>
      <c r="BI7" s="31"/>
      <c r="BJ7" s="31"/>
      <c r="BK7" s="31"/>
      <c r="BL7" s="44"/>
      <c r="BM7" s="160"/>
      <c r="BN7" s="31"/>
      <c r="BO7" s="31"/>
      <c r="BP7" s="31"/>
      <c r="BQ7" s="31"/>
      <c r="BR7" s="31"/>
      <c r="BS7" s="31"/>
      <c r="BT7" s="31"/>
      <c r="BU7" s="44"/>
      <c r="BV7" s="160"/>
      <c r="BW7" s="31"/>
      <c r="BX7" s="31"/>
      <c r="BY7" s="31"/>
      <c r="BZ7" s="31"/>
      <c r="CA7" s="31"/>
      <c r="CB7" s="31"/>
      <c r="CC7" s="31"/>
      <c r="CD7" s="44"/>
      <c r="CE7" s="160"/>
      <c r="CF7" s="138"/>
      <c r="CG7" s="31"/>
      <c r="CH7" s="31"/>
      <c r="CI7" s="31"/>
      <c r="CJ7" s="31"/>
      <c r="CK7" s="31"/>
      <c r="CL7" s="31"/>
    </row>
    <row r="8" spans="1:99" ht="15.45" x14ac:dyDescent="0.4">
      <c r="B8" s="55">
        <v>2022</v>
      </c>
      <c r="C8" s="31">
        <v>0.16417799999999999</v>
      </c>
      <c r="D8" s="31">
        <v>0.17671500000000001</v>
      </c>
      <c r="E8" s="31">
        <v>0.204813</v>
      </c>
      <c r="F8" s="31">
        <v>0.22919400000000001</v>
      </c>
      <c r="G8" s="31">
        <v>0.26107199999999997</v>
      </c>
      <c r="H8" s="31">
        <v>0.29805300000000001</v>
      </c>
      <c r="I8" s="58">
        <v>0.32130000000000003</v>
      </c>
      <c r="K8" s="55">
        <v>2022</v>
      </c>
      <c r="L8" s="31">
        <v>0.164052</v>
      </c>
      <c r="M8" s="31">
        <v>0.17646300000000001</v>
      </c>
      <c r="N8" s="31">
        <v>0.20468700000000001</v>
      </c>
      <c r="O8" s="31">
        <v>0.22919400000000001</v>
      </c>
      <c r="P8" s="31">
        <v>0.26138699999999998</v>
      </c>
      <c r="Q8" s="31">
        <v>0.29767499999999997</v>
      </c>
      <c r="R8" s="58">
        <v>0.32111100000000004</v>
      </c>
      <c r="T8" s="55">
        <v>2022</v>
      </c>
      <c r="U8" s="31">
        <v>0.16417799999999999</v>
      </c>
      <c r="V8" s="31">
        <v>0.17690400000000001</v>
      </c>
      <c r="W8" s="31">
        <v>0.20475000000000002</v>
      </c>
      <c r="X8" s="31">
        <v>0.22913100000000003</v>
      </c>
      <c r="Y8" s="31">
        <v>0.26138699999999998</v>
      </c>
      <c r="Z8" s="31">
        <v>0.29798999999999998</v>
      </c>
      <c r="AA8" s="58">
        <v>0.32192999999999999</v>
      </c>
      <c r="AC8" s="160"/>
      <c r="AD8" s="31"/>
      <c r="AE8" s="31"/>
      <c r="AF8" s="31"/>
      <c r="AG8" s="31"/>
      <c r="AH8" s="31"/>
      <c r="AI8" s="31"/>
      <c r="AJ8" s="31"/>
      <c r="AL8" s="160"/>
      <c r="AM8" s="31"/>
      <c r="AN8" s="31"/>
      <c r="AO8" s="31"/>
      <c r="AP8" s="31"/>
      <c r="AQ8" s="31"/>
      <c r="AR8" s="31"/>
      <c r="AS8" s="31"/>
      <c r="AU8" s="160"/>
      <c r="AV8" s="31"/>
      <c r="AW8" s="31"/>
      <c r="AX8" s="31"/>
      <c r="AY8" s="31"/>
      <c r="AZ8" s="31"/>
      <c r="BA8" s="31"/>
      <c r="BB8" s="31"/>
      <c r="BD8" s="160"/>
      <c r="BE8" s="31"/>
      <c r="BF8" s="31"/>
      <c r="BG8" s="31"/>
      <c r="BH8" s="31"/>
      <c r="BI8" s="31"/>
      <c r="BJ8" s="31"/>
      <c r="BK8" s="31"/>
      <c r="BM8" s="160"/>
      <c r="BN8" s="31"/>
      <c r="BO8" s="31"/>
      <c r="BP8" s="31"/>
      <c r="BQ8" s="31"/>
      <c r="BR8" s="31"/>
      <c r="BS8" s="31"/>
      <c r="BT8" s="31"/>
      <c r="BV8" s="160"/>
      <c r="BW8" s="31"/>
      <c r="BX8" s="31"/>
      <c r="BY8" s="31"/>
      <c r="BZ8" s="31"/>
      <c r="CA8" s="31"/>
      <c r="CB8" s="31"/>
      <c r="CC8" s="31"/>
      <c r="CE8" s="160"/>
      <c r="CF8" s="31"/>
      <c r="CG8" s="31"/>
      <c r="CH8" s="31"/>
      <c r="CI8" s="31"/>
      <c r="CJ8" s="31"/>
      <c r="CK8" s="31"/>
      <c r="CL8" s="31"/>
    </row>
    <row r="9" spans="1:99" ht="15.45" x14ac:dyDescent="0.4">
      <c r="B9" s="55">
        <v>2023</v>
      </c>
      <c r="C9" s="31">
        <v>0.160776</v>
      </c>
      <c r="D9" s="31">
        <v>0.174258</v>
      </c>
      <c r="E9" s="31">
        <v>0.20027700000000001</v>
      </c>
      <c r="F9" s="31">
        <v>0.23247000000000001</v>
      </c>
      <c r="G9" s="31">
        <v>0.27216000000000001</v>
      </c>
      <c r="H9" s="31">
        <v>0.317079</v>
      </c>
      <c r="I9" s="58">
        <v>0.34612199999999999</v>
      </c>
      <c r="K9" s="55">
        <v>2023</v>
      </c>
      <c r="L9" s="31">
        <v>0.16083900000000001</v>
      </c>
      <c r="M9" s="31">
        <v>0.17419500000000002</v>
      </c>
      <c r="N9" s="31">
        <v>0.200151</v>
      </c>
      <c r="O9" s="31">
        <v>0.23272200000000001</v>
      </c>
      <c r="P9" s="31">
        <v>0.271845</v>
      </c>
      <c r="Q9" s="31">
        <v>0.31676400000000005</v>
      </c>
      <c r="R9" s="58">
        <v>0.34706699999999996</v>
      </c>
      <c r="T9" s="55">
        <v>2023</v>
      </c>
      <c r="U9" s="31">
        <v>0.160965</v>
      </c>
      <c r="V9" s="31">
        <v>0.174258</v>
      </c>
      <c r="W9" s="31">
        <v>0.20008799999999999</v>
      </c>
      <c r="X9" s="31">
        <v>0.232596</v>
      </c>
      <c r="Y9" s="31">
        <v>0.27190799999999998</v>
      </c>
      <c r="Z9" s="31">
        <v>0.31714199999999998</v>
      </c>
      <c r="AA9" s="58">
        <v>0.34731899999999999</v>
      </c>
      <c r="AC9" s="160"/>
      <c r="AD9" s="31"/>
      <c r="AE9" s="31"/>
      <c r="AF9" s="31"/>
      <c r="AG9" s="31"/>
      <c r="AH9" s="31"/>
      <c r="AI9" s="31"/>
      <c r="AJ9" s="31"/>
      <c r="AL9" s="160"/>
      <c r="AM9" s="31"/>
      <c r="AN9" s="31"/>
      <c r="AO9" s="31"/>
      <c r="AP9" s="31"/>
      <c r="AQ9" s="31"/>
      <c r="AR9" s="31"/>
      <c r="AS9" s="31"/>
      <c r="AU9" s="160"/>
      <c r="AV9" s="31"/>
      <c r="AW9" s="31"/>
      <c r="AX9" s="31"/>
      <c r="AY9" s="31"/>
      <c r="AZ9" s="31"/>
      <c r="BA9" s="31"/>
      <c r="BB9" s="31"/>
      <c r="BD9" s="160"/>
      <c r="BE9" s="31"/>
      <c r="BF9" s="31"/>
      <c r="BG9" s="31"/>
      <c r="BH9" s="31"/>
      <c r="BI9" s="31"/>
      <c r="BJ9" s="31"/>
      <c r="BK9" s="31"/>
      <c r="BM9" s="160"/>
      <c r="BN9" s="31"/>
      <c r="BO9" s="31"/>
      <c r="BP9" s="31"/>
      <c r="BQ9" s="31"/>
      <c r="BR9" s="31"/>
      <c r="BS9" s="31"/>
      <c r="BT9" s="31"/>
      <c r="BV9" s="160"/>
      <c r="BW9" s="31"/>
      <c r="BX9" s="31"/>
      <c r="BY9" s="31"/>
      <c r="BZ9" s="31"/>
      <c r="CA9" s="31"/>
      <c r="CB9" s="31"/>
      <c r="CC9" s="31"/>
      <c r="CE9" s="160"/>
      <c r="CF9" s="31"/>
      <c r="CG9" s="31"/>
      <c r="CH9" s="31"/>
      <c r="CI9" s="31"/>
      <c r="CJ9" s="31"/>
      <c r="CK9" s="31"/>
      <c r="CL9" s="31"/>
    </row>
    <row r="10" spans="1:99" ht="15.45" x14ac:dyDescent="0.4">
      <c r="B10" s="55">
        <v>2024</v>
      </c>
      <c r="C10" s="31">
        <v>0.17085600000000001</v>
      </c>
      <c r="D10" s="31">
        <v>0.18534600000000001</v>
      </c>
      <c r="E10" s="31">
        <v>0.21407399999999999</v>
      </c>
      <c r="F10" s="31">
        <v>0.25395299999999998</v>
      </c>
      <c r="G10" s="31">
        <v>0.305676</v>
      </c>
      <c r="H10" s="31">
        <v>0.36508499999999999</v>
      </c>
      <c r="I10" s="58">
        <v>0.40805100000000005</v>
      </c>
      <c r="K10" s="55">
        <v>2024</v>
      </c>
      <c r="L10" s="31">
        <v>0.17073000000000002</v>
      </c>
      <c r="M10" s="31">
        <v>0.18553499999999998</v>
      </c>
      <c r="N10" s="31">
        <v>0.21401100000000001</v>
      </c>
      <c r="O10" s="31">
        <v>0.25376399999999999</v>
      </c>
      <c r="P10" s="31">
        <v>0.30510900000000002</v>
      </c>
      <c r="Q10" s="31">
        <v>0.36527399999999999</v>
      </c>
      <c r="R10" s="58">
        <v>0.40874400000000005</v>
      </c>
      <c r="T10" s="55">
        <v>2024</v>
      </c>
      <c r="U10" s="31">
        <v>0.17060400000000001</v>
      </c>
      <c r="V10" s="31">
        <v>0.18528299999999998</v>
      </c>
      <c r="W10" s="31">
        <v>0.213759</v>
      </c>
      <c r="X10" s="31">
        <v>0.25389</v>
      </c>
      <c r="Y10" s="31">
        <v>0.30599100000000001</v>
      </c>
      <c r="Z10" s="31">
        <v>0.36615600000000004</v>
      </c>
      <c r="AA10" s="58">
        <v>0.41012999999999999</v>
      </c>
      <c r="AC10" s="160"/>
      <c r="AD10" s="31"/>
      <c r="AE10" s="31"/>
      <c r="AF10" s="31"/>
      <c r="AG10" s="31"/>
      <c r="AH10" s="31"/>
      <c r="AI10" s="31"/>
      <c r="AJ10" s="31"/>
      <c r="AL10" s="160"/>
      <c r="AM10" s="31"/>
      <c r="AN10" s="31"/>
      <c r="AO10" s="31"/>
      <c r="AP10" s="31"/>
      <c r="AQ10" s="31"/>
      <c r="AR10" s="31"/>
      <c r="AS10" s="31"/>
      <c r="AU10" s="160"/>
      <c r="AV10" s="31"/>
      <c r="AW10" s="31"/>
      <c r="AX10" s="31"/>
      <c r="AY10" s="31"/>
      <c r="AZ10" s="31"/>
      <c r="BA10" s="31"/>
      <c r="BB10" s="31"/>
      <c r="BD10" s="160"/>
      <c r="BE10" s="31"/>
      <c r="BF10" s="31"/>
      <c r="BG10" s="31"/>
      <c r="BH10" s="31"/>
      <c r="BI10" s="31"/>
      <c r="BJ10" s="31"/>
      <c r="BK10" s="31"/>
      <c r="BM10" s="160"/>
      <c r="BN10" s="31"/>
      <c r="BO10" s="31"/>
      <c r="BP10" s="31"/>
      <c r="BQ10" s="31"/>
      <c r="BR10" s="31"/>
      <c r="BS10" s="31"/>
      <c r="BT10" s="31"/>
      <c r="BV10" s="160"/>
      <c r="BW10" s="31"/>
      <c r="BX10" s="31"/>
      <c r="BY10" s="31"/>
      <c r="BZ10" s="31"/>
      <c r="CA10" s="31"/>
      <c r="CB10" s="31"/>
      <c r="CC10" s="31"/>
      <c r="CE10" s="160"/>
      <c r="CF10" s="31"/>
      <c r="CG10" s="31"/>
      <c r="CH10" s="31"/>
      <c r="CI10" s="31"/>
      <c r="CJ10" s="31"/>
      <c r="CK10" s="31"/>
      <c r="CL10" s="31"/>
    </row>
    <row r="11" spans="1:99" ht="15.45" x14ac:dyDescent="0.4">
      <c r="B11" s="55">
        <v>2025</v>
      </c>
      <c r="C11" s="31">
        <v>0.181062</v>
      </c>
      <c r="D11" s="31">
        <v>0.19838700000000001</v>
      </c>
      <c r="E11" s="31">
        <v>0.232659</v>
      </c>
      <c r="F11" s="31">
        <v>0.28312200000000004</v>
      </c>
      <c r="G11" s="31">
        <v>0.35235900000000003</v>
      </c>
      <c r="H11" s="31">
        <v>0.43860600000000005</v>
      </c>
      <c r="I11" s="58">
        <v>0.50526000000000004</v>
      </c>
      <c r="K11" s="55">
        <v>2025</v>
      </c>
      <c r="L11" s="31">
        <v>0.25326000000000004</v>
      </c>
      <c r="M11" s="31">
        <v>0.278082</v>
      </c>
      <c r="N11" s="31">
        <v>0.327789</v>
      </c>
      <c r="O11" s="31">
        <v>0.40156199999999997</v>
      </c>
      <c r="P11" s="31">
        <v>0.50664600000000004</v>
      </c>
      <c r="Q11" s="31">
        <v>0.64322999999999997</v>
      </c>
      <c r="R11" s="58">
        <v>0.75203100000000001</v>
      </c>
      <c r="T11" s="55">
        <v>2025</v>
      </c>
      <c r="U11" s="31">
        <v>0.25300800000000001</v>
      </c>
      <c r="V11" s="31">
        <v>0.277389</v>
      </c>
      <c r="W11" s="31">
        <v>0.32741100000000001</v>
      </c>
      <c r="X11" s="31">
        <v>0.40194000000000002</v>
      </c>
      <c r="Y11" s="31">
        <v>0.50847300000000006</v>
      </c>
      <c r="Z11" s="31">
        <v>0.64455299999999993</v>
      </c>
      <c r="AA11" s="58">
        <v>0.75663000000000002</v>
      </c>
      <c r="AC11" s="160"/>
      <c r="AD11" s="28"/>
      <c r="AE11" s="28"/>
      <c r="AF11" s="28"/>
      <c r="AG11" s="28"/>
      <c r="AH11" s="28"/>
      <c r="AI11" s="28"/>
      <c r="AJ11" s="28"/>
      <c r="AL11" s="160"/>
      <c r="AM11" s="28"/>
      <c r="AN11" s="28"/>
      <c r="AO11" s="28"/>
      <c r="AP11" s="28"/>
      <c r="AQ11" s="28"/>
      <c r="AR11" s="28"/>
      <c r="AS11" s="28"/>
      <c r="AU11" s="160"/>
      <c r="AV11" s="28"/>
      <c r="AW11" s="28"/>
      <c r="AX11" s="28"/>
      <c r="AY11" s="28"/>
      <c r="AZ11" s="28"/>
      <c r="BA11" s="28"/>
      <c r="BB11" s="28"/>
      <c r="BD11" s="160"/>
      <c r="BE11" s="28"/>
      <c r="BF11" s="28"/>
      <c r="BG11" s="28"/>
      <c r="BH11" s="28"/>
      <c r="BI11" s="28"/>
      <c r="BJ11" s="28"/>
      <c r="BK11" s="28"/>
      <c r="BM11" s="160"/>
      <c r="BN11" s="28"/>
      <c r="BO11" s="28"/>
      <c r="BP11" s="28"/>
      <c r="BQ11" s="28"/>
      <c r="BR11" s="28"/>
      <c r="BS11" s="28"/>
      <c r="BT11" s="28"/>
      <c r="BV11" s="160"/>
      <c r="BW11" s="31"/>
      <c r="BX11" s="31"/>
      <c r="BY11" s="31"/>
      <c r="BZ11" s="31"/>
      <c r="CA11" s="31"/>
      <c r="CB11" s="31"/>
      <c r="CC11" s="31"/>
      <c r="CE11" s="160"/>
      <c r="CF11" s="31"/>
      <c r="CG11" s="31"/>
      <c r="CH11" s="31"/>
      <c r="CI11" s="31"/>
      <c r="CJ11" s="31"/>
      <c r="CK11" s="31"/>
      <c r="CL11" s="31"/>
    </row>
    <row r="12" spans="1:99" ht="15.45" x14ac:dyDescent="0.4">
      <c r="B12" s="55">
        <v>2026</v>
      </c>
      <c r="C12" s="31">
        <v>0.18522</v>
      </c>
      <c r="D12" s="31">
        <v>0.20456099999999999</v>
      </c>
      <c r="E12" s="31">
        <v>0.24406200000000003</v>
      </c>
      <c r="F12" s="31">
        <v>0.30233700000000002</v>
      </c>
      <c r="G12" s="31">
        <v>0.387513</v>
      </c>
      <c r="H12" s="31">
        <v>0.501606</v>
      </c>
      <c r="I12" s="58">
        <v>0.598437</v>
      </c>
      <c r="K12" s="55">
        <v>2026</v>
      </c>
      <c r="L12" s="31">
        <v>0.19775700000000002</v>
      </c>
      <c r="M12" s="31">
        <v>0.21986999999999998</v>
      </c>
      <c r="N12" s="31">
        <v>0.26447399999999999</v>
      </c>
      <c r="O12" s="31">
        <v>0.33459300000000003</v>
      </c>
      <c r="P12" s="31">
        <v>0.44106299999999998</v>
      </c>
      <c r="Q12" s="31">
        <v>0.59031</v>
      </c>
      <c r="R12" s="58">
        <v>0.72279899999999997</v>
      </c>
      <c r="T12" s="55">
        <v>2026</v>
      </c>
      <c r="U12" s="31">
        <v>0.27568799999999999</v>
      </c>
      <c r="V12" s="31">
        <v>0.30781799999999998</v>
      </c>
      <c r="W12" s="31">
        <v>0.37447200000000003</v>
      </c>
      <c r="X12" s="31">
        <v>0.479682</v>
      </c>
      <c r="Y12" s="31">
        <v>0.64556099999999994</v>
      </c>
      <c r="Z12" s="31">
        <v>0.89504100000000009</v>
      </c>
      <c r="AA12" s="58">
        <v>1.1280779999999999</v>
      </c>
      <c r="AC12" s="160"/>
      <c r="AD12" s="28"/>
      <c r="AE12" s="28"/>
      <c r="AF12" s="28"/>
      <c r="AG12" s="28"/>
      <c r="AH12" s="28"/>
      <c r="AI12" s="28"/>
      <c r="AJ12" s="28"/>
      <c r="AL12" s="160"/>
      <c r="AM12" s="28"/>
      <c r="AN12" s="28"/>
      <c r="AO12" s="28"/>
      <c r="AP12" s="28"/>
      <c r="AQ12" s="28"/>
      <c r="AR12" s="28"/>
      <c r="AS12" s="28"/>
      <c r="AU12" s="160"/>
      <c r="AV12" s="28"/>
      <c r="AW12" s="28"/>
      <c r="AX12" s="28"/>
      <c r="AY12" s="28"/>
      <c r="AZ12" s="28"/>
      <c r="BA12" s="28"/>
      <c r="BB12" s="28"/>
      <c r="BD12" s="160"/>
      <c r="BE12" s="28"/>
      <c r="BF12" s="28"/>
      <c r="BG12" s="28"/>
      <c r="BH12" s="28"/>
      <c r="BI12" s="28"/>
      <c r="BJ12" s="28"/>
      <c r="BK12" s="28"/>
      <c r="BM12" s="160"/>
      <c r="BN12" s="28"/>
      <c r="BO12" s="28"/>
      <c r="BP12" s="28"/>
      <c r="BQ12" s="28"/>
      <c r="BR12" s="28"/>
      <c r="BS12" s="28"/>
      <c r="BT12" s="28"/>
      <c r="BV12" s="160"/>
      <c r="BW12" s="31"/>
      <c r="BX12" s="31"/>
      <c r="BY12" s="31"/>
      <c r="BZ12" s="31"/>
      <c r="CA12" s="31"/>
      <c r="CB12" s="31"/>
      <c r="CC12" s="31"/>
      <c r="CE12" s="160"/>
      <c r="CF12" s="31"/>
      <c r="CG12" s="31"/>
      <c r="CH12" s="31"/>
      <c r="CI12" s="31"/>
      <c r="CJ12" s="31"/>
      <c r="CK12" s="31"/>
      <c r="CL12" s="31"/>
    </row>
    <row r="13" spans="1:99" ht="15.45" x14ac:dyDescent="0.4">
      <c r="B13" s="55">
        <v>2027</v>
      </c>
      <c r="C13" s="31">
        <v>0.189</v>
      </c>
      <c r="D13" s="31">
        <v>0.21079800000000001</v>
      </c>
      <c r="E13" s="31">
        <v>0.25395299999999998</v>
      </c>
      <c r="F13" s="31">
        <v>0.32022899999999999</v>
      </c>
      <c r="G13" s="31">
        <v>0.41983199999999998</v>
      </c>
      <c r="H13" s="31">
        <v>0.561141</v>
      </c>
      <c r="I13" s="58">
        <v>0.69060600000000005</v>
      </c>
      <c r="K13" s="55">
        <v>2027</v>
      </c>
      <c r="L13" s="31">
        <v>0.20034000000000002</v>
      </c>
      <c r="M13" s="31">
        <v>0.223965</v>
      </c>
      <c r="N13" s="31">
        <v>0.27278999999999998</v>
      </c>
      <c r="O13" s="31">
        <v>0.35021699999999995</v>
      </c>
      <c r="P13" s="31">
        <v>0.47079899999999997</v>
      </c>
      <c r="Q13" s="31">
        <v>0.65249100000000004</v>
      </c>
      <c r="R13" s="58">
        <v>0.82246500000000011</v>
      </c>
      <c r="T13" s="55">
        <v>2027</v>
      </c>
      <c r="U13" s="31">
        <v>0.213759</v>
      </c>
      <c r="V13" s="31">
        <v>0.24122700000000002</v>
      </c>
      <c r="W13" s="31">
        <v>0.299124</v>
      </c>
      <c r="X13" s="31">
        <v>0.39349800000000001</v>
      </c>
      <c r="Y13" s="31">
        <v>0.55024200000000001</v>
      </c>
      <c r="Z13" s="31">
        <v>0.81162900000000004</v>
      </c>
      <c r="AA13" s="58">
        <v>1.0689840000000002</v>
      </c>
      <c r="AC13" s="160"/>
      <c r="AD13" s="28"/>
      <c r="AE13" s="28"/>
      <c r="AF13" s="28"/>
      <c r="AG13" s="28"/>
      <c r="AH13" s="28"/>
      <c r="AI13" s="28"/>
      <c r="AJ13" s="28"/>
      <c r="AL13" s="160"/>
      <c r="AM13" s="28"/>
      <c r="AN13" s="28"/>
      <c r="AO13" s="28"/>
      <c r="AP13" s="28"/>
      <c r="AQ13" s="28"/>
      <c r="AR13" s="28"/>
      <c r="AS13" s="28"/>
      <c r="AU13" s="160"/>
      <c r="AV13" s="28"/>
      <c r="AW13" s="28"/>
      <c r="AX13" s="28"/>
      <c r="AY13" s="28"/>
      <c r="AZ13" s="28"/>
      <c r="BA13" s="28"/>
      <c r="BB13" s="28"/>
      <c r="BD13" s="160"/>
      <c r="BE13" s="28"/>
      <c r="BF13" s="28"/>
      <c r="BG13" s="28"/>
      <c r="BH13" s="28"/>
      <c r="BI13" s="28"/>
      <c r="BJ13" s="28"/>
      <c r="BK13" s="28"/>
      <c r="BM13" s="160"/>
      <c r="BN13" s="28"/>
      <c r="BO13" s="28"/>
      <c r="BP13" s="28"/>
      <c r="BQ13" s="28"/>
      <c r="BR13" s="28"/>
      <c r="BS13" s="28"/>
      <c r="BT13" s="28"/>
      <c r="BV13" s="160"/>
      <c r="BW13" s="31"/>
      <c r="BX13" s="31"/>
      <c r="BY13" s="31"/>
      <c r="BZ13" s="31"/>
      <c r="CA13" s="31"/>
      <c r="CB13" s="31"/>
      <c r="CC13" s="31"/>
      <c r="CE13" s="160"/>
      <c r="CF13" s="31"/>
      <c r="CG13" s="31"/>
      <c r="CH13" s="31"/>
      <c r="CI13" s="31"/>
      <c r="CJ13" s="31"/>
      <c r="CK13" s="31"/>
      <c r="CL13" s="31"/>
    </row>
    <row r="14" spans="1:99" ht="15.45" x14ac:dyDescent="0.4">
      <c r="B14" s="55">
        <v>2028</v>
      </c>
      <c r="C14" s="31">
        <v>0.182952</v>
      </c>
      <c r="D14" s="31">
        <v>0.20493899999999998</v>
      </c>
      <c r="E14" s="31">
        <v>0.248031</v>
      </c>
      <c r="F14" s="31">
        <v>0.31550400000000001</v>
      </c>
      <c r="G14" s="31">
        <v>0.41920200000000002</v>
      </c>
      <c r="H14" s="31">
        <v>0.57203999999999999</v>
      </c>
      <c r="I14" s="58">
        <v>0.71259300000000003</v>
      </c>
      <c r="K14" s="55">
        <v>2028</v>
      </c>
      <c r="L14" s="31">
        <v>0.18244800000000003</v>
      </c>
      <c r="M14" s="31">
        <v>0.20456099999999999</v>
      </c>
      <c r="N14" s="31">
        <v>0.25017300000000003</v>
      </c>
      <c r="O14" s="31">
        <v>0.32224499999999995</v>
      </c>
      <c r="P14" s="31">
        <v>0.43640099999999998</v>
      </c>
      <c r="Q14" s="31">
        <v>0.61418700000000004</v>
      </c>
      <c r="R14" s="58">
        <v>0.77956200000000009</v>
      </c>
      <c r="T14" s="55">
        <v>2028</v>
      </c>
      <c r="U14" s="31">
        <v>0.18799199999999999</v>
      </c>
      <c r="V14" s="31">
        <v>0.212121</v>
      </c>
      <c r="W14" s="31">
        <v>0.26315100000000002</v>
      </c>
      <c r="X14" s="31">
        <v>0.34618500000000002</v>
      </c>
      <c r="Y14" s="31">
        <v>0.48598199999999997</v>
      </c>
      <c r="Z14" s="31">
        <v>0.71164799999999995</v>
      </c>
      <c r="AA14" s="58">
        <v>0.94544099999999998</v>
      </c>
      <c r="AC14" s="160"/>
      <c r="AD14" s="28"/>
      <c r="AE14" s="28"/>
      <c r="AF14" s="28"/>
      <c r="AG14" s="28"/>
      <c r="AH14" s="28"/>
      <c r="AI14" s="28"/>
      <c r="AJ14" s="28"/>
      <c r="AL14" s="160"/>
      <c r="AM14" s="28"/>
      <c r="AN14" s="28"/>
      <c r="AO14" s="28"/>
      <c r="AP14" s="28"/>
      <c r="AQ14" s="28"/>
      <c r="AR14" s="28"/>
      <c r="AS14" s="28"/>
      <c r="AU14" s="160"/>
      <c r="AV14" s="28"/>
      <c r="AW14" s="28"/>
      <c r="AX14" s="28"/>
      <c r="AY14" s="28"/>
      <c r="AZ14" s="28"/>
      <c r="BA14" s="28"/>
      <c r="BB14" s="28"/>
      <c r="BD14" s="160"/>
      <c r="BE14" s="28"/>
      <c r="BF14" s="28"/>
      <c r="BG14" s="28"/>
      <c r="BH14" s="28"/>
      <c r="BI14" s="28"/>
      <c r="BJ14" s="28"/>
      <c r="BK14" s="28"/>
      <c r="BM14" s="160"/>
      <c r="BN14" s="28"/>
      <c r="BO14" s="28"/>
      <c r="BP14" s="28"/>
      <c r="BQ14" s="28"/>
      <c r="BR14" s="28"/>
      <c r="BS14" s="28"/>
      <c r="BT14" s="28"/>
      <c r="BV14" s="160"/>
      <c r="BW14" s="31"/>
      <c r="BX14" s="31"/>
      <c r="BY14" s="31"/>
      <c r="BZ14" s="31"/>
      <c r="CA14" s="31"/>
      <c r="CB14" s="31"/>
      <c r="CC14" s="31"/>
      <c r="CE14" s="160"/>
      <c r="CF14" s="31"/>
      <c r="CG14" s="31"/>
      <c r="CH14" s="31"/>
      <c r="CI14" s="31"/>
      <c r="CJ14" s="31"/>
      <c r="CK14" s="31"/>
      <c r="CL14" s="31"/>
    </row>
    <row r="15" spans="1:99" ht="15.45" x14ac:dyDescent="0.4">
      <c r="B15" s="55">
        <v>2029</v>
      </c>
      <c r="C15" s="31">
        <v>0.185472</v>
      </c>
      <c r="D15" s="31">
        <v>0.20733300000000002</v>
      </c>
      <c r="E15" s="31">
        <v>0.25250400000000001</v>
      </c>
      <c r="F15" s="31">
        <v>0.32400899999999999</v>
      </c>
      <c r="G15" s="31">
        <v>0.43577099999999996</v>
      </c>
      <c r="H15" s="31">
        <v>0.59988600000000003</v>
      </c>
      <c r="I15" s="58">
        <v>0.75833099999999998</v>
      </c>
      <c r="K15" s="55">
        <v>2029</v>
      </c>
      <c r="L15" s="31">
        <v>0.18099899999999999</v>
      </c>
      <c r="M15" s="31">
        <v>0.202986</v>
      </c>
      <c r="N15" s="31">
        <v>0.248913</v>
      </c>
      <c r="O15" s="31">
        <v>0.32111100000000004</v>
      </c>
      <c r="P15" s="31">
        <v>0.43671600000000005</v>
      </c>
      <c r="Q15" s="31">
        <v>0.61437599999999992</v>
      </c>
      <c r="R15" s="58">
        <v>0.78806699999999996</v>
      </c>
      <c r="T15" s="55">
        <v>2029</v>
      </c>
      <c r="U15" s="31">
        <v>0.18377100000000002</v>
      </c>
      <c r="V15" s="31">
        <v>0.206955</v>
      </c>
      <c r="W15" s="31">
        <v>0.255969</v>
      </c>
      <c r="X15" s="31">
        <v>0.33522299999999999</v>
      </c>
      <c r="Y15" s="31">
        <v>0.46802700000000003</v>
      </c>
      <c r="Z15" s="31">
        <v>0.67699799999999999</v>
      </c>
      <c r="AA15" s="58">
        <v>0.89541899999999996</v>
      </c>
      <c r="AC15" s="160"/>
      <c r="AD15" s="28"/>
      <c r="AE15" s="28"/>
      <c r="AF15" s="28"/>
      <c r="AG15" s="28"/>
      <c r="AH15" s="28"/>
      <c r="AI15" s="28"/>
      <c r="AJ15" s="28"/>
      <c r="AL15" s="160"/>
      <c r="AM15" s="28"/>
      <c r="AN15" s="28"/>
      <c r="AO15" s="28"/>
      <c r="AP15" s="28"/>
      <c r="AQ15" s="28"/>
      <c r="AR15" s="28"/>
      <c r="AS15" s="28"/>
      <c r="AU15" s="160"/>
      <c r="AV15" s="28"/>
      <c r="AW15" s="28"/>
      <c r="AX15" s="28"/>
      <c r="AY15" s="28"/>
      <c r="AZ15" s="28"/>
      <c r="BA15" s="28"/>
      <c r="BB15" s="28"/>
      <c r="BD15" s="160"/>
      <c r="BE15" s="28"/>
      <c r="BF15" s="28"/>
      <c r="BG15" s="28"/>
      <c r="BH15" s="28"/>
      <c r="BI15" s="28"/>
      <c r="BJ15" s="28"/>
      <c r="BK15" s="28"/>
      <c r="BM15" s="160"/>
      <c r="BN15" s="28"/>
      <c r="BO15" s="28"/>
      <c r="BP15" s="28"/>
      <c r="BQ15" s="28"/>
      <c r="BR15" s="28"/>
      <c r="BS15" s="28"/>
      <c r="BT15" s="28"/>
      <c r="BV15" s="160"/>
      <c r="BW15" s="31"/>
      <c r="BX15" s="31"/>
      <c r="BY15" s="31"/>
      <c r="BZ15" s="31"/>
      <c r="CA15" s="31"/>
      <c r="CB15" s="31"/>
      <c r="CC15" s="31"/>
      <c r="CE15" s="160"/>
      <c r="CF15" s="31"/>
      <c r="CG15" s="31"/>
      <c r="CH15" s="31"/>
      <c r="CI15" s="31"/>
      <c r="CJ15" s="31"/>
      <c r="CK15" s="31"/>
      <c r="CL15" s="31"/>
    </row>
    <row r="16" spans="1:99" ht="15.45" x14ac:dyDescent="0.4">
      <c r="B16" s="55">
        <v>2030</v>
      </c>
      <c r="C16" s="31">
        <v>0.187362</v>
      </c>
      <c r="D16" s="31">
        <v>0.20991599999999999</v>
      </c>
      <c r="E16" s="31">
        <v>0.25628400000000001</v>
      </c>
      <c r="F16" s="31">
        <v>0.330876</v>
      </c>
      <c r="G16" s="31">
        <v>0.44944200000000001</v>
      </c>
      <c r="H16" s="31">
        <v>0.63100800000000001</v>
      </c>
      <c r="I16" s="58">
        <v>0.80079299999999998</v>
      </c>
      <c r="K16" s="55">
        <v>2030</v>
      </c>
      <c r="L16" s="31">
        <v>0.18024300000000001</v>
      </c>
      <c r="M16" s="31">
        <v>0.20191500000000001</v>
      </c>
      <c r="N16" s="31">
        <v>0.247779</v>
      </c>
      <c r="O16" s="31">
        <v>0.32010300000000003</v>
      </c>
      <c r="P16" s="31">
        <v>0.436338</v>
      </c>
      <c r="Q16" s="31">
        <v>0.61620299999999995</v>
      </c>
      <c r="R16" s="58">
        <v>0.793485</v>
      </c>
      <c r="T16" s="55">
        <v>2030</v>
      </c>
      <c r="U16" s="31">
        <v>0.180117</v>
      </c>
      <c r="V16" s="31">
        <v>0.202734</v>
      </c>
      <c r="W16" s="31">
        <v>0.25023600000000001</v>
      </c>
      <c r="X16" s="31">
        <v>0.326907</v>
      </c>
      <c r="Y16" s="31">
        <v>0.45208799999999999</v>
      </c>
      <c r="Z16" s="31">
        <v>0.65110500000000004</v>
      </c>
      <c r="AA16" s="58">
        <v>0.8554139999999999</v>
      </c>
      <c r="AC16" s="160"/>
      <c r="AD16" s="28"/>
      <c r="AE16" s="28"/>
      <c r="AF16" s="28"/>
      <c r="AG16" s="28"/>
      <c r="AH16" s="28"/>
      <c r="AI16" s="28"/>
      <c r="AJ16" s="28"/>
      <c r="AL16" s="160"/>
      <c r="AM16" s="28"/>
      <c r="AN16" s="28"/>
      <c r="AO16" s="28"/>
      <c r="AP16" s="28"/>
      <c r="AQ16" s="28"/>
      <c r="AR16" s="28"/>
      <c r="AS16" s="28"/>
      <c r="AU16" s="160"/>
      <c r="AV16" s="28"/>
      <c r="AW16" s="28"/>
      <c r="AX16" s="28"/>
      <c r="AY16" s="28"/>
      <c r="AZ16" s="28"/>
      <c r="BA16" s="28"/>
      <c r="BB16" s="28"/>
      <c r="BD16" s="160"/>
      <c r="BE16" s="28"/>
      <c r="BF16" s="28"/>
      <c r="BG16" s="28"/>
      <c r="BH16" s="28"/>
      <c r="BI16" s="28"/>
      <c r="BJ16" s="28"/>
      <c r="BK16" s="28"/>
      <c r="BM16" s="160"/>
      <c r="BN16" s="28"/>
      <c r="BO16" s="28"/>
      <c r="BP16" s="28"/>
      <c r="BQ16" s="28"/>
      <c r="BR16" s="28"/>
      <c r="BS16" s="28"/>
      <c r="BT16" s="28"/>
      <c r="BV16" s="160"/>
      <c r="BW16" s="31"/>
      <c r="BX16" s="31"/>
      <c r="BY16" s="31"/>
      <c r="BZ16" s="31"/>
      <c r="CA16" s="31"/>
      <c r="CB16" s="31"/>
      <c r="CC16" s="31"/>
      <c r="CE16" s="160"/>
      <c r="CF16" s="31"/>
      <c r="CG16" s="31"/>
      <c r="CH16" s="31"/>
      <c r="CI16" s="31"/>
      <c r="CJ16" s="31"/>
      <c r="CK16" s="31"/>
      <c r="CL16" s="31"/>
    </row>
    <row r="17" spans="2:90" ht="15.45" x14ac:dyDescent="0.4">
      <c r="B17" s="55">
        <v>2031</v>
      </c>
      <c r="C17" s="31">
        <v>0.18887400000000001</v>
      </c>
      <c r="D17" s="31">
        <v>0.21218399999999998</v>
      </c>
      <c r="E17" s="31">
        <v>0.25987499999999997</v>
      </c>
      <c r="F17" s="31">
        <v>0.33642</v>
      </c>
      <c r="G17" s="31">
        <v>0.46116000000000001</v>
      </c>
      <c r="H17" s="31">
        <v>0.65337299999999998</v>
      </c>
      <c r="I17" s="58">
        <v>0.84835800000000006</v>
      </c>
      <c r="K17" s="55">
        <v>2031</v>
      </c>
      <c r="L17" s="31">
        <v>0.17973900000000001</v>
      </c>
      <c r="M17" s="31">
        <v>0.20172599999999999</v>
      </c>
      <c r="N17" s="31">
        <v>0.24696000000000001</v>
      </c>
      <c r="O17" s="31">
        <v>0.31934699999999999</v>
      </c>
      <c r="P17" s="31">
        <v>0.43684200000000001</v>
      </c>
      <c r="Q17" s="31">
        <v>0.61847099999999999</v>
      </c>
      <c r="R17" s="58">
        <v>0.79789500000000002</v>
      </c>
      <c r="T17" s="55">
        <v>2031</v>
      </c>
      <c r="U17" s="31">
        <v>0.17810100000000001</v>
      </c>
      <c r="V17" s="31">
        <v>0.19989900000000002</v>
      </c>
      <c r="W17" s="31">
        <v>0.24576300000000001</v>
      </c>
      <c r="X17" s="31">
        <v>0.32035499999999995</v>
      </c>
      <c r="Y17" s="31">
        <v>0.43992900000000001</v>
      </c>
      <c r="Z17" s="31">
        <v>0.63</v>
      </c>
      <c r="AA17" s="58">
        <v>0.82624500000000012</v>
      </c>
      <c r="AC17" s="160"/>
      <c r="AD17" s="28"/>
      <c r="AE17" s="28"/>
      <c r="AF17" s="28"/>
      <c r="AG17" s="28"/>
      <c r="AH17" s="28"/>
      <c r="AI17" s="28"/>
      <c r="AJ17" s="28"/>
      <c r="AL17" s="160"/>
      <c r="AM17" s="28"/>
      <c r="AN17" s="28"/>
      <c r="AO17" s="28"/>
      <c r="AP17" s="28"/>
      <c r="AQ17" s="28"/>
      <c r="AR17" s="28"/>
      <c r="AS17" s="28"/>
      <c r="AU17" s="160"/>
      <c r="AV17" s="28"/>
      <c r="AW17" s="28"/>
      <c r="AX17" s="28"/>
      <c r="AY17" s="28"/>
      <c r="AZ17" s="28"/>
      <c r="BA17" s="28"/>
      <c r="BB17" s="28"/>
      <c r="BD17" s="160"/>
      <c r="BE17" s="28"/>
      <c r="BF17" s="28"/>
      <c r="BG17" s="28"/>
      <c r="BH17" s="28"/>
      <c r="BI17" s="28"/>
      <c r="BJ17" s="28"/>
      <c r="BK17" s="28"/>
      <c r="BM17" s="160"/>
      <c r="BN17" s="28"/>
      <c r="BO17" s="28"/>
      <c r="BP17" s="28"/>
      <c r="BQ17" s="28"/>
      <c r="BR17" s="28"/>
      <c r="BS17" s="28"/>
      <c r="BT17" s="28"/>
      <c r="BV17" s="160"/>
      <c r="BW17" s="31"/>
      <c r="BX17" s="31"/>
      <c r="BY17" s="31"/>
      <c r="BZ17" s="31"/>
      <c r="CA17" s="31"/>
      <c r="CB17" s="31"/>
      <c r="CC17" s="31"/>
      <c r="CE17" s="160"/>
      <c r="CF17" s="31"/>
      <c r="CG17" s="31"/>
      <c r="CH17" s="31"/>
      <c r="CI17" s="31"/>
      <c r="CJ17" s="31"/>
      <c r="CK17" s="31"/>
      <c r="CL17" s="31"/>
    </row>
    <row r="18" spans="2:90" ht="15.45" x14ac:dyDescent="0.4">
      <c r="B18" s="55">
        <v>2032</v>
      </c>
      <c r="C18" s="31">
        <v>0.18150300000000003</v>
      </c>
      <c r="D18" s="31">
        <v>0.20361599999999999</v>
      </c>
      <c r="E18" s="31">
        <v>0.24979500000000002</v>
      </c>
      <c r="F18" s="31">
        <v>0.32419799999999999</v>
      </c>
      <c r="G18" s="31">
        <v>0.444969</v>
      </c>
      <c r="H18" s="31">
        <v>0.63749699999999998</v>
      </c>
      <c r="I18" s="58">
        <v>0.82378800000000008</v>
      </c>
      <c r="K18" s="55">
        <v>2032</v>
      </c>
      <c r="L18" s="31">
        <v>0.17904600000000001</v>
      </c>
      <c r="M18" s="31">
        <v>0.20122200000000001</v>
      </c>
      <c r="N18" s="31">
        <v>0.24645600000000001</v>
      </c>
      <c r="O18" s="31">
        <v>0.31890599999999997</v>
      </c>
      <c r="P18" s="31">
        <v>0.437031</v>
      </c>
      <c r="Q18" s="31">
        <v>0.61960500000000007</v>
      </c>
      <c r="R18" s="58">
        <v>0.79991100000000004</v>
      </c>
      <c r="T18" s="55">
        <v>2032</v>
      </c>
      <c r="U18" s="31">
        <v>0.17696699999999999</v>
      </c>
      <c r="V18" s="31">
        <v>0.19800900000000002</v>
      </c>
      <c r="W18" s="31">
        <v>0.24248700000000001</v>
      </c>
      <c r="X18" s="31">
        <v>0.31468499999999999</v>
      </c>
      <c r="Y18" s="31">
        <v>0.432369</v>
      </c>
      <c r="Z18" s="31">
        <v>0.62017200000000006</v>
      </c>
      <c r="AA18" s="58">
        <v>0.80180099999999999</v>
      </c>
      <c r="AC18" s="160"/>
      <c r="AD18" s="28"/>
      <c r="AE18" s="28"/>
      <c r="AF18" s="28"/>
      <c r="AG18" s="28"/>
      <c r="AH18" s="28"/>
      <c r="AI18" s="28"/>
      <c r="AJ18" s="28"/>
      <c r="AL18" s="160"/>
      <c r="AM18" s="28"/>
      <c r="AN18" s="28"/>
      <c r="AO18" s="28"/>
      <c r="AP18" s="28"/>
      <c r="AQ18" s="28"/>
      <c r="AR18" s="28"/>
      <c r="AS18" s="28"/>
      <c r="AU18" s="160"/>
      <c r="AV18" s="28"/>
      <c r="AW18" s="28"/>
      <c r="AX18" s="28"/>
      <c r="AY18" s="28"/>
      <c r="AZ18" s="28"/>
      <c r="BA18" s="28"/>
      <c r="BB18" s="28"/>
      <c r="BD18" s="160"/>
      <c r="BE18" s="28"/>
      <c r="BF18" s="28"/>
      <c r="BG18" s="28"/>
      <c r="BH18" s="28"/>
      <c r="BI18" s="28"/>
      <c r="BJ18" s="28"/>
      <c r="BK18" s="28"/>
      <c r="BM18" s="160"/>
      <c r="BN18" s="28"/>
      <c r="BO18" s="28"/>
      <c r="BP18" s="28"/>
      <c r="BQ18" s="28"/>
      <c r="BR18" s="28"/>
      <c r="BS18" s="28"/>
      <c r="BT18" s="28"/>
      <c r="BV18" s="160"/>
      <c r="BW18" s="31"/>
      <c r="BX18" s="31"/>
      <c r="BY18" s="31"/>
      <c r="BZ18" s="31"/>
      <c r="CA18" s="31"/>
      <c r="CB18" s="31"/>
      <c r="CC18" s="31"/>
      <c r="CE18" s="160"/>
      <c r="CF18" s="31"/>
      <c r="CG18" s="31"/>
      <c r="CH18" s="31"/>
      <c r="CI18" s="31"/>
      <c r="CJ18" s="31"/>
      <c r="CK18" s="31"/>
      <c r="CL18" s="31"/>
    </row>
    <row r="19" spans="2:90" ht="15.45" x14ac:dyDescent="0.4">
      <c r="B19" s="55">
        <v>2033</v>
      </c>
      <c r="C19" s="31">
        <v>0.18093600000000001</v>
      </c>
      <c r="D19" s="31">
        <v>0.20311200000000001</v>
      </c>
      <c r="E19" s="31">
        <v>0.24922800000000001</v>
      </c>
      <c r="F19" s="31">
        <v>0.32337899999999997</v>
      </c>
      <c r="G19" s="31">
        <v>0.44452799999999998</v>
      </c>
      <c r="H19" s="31">
        <v>0.63522900000000004</v>
      </c>
      <c r="I19" s="58">
        <v>0.8248589999999999</v>
      </c>
      <c r="K19" s="55">
        <v>2033</v>
      </c>
      <c r="L19" s="31">
        <v>0.17860499999999999</v>
      </c>
      <c r="M19" s="31">
        <v>0.20078099999999999</v>
      </c>
      <c r="N19" s="31">
        <v>0.24601500000000001</v>
      </c>
      <c r="O19" s="31">
        <v>0.31871700000000003</v>
      </c>
      <c r="P19" s="31">
        <v>0.437031</v>
      </c>
      <c r="Q19" s="31">
        <v>0.62092800000000004</v>
      </c>
      <c r="R19" s="58">
        <v>0.80198999999999998</v>
      </c>
      <c r="T19" s="55">
        <v>2033</v>
      </c>
      <c r="U19" s="31">
        <v>0.17539199999999999</v>
      </c>
      <c r="V19" s="31">
        <v>0.196182</v>
      </c>
      <c r="W19" s="31">
        <v>0.23996700000000001</v>
      </c>
      <c r="X19" s="31">
        <v>0.31090499999999999</v>
      </c>
      <c r="Y19" s="31">
        <v>0.42525000000000002</v>
      </c>
      <c r="Z19" s="31">
        <v>0.60958800000000002</v>
      </c>
      <c r="AA19" s="58">
        <v>0.78290099999999996</v>
      </c>
      <c r="AC19" s="160"/>
      <c r="AD19" s="28"/>
      <c r="AE19" s="28"/>
      <c r="AF19" s="28"/>
      <c r="AG19" s="28"/>
      <c r="AH19" s="28"/>
      <c r="AI19" s="28"/>
      <c r="AJ19" s="28"/>
      <c r="AL19" s="160"/>
      <c r="AM19" s="28"/>
      <c r="AN19" s="28"/>
      <c r="AO19" s="28"/>
      <c r="AP19" s="28"/>
      <c r="AQ19" s="28"/>
      <c r="AR19" s="28"/>
      <c r="AS19" s="28"/>
      <c r="AU19" s="160"/>
      <c r="AV19" s="28"/>
      <c r="AW19" s="28"/>
      <c r="AX19" s="28"/>
      <c r="AY19" s="28"/>
      <c r="AZ19" s="28"/>
      <c r="BA19" s="28"/>
      <c r="BB19" s="28"/>
      <c r="BD19" s="160"/>
      <c r="BE19" s="28"/>
      <c r="BF19" s="28"/>
      <c r="BG19" s="28"/>
      <c r="BH19" s="28"/>
      <c r="BI19" s="28"/>
      <c r="BJ19" s="28"/>
      <c r="BK19" s="28"/>
      <c r="BM19" s="160"/>
      <c r="BN19" s="28"/>
      <c r="BO19" s="28"/>
      <c r="BP19" s="28"/>
      <c r="BQ19" s="28"/>
      <c r="BR19" s="28"/>
      <c r="BS19" s="28"/>
      <c r="BT19" s="28"/>
      <c r="BV19" s="160"/>
      <c r="BW19" s="31"/>
      <c r="BX19" s="31"/>
      <c r="BY19" s="31"/>
      <c r="BZ19" s="31"/>
      <c r="CA19" s="31"/>
      <c r="CB19" s="31"/>
      <c r="CC19" s="31"/>
      <c r="CE19" s="160"/>
      <c r="CF19" s="31"/>
      <c r="CG19" s="31"/>
      <c r="CH19" s="31"/>
      <c r="CI19" s="31"/>
      <c r="CJ19" s="31"/>
      <c r="CK19" s="31"/>
      <c r="CL19" s="31"/>
    </row>
    <row r="20" spans="2:90" ht="15.9" thickBot="1" x14ac:dyDescent="0.45">
      <c r="B20" s="53">
        <v>2034</v>
      </c>
      <c r="C20" s="27">
        <v>0.18024300000000001</v>
      </c>
      <c r="D20" s="27">
        <v>0.20210399999999998</v>
      </c>
      <c r="E20" s="27">
        <v>0.248472</v>
      </c>
      <c r="F20" s="27">
        <v>0.32256000000000001</v>
      </c>
      <c r="G20" s="27">
        <v>0.44320500000000002</v>
      </c>
      <c r="H20" s="27">
        <v>0.63188999999999995</v>
      </c>
      <c r="I20" s="59">
        <v>0.819693</v>
      </c>
      <c r="K20" s="53">
        <v>2034</v>
      </c>
      <c r="L20" s="27">
        <v>0.17879400000000001</v>
      </c>
      <c r="M20" s="27">
        <v>0.200655</v>
      </c>
      <c r="N20" s="27">
        <v>0.24576300000000001</v>
      </c>
      <c r="O20" s="27">
        <v>0.31840199999999996</v>
      </c>
      <c r="P20" s="27">
        <v>0.43545600000000001</v>
      </c>
      <c r="Q20" s="27">
        <v>0.62325900000000001</v>
      </c>
      <c r="R20" s="59">
        <v>0.80419499999999999</v>
      </c>
      <c r="T20" s="53">
        <v>2034</v>
      </c>
      <c r="U20" s="27">
        <v>0.174258</v>
      </c>
      <c r="V20" s="27">
        <v>0.19492200000000001</v>
      </c>
      <c r="W20" s="27">
        <v>0.23801400000000003</v>
      </c>
      <c r="X20" s="27">
        <v>0.30825900000000001</v>
      </c>
      <c r="Y20" s="27">
        <v>0.42147000000000001</v>
      </c>
      <c r="Z20" s="27">
        <v>0.60190200000000005</v>
      </c>
      <c r="AA20" s="59">
        <v>0.76715100000000003</v>
      </c>
      <c r="AC20" s="160"/>
      <c r="AD20" s="28"/>
      <c r="AE20" s="28"/>
      <c r="AF20" s="28"/>
      <c r="AG20" s="28"/>
      <c r="AH20" s="28"/>
      <c r="AI20" s="28"/>
      <c r="AJ20" s="28"/>
      <c r="AL20" s="160"/>
      <c r="AM20" s="28"/>
      <c r="AN20" s="28"/>
      <c r="AO20" s="28"/>
      <c r="AP20" s="28"/>
      <c r="AQ20" s="28"/>
      <c r="AR20" s="28"/>
      <c r="AS20" s="28"/>
      <c r="AU20" s="160"/>
      <c r="AV20" s="28"/>
      <c r="AW20" s="28"/>
      <c r="AX20" s="28"/>
      <c r="AY20" s="28"/>
      <c r="AZ20" s="28"/>
      <c r="BA20" s="28"/>
      <c r="BB20" s="28"/>
      <c r="BD20" s="160"/>
      <c r="BE20" s="28"/>
      <c r="BF20" s="28"/>
      <c r="BG20" s="28"/>
      <c r="BH20" s="28"/>
      <c r="BI20" s="28"/>
      <c r="BJ20" s="28"/>
      <c r="BK20" s="28"/>
      <c r="BM20" s="160"/>
      <c r="BN20" s="28"/>
      <c r="BO20" s="28"/>
      <c r="BP20" s="28"/>
      <c r="BQ20" s="28"/>
      <c r="BR20" s="28"/>
      <c r="BS20" s="28"/>
      <c r="BT20" s="28"/>
      <c r="BV20" s="160"/>
      <c r="BW20" s="31"/>
      <c r="BX20" s="31"/>
      <c r="BY20" s="31"/>
      <c r="BZ20" s="31"/>
      <c r="CA20" s="31"/>
      <c r="CB20" s="31"/>
      <c r="CC20" s="31"/>
      <c r="CE20" s="160"/>
      <c r="CF20" s="31"/>
      <c r="CG20" s="31"/>
      <c r="CH20" s="31"/>
      <c r="CI20" s="31"/>
      <c r="CJ20" s="31"/>
      <c r="CK20" s="31"/>
      <c r="CL20" s="31"/>
    </row>
    <row r="23" spans="2:90" x14ac:dyDescent="0.4">
      <c r="E23" t="s">
        <v>71</v>
      </c>
      <c r="F23" t="s">
        <v>70</v>
      </c>
      <c r="G23" t="s">
        <v>72</v>
      </c>
      <c r="N23" t="s">
        <v>71</v>
      </c>
      <c r="O23" t="s">
        <v>70</v>
      </c>
      <c r="P23" t="s">
        <v>72</v>
      </c>
      <c r="W23" t="s">
        <v>71</v>
      </c>
      <c r="X23" t="s">
        <v>70</v>
      </c>
      <c r="Y23" t="s">
        <v>72</v>
      </c>
    </row>
    <row r="24" spans="2:90" x14ac:dyDescent="0.4">
      <c r="E24" s="76">
        <f>D7</f>
        <v>0.263403</v>
      </c>
      <c r="F24" s="76">
        <f>F7</f>
        <v>0.33056100000000005</v>
      </c>
      <c r="G24" s="76">
        <f>H7</f>
        <v>0.40168799999999999</v>
      </c>
      <c r="N24" s="76">
        <f>M7</f>
        <v>0.263403</v>
      </c>
      <c r="O24" s="76">
        <f>O7</f>
        <v>0.33043499999999998</v>
      </c>
      <c r="P24" s="76">
        <f>Q7</f>
        <v>0.40156199999999997</v>
      </c>
      <c r="W24" s="76">
        <f>V7</f>
        <v>0.26346600000000003</v>
      </c>
      <c r="X24" s="76">
        <f>X7</f>
        <v>0.33075000000000004</v>
      </c>
      <c r="Y24" s="76">
        <f>Z7</f>
        <v>0.40143600000000002</v>
      </c>
      <c r="AF24" s="161"/>
      <c r="AG24" s="161"/>
      <c r="AH24" s="161"/>
      <c r="AO24" s="161"/>
      <c r="AP24" s="161"/>
      <c r="AQ24" s="161"/>
      <c r="AX24" s="161"/>
      <c r="AY24" s="161"/>
      <c r="AZ24" s="161"/>
      <c r="BG24" s="161"/>
      <c r="BH24" s="161"/>
      <c r="BI24" s="161"/>
      <c r="BP24" s="161"/>
      <c r="BQ24" s="161"/>
      <c r="BR24" s="161"/>
      <c r="BY24" s="161"/>
      <c r="BZ24" s="161"/>
      <c r="CA24" s="161"/>
      <c r="CH24" s="161"/>
      <c r="CI24" s="161"/>
      <c r="CJ24" s="161"/>
    </row>
    <row r="25" spans="2:90" x14ac:dyDescent="0.4">
      <c r="E25" s="76">
        <f t="shared" ref="E25:E37" si="0">D8</f>
        <v>0.17671500000000001</v>
      </c>
      <c r="F25" s="76">
        <f t="shared" ref="F25:F37" si="1">F8</f>
        <v>0.22919400000000001</v>
      </c>
      <c r="G25" s="76">
        <f t="shared" ref="G25:G37" si="2">H8</f>
        <v>0.29805300000000001</v>
      </c>
      <c r="N25" s="76">
        <f t="shared" ref="N25:N37" si="3">M8</f>
        <v>0.17646300000000001</v>
      </c>
      <c r="O25" s="76">
        <f t="shared" ref="O25:O37" si="4">O8</f>
        <v>0.22919400000000001</v>
      </c>
      <c r="P25" s="76">
        <f t="shared" ref="P25:P37" si="5">Q8</f>
        <v>0.29767499999999997</v>
      </c>
      <c r="W25" s="76">
        <f t="shared" ref="W25:W37" si="6">V8</f>
        <v>0.17690400000000001</v>
      </c>
      <c r="X25" s="76">
        <f t="shared" ref="X25:X37" si="7">X8</f>
        <v>0.22913100000000003</v>
      </c>
      <c r="Y25" s="76">
        <f t="shared" ref="Y25:Y37" si="8">Z8</f>
        <v>0.29798999999999998</v>
      </c>
      <c r="AF25" s="161"/>
      <c r="AG25" s="161"/>
      <c r="AH25" s="161"/>
      <c r="AO25" s="161"/>
      <c r="AP25" s="161"/>
      <c r="AQ25" s="161"/>
      <c r="AX25" s="161"/>
      <c r="AY25" s="161"/>
      <c r="AZ25" s="161"/>
      <c r="BG25" s="161"/>
      <c r="BH25" s="161"/>
      <c r="BI25" s="161"/>
      <c r="BP25" s="161"/>
      <c r="BQ25" s="161"/>
      <c r="BR25" s="161"/>
      <c r="BY25" s="161"/>
      <c r="BZ25" s="161"/>
      <c r="CA25" s="161"/>
      <c r="CH25" s="161"/>
      <c r="CI25" s="161"/>
      <c r="CJ25" s="161"/>
    </row>
    <row r="26" spans="2:90" x14ac:dyDescent="0.4">
      <c r="E26" s="76">
        <f t="shared" si="0"/>
        <v>0.174258</v>
      </c>
      <c r="F26" s="76">
        <f t="shared" si="1"/>
        <v>0.23247000000000001</v>
      </c>
      <c r="G26" s="76">
        <f t="shared" si="2"/>
        <v>0.317079</v>
      </c>
      <c r="N26" s="76">
        <f t="shared" si="3"/>
        <v>0.17419500000000002</v>
      </c>
      <c r="O26" s="76">
        <f t="shared" si="4"/>
        <v>0.23272200000000001</v>
      </c>
      <c r="P26" s="76">
        <f t="shared" si="5"/>
        <v>0.31676400000000005</v>
      </c>
      <c r="W26" s="76">
        <f t="shared" si="6"/>
        <v>0.174258</v>
      </c>
      <c r="X26" s="76">
        <f t="shared" si="7"/>
        <v>0.232596</v>
      </c>
      <c r="Y26" s="76">
        <f t="shared" si="8"/>
        <v>0.31714199999999998</v>
      </c>
      <c r="AF26" s="161"/>
      <c r="AG26" s="161"/>
      <c r="AH26" s="161"/>
      <c r="AO26" s="161"/>
      <c r="AP26" s="161"/>
      <c r="AQ26" s="161"/>
      <c r="AX26" s="161"/>
      <c r="AY26" s="161"/>
      <c r="AZ26" s="161"/>
      <c r="BG26" s="161"/>
      <c r="BH26" s="161"/>
      <c r="BI26" s="161"/>
      <c r="BP26" s="161"/>
      <c r="BQ26" s="161"/>
      <c r="BR26" s="161"/>
      <c r="BY26" s="161"/>
      <c r="BZ26" s="161"/>
      <c r="CA26" s="161"/>
      <c r="CH26" s="161"/>
      <c r="CI26" s="161"/>
      <c r="CJ26" s="161"/>
    </row>
    <row r="27" spans="2:90" x14ac:dyDescent="0.4">
      <c r="E27" s="76">
        <f t="shared" si="0"/>
        <v>0.18534600000000001</v>
      </c>
      <c r="F27" s="76">
        <f t="shared" si="1"/>
        <v>0.25395299999999998</v>
      </c>
      <c r="G27" s="76">
        <f t="shared" si="2"/>
        <v>0.36508499999999999</v>
      </c>
      <c r="N27" s="76">
        <f t="shared" si="3"/>
        <v>0.18553499999999998</v>
      </c>
      <c r="O27" s="76">
        <f t="shared" si="4"/>
        <v>0.25376399999999999</v>
      </c>
      <c r="P27" s="76">
        <f t="shared" si="5"/>
        <v>0.36527399999999999</v>
      </c>
      <c r="W27" s="76">
        <f t="shared" si="6"/>
        <v>0.18528299999999998</v>
      </c>
      <c r="X27" s="76">
        <f t="shared" si="7"/>
        <v>0.25389</v>
      </c>
      <c r="Y27" s="76">
        <f t="shared" si="8"/>
        <v>0.36615600000000004</v>
      </c>
      <c r="AF27" s="161"/>
      <c r="AG27" s="161"/>
      <c r="AH27" s="161"/>
      <c r="AO27" s="161"/>
      <c r="AP27" s="161"/>
      <c r="AQ27" s="161"/>
      <c r="AX27" s="161"/>
      <c r="AY27" s="161"/>
      <c r="AZ27" s="161"/>
      <c r="BG27" s="161"/>
      <c r="BH27" s="161"/>
      <c r="BI27" s="161"/>
      <c r="BP27" s="161"/>
      <c r="BQ27" s="161"/>
      <c r="BR27" s="161"/>
      <c r="BY27" s="161"/>
      <c r="BZ27" s="161"/>
      <c r="CA27" s="161"/>
      <c r="CH27" s="161"/>
      <c r="CI27" s="161"/>
      <c r="CJ27" s="161"/>
    </row>
    <row r="28" spans="2:90" x14ac:dyDescent="0.4">
      <c r="E28" s="76">
        <f t="shared" si="0"/>
        <v>0.19838700000000001</v>
      </c>
      <c r="F28" s="76">
        <f t="shared" si="1"/>
        <v>0.28312200000000004</v>
      </c>
      <c r="G28" s="76">
        <f t="shared" si="2"/>
        <v>0.43860600000000005</v>
      </c>
      <c r="N28" s="76">
        <f t="shared" si="3"/>
        <v>0.278082</v>
      </c>
      <c r="O28" s="76">
        <f t="shared" si="4"/>
        <v>0.40156199999999997</v>
      </c>
      <c r="P28" s="76">
        <f t="shared" si="5"/>
        <v>0.64322999999999997</v>
      </c>
      <c r="W28" s="76">
        <f t="shared" si="6"/>
        <v>0.277389</v>
      </c>
      <c r="X28" s="76">
        <f t="shared" si="7"/>
        <v>0.40194000000000002</v>
      </c>
      <c r="Y28" s="76">
        <f t="shared" si="8"/>
        <v>0.64455299999999993</v>
      </c>
      <c r="AF28" s="161"/>
      <c r="AG28" s="161"/>
      <c r="AH28" s="161"/>
      <c r="AO28" s="161"/>
      <c r="AP28" s="161"/>
      <c r="AQ28" s="161"/>
      <c r="AX28" s="161"/>
      <c r="AY28" s="161"/>
      <c r="AZ28" s="161"/>
      <c r="BG28" s="161"/>
      <c r="BH28" s="161"/>
      <c r="BI28" s="161"/>
      <c r="BP28" s="161"/>
      <c r="BQ28" s="161"/>
      <c r="BR28" s="161"/>
      <c r="BY28" s="161"/>
      <c r="BZ28" s="161"/>
      <c r="CA28" s="161"/>
      <c r="CH28" s="161"/>
      <c r="CI28" s="161"/>
      <c r="CJ28" s="161"/>
    </row>
    <row r="29" spans="2:90" x14ac:dyDescent="0.4">
      <c r="E29" s="76">
        <f t="shared" si="0"/>
        <v>0.20456099999999999</v>
      </c>
      <c r="F29" s="76">
        <f t="shared" si="1"/>
        <v>0.30233700000000002</v>
      </c>
      <c r="G29" s="76">
        <f t="shared" si="2"/>
        <v>0.501606</v>
      </c>
      <c r="N29" s="76">
        <f t="shared" si="3"/>
        <v>0.21986999999999998</v>
      </c>
      <c r="O29" s="76">
        <f t="shared" si="4"/>
        <v>0.33459300000000003</v>
      </c>
      <c r="P29" s="76">
        <f t="shared" si="5"/>
        <v>0.59031</v>
      </c>
      <c r="W29" s="76">
        <f t="shared" si="6"/>
        <v>0.30781799999999998</v>
      </c>
      <c r="X29" s="76">
        <f t="shared" si="7"/>
        <v>0.479682</v>
      </c>
      <c r="Y29" s="76">
        <f t="shared" si="8"/>
        <v>0.89504100000000009</v>
      </c>
      <c r="AF29" s="161"/>
      <c r="AG29" s="161"/>
      <c r="AH29" s="161"/>
      <c r="AO29" s="161"/>
      <c r="AP29" s="161"/>
      <c r="AQ29" s="161"/>
      <c r="AX29" s="161"/>
      <c r="AY29" s="161"/>
      <c r="AZ29" s="161"/>
      <c r="BG29" s="161"/>
      <c r="BH29" s="161"/>
      <c r="BI29" s="161"/>
      <c r="BP29" s="161"/>
      <c r="BQ29" s="161"/>
      <c r="BR29" s="161"/>
      <c r="BY29" s="161"/>
      <c r="BZ29" s="161"/>
      <c r="CA29" s="161"/>
      <c r="CH29" s="161"/>
      <c r="CI29" s="161"/>
      <c r="CJ29" s="161"/>
    </row>
    <row r="30" spans="2:90" x14ac:dyDescent="0.4">
      <c r="E30" s="76">
        <f t="shared" si="0"/>
        <v>0.21079800000000001</v>
      </c>
      <c r="F30" s="76">
        <f t="shared" si="1"/>
        <v>0.32022899999999999</v>
      </c>
      <c r="G30" s="76">
        <f t="shared" si="2"/>
        <v>0.561141</v>
      </c>
      <c r="N30" s="76">
        <f t="shared" si="3"/>
        <v>0.223965</v>
      </c>
      <c r="O30" s="76">
        <f t="shared" si="4"/>
        <v>0.35021699999999995</v>
      </c>
      <c r="P30" s="76">
        <f t="shared" si="5"/>
        <v>0.65249100000000004</v>
      </c>
      <c r="W30" s="76">
        <f t="shared" si="6"/>
        <v>0.24122700000000002</v>
      </c>
      <c r="X30" s="76">
        <f t="shared" si="7"/>
        <v>0.39349800000000001</v>
      </c>
      <c r="Y30" s="76">
        <f t="shared" si="8"/>
        <v>0.81162900000000004</v>
      </c>
      <c r="AF30" s="161"/>
      <c r="AG30" s="161"/>
      <c r="AH30" s="161"/>
      <c r="AO30" s="161"/>
      <c r="AP30" s="161"/>
      <c r="AQ30" s="161"/>
      <c r="AX30" s="161"/>
      <c r="AY30" s="161"/>
      <c r="AZ30" s="161"/>
      <c r="BG30" s="161"/>
      <c r="BH30" s="161"/>
      <c r="BI30" s="161"/>
      <c r="BP30" s="161"/>
      <c r="BQ30" s="161"/>
      <c r="BR30" s="161"/>
      <c r="BY30" s="161"/>
      <c r="BZ30" s="161"/>
      <c r="CA30" s="161"/>
      <c r="CH30" s="161"/>
      <c r="CI30" s="161"/>
      <c r="CJ30" s="161"/>
    </row>
    <row r="31" spans="2:90" x14ac:dyDescent="0.4">
      <c r="E31" s="76">
        <f t="shared" si="0"/>
        <v>0.20493899999999998</v>
      </c>
      <c r="F31" s="76">
        <f t="shared" si="1"/>
        <v>0.31550400000000001</v>
      </c>
      <c r="G31" s="76">
        <f t="shared" si="2"/>
        <v>0.57203999999999999</v>
      </c>
      <c r="N31" s="76">
        <f t="shared" si="3"/>
        <v>0.20456099999999999</v>
      </c>
      <c r="O31" s="76">
        <f t="shared" si="4"/>
        <v>0.32224499999999995</v>
      </c>
      <c r="P31" s="76">
        <f t="shared" si="5"/>
        <v>0.61418700000000004</v>
      </c>
      <c r="W31" s="76">
        <f t="shared" si="6"/>
        <v>0.212121</v>
      </c>
      <c r="X31" s="76">
        <f t="shared" si="7"/>
        <v>0.34618500000000002</v>
      </c>
      <c r="Y31" s="76">
        <f t="shared" si="8"/>
        <v>0.71164799999999995</v>
      </c>
      <c r="AF31" s="161"/>
      <c r="AG31" s="161"/>
      <c r="AH31" s="161"/>
      <c r="AO31" s="161"/>
      <c r="AP31" s="161"/>
      <c r="AQ31" s="161"/>
      <c r="AX31" s="161"/>
      <c r="AY31" s="161"/>
      <c r="AZ31" s="161"/>
      <c r="BG31" s="161"/>
      <c r="BH31" s="161"/>
      <c r="BI31" s="161"/>
      <c r="BP31" s="161"/>
      <c r="BQ31" s="161"/>
      <c r="BR31" s="161"/>
      <c r="BY31" s="161"/>
      <c r="BZ31" s="161"/>
      <c r="CA31" s="161"/>
      <c r="CH31" s="161"/>
      <c r="CI31" s="161"/>
      <c r="CJ31" s="161"/>
    </row>
    <row r="32" spans="2:90" x14ac:dyDescent="0.4">
      <c r="E32" s="76">
        <f t="shared" si="0"/>
        <v>0.20733300000000002</v>
      </c>
      <c r="F32" s="76">
        <f t="shared" si="1"/>
        <v>0.32400899999999999</v>
      </c>
      <c r="G32" s="76">
        <f t="shared" si="2"/>
        <v>0.59988600000000003</v>
      </c>
      <c r="N32" s="76">
        <f t="shared" si="3"/>
        <v>0.202986</v>
      </c>
      <c r="O32" s="76">
        <f t="shared" si="4"/>
        <v>0.32111100000000004</v>
      </c>
      <c r="P32" s="76">
        <f t="shared" si="5"/>
        <v>0.61437599999999992</v>
      </c>
      <c r="W32" s="76">
        <f t="shared" si="6"/>
        <v>0.206955</v>
      </c>
      <c r="X32" s="76">
        <f t="shared" si="7"/>
        <v>0.33522299999999999</v>
      </c>
      <c r="Y32" s="76">
        <f t="shared" si="8"/>
        <v>0.67699799999999999</v>
      </c>
      <c r="AF32" s="161"/>
      <c r="AG32" s="161"/>
      <c r="AH32" s="161"/>
      <c r="AO32" s="161"/>
      <c r="AP32" s="161"/>
      <c r="AQ32" s="161"/>
      <c r="AX32" s="161"/>
      <c r="AY32" s="161"/>
      <c r="AZ32" s="161"/>
      <c r="BG32" s="161"/>
      <c r="BH32" s="161"/>
      <c r="BI32" s="161"/>
      <c r="BP32" s="161"/>
      <c r="BQ32" s="161"/>
      <c r="BR32" s="161"/>
      <c r="BY32" s="161"/>
      <c r="BZ32" s="161"/>
      <c r="CA32" s="161"/>
      <c r="CH32" s="161"/>
      <c r="CI32" s="161"/>
      <c r="CJ32" s="161"/>
    </row>
    <row r="33" spans="5:88" x14ac:dyDescent="0.4">
      <c r="E33" s="76">
        <f t="shared" si="0"/>
        <v>0.20991599999999999</v>
      </c>
      <c r="F33" s="76">
        <f t="shared" si="1"/>
        <v>0.330876</v>
      </c>
      <c r="G33" s="76">
        <f t="shared" si="2"/>
        <v>0.63100800000000001</v>
      </c>
      <c r="N33" s="76">
        <f t="shared" si="3"/>
        <v>0.20191500000000001</v>
      </c>
      <c r="O33" s="76">
        <f t="shared" si="4"/>
        <v>0.32010300000000003</v>
      </c>
      <c r="P33" s="76">
        <f t="shared" si="5"/>
        <v>0.61620299999999995</v>
      </c>
      <c r="W33" s="76">
        <f t="shared" si="6"/>
        <v>0.202734</v>
      </c>
      <c r="X33" s="76">
        <f t="shared" si="7"/>
        <v>0.326907</v>
      </c>
      <c r="Y33" s="76">
        <f t="shared" si="8"/>
        <v>0.65110500000000004</v>
      </c>
      <c r="AF33" s="161"/>
      <c r="AG33" s="161"/>
      <c r="AH33" s="161"/>
      <c r="AO33" s="161"/>
      <c r="AP33" s="161"/>
      <c r="AQ33" s="161"/>
      <c r="AX33" s="161"/>
      <c r="AY33" s="161"/>
      <c r="AZ33" s="161"/>
      <c r="BG33" s="161"/>
      <c r="BH33" s="161"/>
      <c r="BI33" s="161"/>
      <c r="BP33" s="161"/>
      <c r="BQ33" s="161"/>
      <c r="BR33" s="161"/>
      <c r="BY33" s="161"/>
      <c r="BZ33" s="161"/>
      <c r="CA33" s="161"/>
      <c r="CH33" s="161"/>
      <c r="CI33" s="161"/>
      <c r="CJ33" s="161"/>
    </row>
    <row r="34" spans="5:88" x14ac:dyDescent="0.4">
      <c r="E34" s="76">
        <f t="shared" si="0"/>
        <v>0.21218399999999998</v>
      </c>
      <c r="F34" s="76">
        <f t="shared" si="1"/>
        <v>0.33642</v>
      </c>
      <c r="G34" s="76">
        <f t="shared" si="2"/>
        <v>0.65337299999999998</v>
      </c>
      <c r="N34" s="76">
        <f t="shared" si="3"/>
        <v>0.20172599999999999</v>
      </c>
      <c r="O34" s="76">
        <f t="shared" si="4"/>
        <v>0.31934699999999999</v>
      </c>
      <c r="P34" s="76">
        <f t="shared" si="5"/>
        <v>0.61847099999999999</v>
      </c>
      <c r="W34" s="76">
        <f t="shared" si="6"/>
        <v>0.19989900000000002</v>
      </c>
      <c r="X34" s="76">
        <f t="shared" si="7"/>
        <v>0.32035499999999995</v>
      </c>
      <c r="Y34" s="76">
        <f t="shared" si="8"/>
        <v>0.63</v>
      </c>
      <c r="AF34" s="161"/>
      <c r="AG34" s="161"/>
      <c r="AH34" s="161"/>
      <c r="AO34" s="161"/>
      <c r="AP34" s="161"/>
      <c r="AQ34" s="161"/>
      <c r="AX34" s="161"/>
      <c r="AY34" s="161"/>
      <c r="AZ34" s="161"/>
      <c r="BG34" s="161"/>
      <c r="BH34" s="161"/>
      <c r="BI34" s="161"/>
      <c r="BP34" s="161"/>
      <c r="BQ34" s="161"/>
      <c r="BR34" s="161"/>
      <c r="BY34" s="161"/>
      <c r="BZ34" s="161"/>
      <c r="CA34" s="161"/>
      <c r="CH34" s="161"/>
      <c r="CI34" s="161"/>
      <c r="CJ34" s="161"/>
    </row>
    <row r="35" spans="5:88" x14ac:dyDescent="0.4">
      <c r="E35" s="76">
        <f t="shared" si="0"/>
        <v>0.20361599999999999</v>
      </c>
      <c r="F35" s="76">
        <f t="shared" si="1"/>
        <v>0.32419799999999999</v>
      </c>
      <c r="G35" s="76">
        <f t="shared" si="2"/>
        <v>0.63749699999999998</v>
      </c>
      <c r="N35" s="76">
        <f t="shared" si="3"/>
        <v>0.20122200000000001</v>
      </c>
      <c r="O35" s="76">
        <f t="shared" si="4"/>
        <v>0.31890599999999997</v>
      </c>
      <c r="P35" s="76">
        <f t="shared" si="5"/>
        <v>0.61960500000000007</v>
      </c>
      <c r="W35" s="76">
        <f t="shared" si="6"/>
        <v>0.19800900000000002</v>
      </c>
      <c r="X35" s="76">
        <f t="shared" si="7"/>
        <v>0.31468499999999999</v>
      </c>
      <c r="Y35" s="76">
        <f t="shared" si="8"/>
        <v>0.62017200000000006</v>
      </c>
      <c r="AF35" s="161"/>
      <c r="AG35" s="161"/>
      <c r="AH35" s="161"/>
      <c r="AO35" s="161"/>
      <c r="AP35" s="161"/>
      <c r="AQ35" s="161"/>
      <c r="AX35" s="161"/>
      <c r="AY35" s="161"/>
      <c r="AZ35" s="161"/>
      <c r="BG35" s="161"/>
      <c r="BH35" s="161"/>
      <c r="BI35" s="161"/>
      <c r="BP35" s="161"/>
      <c r="BQ35" s="161"/>
      <c r="BR35" s="161"/>
      <c r="BY35" s="161"/>
      <c r="BZ35" s="161"/>
      <c r="CA35" s="161"/>
      <c r="CH35" s="161"/>
      <c r="CI35" s="161"/>
      <c r="CJ35" s="161"/>
    </row>
    <row r="36" spans="5:88" x14ac:dyDescent="0.4">
      <c r="E36" s="76">
        <f t="shared" si="0"/>
        <v>0.20311200000000001</v>
      </c>
      <c r="F36" s="76">
        <f t="shared" si="1"/>
        <v>0.32337899999999997</v>
      </c>
      <c r="G36" s="76">
        <f t="shared" si="2"/>
        <v>0.63522900000000004</v>
      </c>
      <c r="N36" s="76">
        <f t="shared" si="3"/>
        <v>0.20078099999999999</v>
      </c>
      <c r="O36" s="76">
        <f t="shared" si="4"/>
        <v>0.31871700000000003</v>
      </c>
      <c r="P36" s="76">
        <f t="shared" si="5"/>
        <v>0.62092800000000004</v>
      </c>
      <c r="W36" s="76">
        <f t="shared" si="6"/>
        <v>0.196182</v>
      </c>
      <c r="X36" s="76">
        <f t="shared" si="7"/>
        <v>0.31090499999999999</v>
      </c>
      <c r="Y36" s="76">
        <f t="shared" si="8"/>
        <v>0.60958800000000002</v>
      </c>
      <c r="AF36" s="161"/>
      <c r="AG36" s="161"/>
      <c r="AH36" s="161"/>
      <c r="AO36" s="161"/>
      <c r="AP36" s="161"/>
      <c r="AQ36" s="161"/>
      <c r="AX36" s="161"/>
      <c r="AY36" s="161"/>
      <c r="AZ36" s="161"/>
      <c r="BG36" s="161"/>
      <c r="BH36" s="161"/>
      <c r="BI36" s="161"/>
      <c r="BP36" s="161"/>
      <c r="BQ36" s="161"/>
      <c r="BR36" s="161"/>
      <c r="BY36" s="161"/>
      <c r="BZ36" s="161"/>
      <c r="CA36" s="161"/>
      <c r="CH36" s="161"/>
      <c r="CI36" s="161"/>
      <c r="CJ36" s="161"/>
    </row>
    <row r="37" spans="5:88" x14ac:dyDescent="0.4">
      <c r="E37" s="76">
        <f t="shared" si="0"/>
        <v>0.20210399999999998</v>
      </c>
      <c r="F37" s="76">
        <f t="shared" si="1"/>
        <v>0.32256000000000001</v>
      </c>
      <c r="G37" s="76">
        <f t="shared" si="2"/>
        <v>0.63188999999999995</v>
      </c>
      <c r="N37" s="76">
        <f t="shared" si="3"/>
        <v>0.200655</v>
      </c>
      <c r="O37" s="76">
        <f t="shared" si="4"/>
        <v>0.31840199999999996</v>
      </c>
      <c r="P37" s="76">
        <f t="shared" si="5"/>
        <v>0.62325900000000001</v>
      </c>
      <c r="W37" s="76">
        <f t="shared" si="6"/>
        <v>0.19492200000000001</v>
      </c>
      <c r="X37" s="76">
        <f t="shared" si="7"/>
        <v>0.30825900000000001</v>
      </c>
      <c r="Y37" s="76">
        <f t="shared" si="8"/>
        <v>0.60190200000000005</v>
      </c>
      <c r="AF37" s="161"/>
      <c r="AG37" s="161"/>
      <c r="AH37" s="161"/>
      <c r="AO37" s="161"/>
      <c r="AP37" s="161"/>
      <c r="AQ37" s="161"/>
      <c r="AX37" s="161"/>
      <c r="AY37" s="161"/>
      <c r="AZ37" s="161"/>
      <c r="BG37" s="161"/>
      <c r="BH37" s="161"/>
      <c r="BI37" s="161"/>
      <c r="BP37" s="161"/>
      <c r="BQ37" s="161"/>
      <c r="BR37" s="161"/>
      <c r="BY37" s="161"/>
      <c r="BZ37" s="161"/>
      <c r="CA37" s="161"/>
      <c r="CH37" s="161"/>
      <c r="CI37" s="161"/>
      <c r="CJ37" s="161"/>
    </row>
    <row r="41" spans="5:88" x14ac:dyDescent="0.4">
      <c r="AO41" s="161"/>
      <c r="AP41" s="161"/>
      <c r="AQ41" s="161"/>
      <c r="AX41" s="161"/>
      <c r="AY41" s="161"/>
      <c r="AZ41" s="161"/>
      <c r="BG41" s="161"/>
      <c r="BH41" s="161"/>
      <c r="BI41" s="161"/>
    </row>
    <row r="42" spans="5:88" x14ac:dyDescent="0.4">
      <c r="AO42" s="161"/>
      <c r="AP42" s="161"/>
      <c r="AQ42" s="161"/>
      <c r="AX42" s="161"/>
      <c r="AY42" s="161"/>
      <c r="AZ42" s="161"/>
      <c r="BG42" s="161"/>
      <c r="BH42" s="161"/>
      <c r="BI42" s="161"/>
    </row>
    <row r="43" spans="5:88" x14ac:dyDescent="0.4">
      <c r="AO43" s="161"/>
      <c r="AP43" s="161"/>
      <c r="AQ43" s="161"/>
      <c r="AX43" s="161"/>
      <c r="AY43" s="161"/>
      <c r="AZ43" s="161"/>
      <c r="BG43" s="161"/>
      <c r="BH43" s="161"/>
      <c r="BI43" s="161"/>
    </row>
    <row r="44" spans="5:88" x14ac:dyDescent="0.4">
      <c r="AO44" s="161"/>
      <c r="AP44" s="161"/>
      <c r="AQ44" s="161"/>
      <c r="AX44" s="161"/>
      <c r="AY44" s="161"/>
      <c r="AZ44" s="161"/>
      <c r="BG44" s="161"/>
      <c r="BH44" s="161"/>
      <c r="BI44" s="161"/>
    </row>
    <row r="45" spans="5:88" x14ac:dyDescent="0.4">
      <c r="AO45" s="161"/>
      <c r="AP45" s="161"/>
      <c r="AQ45" s="161"/>
      <c r="AX45" s="161"/>
      <c r="AY45" s="161"/>
      <c r="AZ45" s="161"/>
      <c r="BG45" s="161"/>
      <c r="BH45" s="161"/>
      <c r="BI45" s="161"/>
    </row>
    <row r="46" spans="5:88" x14ac:dyDescent="0.4">
      <c r="AO46" s="161"/>
      <c r="AP46" s="161"/>
      <c r="AQ46" s="161"/>
      <c r="AX46" s="161"/>
      <c r="AY46" s="161"/>
      <c r="AZ46" s="161"/>
      <c r="BG46" s="161"/>
      <c r="BH46" s="161"/>
      <c r="BI46" s="161"/>
    </row>
    <row r="47" spans="5:88" x14ac:dyDescent="0.4">
      <c r="AO47" s="161"/>
      <c r="AP47" s="161"/>
      <c r="AQ47" s="161"/>
      <c r="AX47" s="161"/>
      <c r="AY47" s="161"/>
      <c r="AZ47" s="161"/>
      <c r="BG47" s="161"/>
      <c r="BH47" s="161"/>
      <c r="BI47" s="161"/>
    </row>
    <row r="48" spans="5:88" x14ac:dyDescent="0.4">
      <c r="AO48" s="161"/>
      <c r="AP48" s="161"/>
      <c r="AQ48" s="161"/>
      <c r="AX48" s="161"/>
      <c r="AY48" s="161"/>
      <c r="AZ48" s="161"/>
      <c r="BG48" s="161"/>
      <c r="BH48" s="161"/>
      <c r="BI48" s="161"/>
    </row>
    <row r="49" spans="41:61" x14ac:dyDescent="0.4">
      <c r="AO49" s="161"/>
      <c r="AP49" s="161"/>
      <c r="AQ49" s="161"/>
      <c r="AX49" s="161"/>
      <c r="AY49" s="161"/>
      <c r="AZ49" s="161"/>
      <c r="BG49" s="161"/>
      <c r="BH49" s="161"/>
      <c r="BI49" s="161"/>
    </row>
    <row r="50" spans="41:61" x14ac:dyDescent="0.4">
      <c r="AO50" s="161"/>
      <c r="AP50" s="161"/>
      <c r="AQ50" s="161"/>
      <c r="AX50" s="161"/>
      <c r="AY50" s="161"/>
      <c r="AZ50" s="161"/>
      <c r="BG50" s="161"/>
      <c r="BH50" s="161"/>
      <c r="BI50" s="161"/>
    </row>
    <row r="51" spans="41:61" x14ac:dyDescent="0.4">
      <c r="AO51" s="161"/>
      <c r="AP51" s="161"/>
      <c r="AQ51" s="161"/>
      <c r="AX51" s="161"/>
      <c r="AY51" s="161"/>
      <c r="AZ51" s="161"/>
      <c r="BG51" s="161"/>
      <c r="BH51" s="161"/>
      <c r="BI51" s="161"/>
    </row>
    <row r="52" spans="41:61" x14ac:dyDescent="0.4">
      <c r="AO52" s="161"/>
      <c r="AP52" s="161"/>
      <c r="AQ52" s="161"/>
      <c r="AX52" s="161"/>
      <c r="AY52" s="161"/>
      <c r="AZ52" s="161"/>
      <c r="BG52" s="161"/>
      <c r="BH52" s="161"/>
      <c r="BI52" s="161"/>
    </row>
    <row r="53" spans="41:61" x14ac:dyDescent="0.4">
      <c r="AO53" s="161"/>
      <c r="AP53" s="161"/>
      <c r="AQ53" s="161"/>
      <c r="AX53" s="161"/>
      <c r="AY53" s="161"/>
      <c r="AZ53" s="161"/>
      <c r="BG53" s="161"/>
      <c r="BH53" s="161"/>
      <c r="BI53" s="161"/>
    </row>
    <row r="54" spans="41:61" x14ac:dyDescent="0.4">
      <c r="AO54" s="161"/>
      <c r="AP54" s="161"/>
      <c r="AQ54" s="161"/>
      <c r="AX54" s="161"/>
      <c r="AY54" s="161"/>
      <c r="AZ54" s="161"/>
      <c r="BG54" s="161"/>
      <c r="BH54" s="161"/>
      <c r="BI54" s="161"/>
    </row>
  </sheetData>
  <mergeCells count="21">
    <mergeCell ref="CN5:CU5"/>
    <mergeCell ref="AL4:AS4"/>
    <mergeCell ref="AL5:AS5"/>
    <mergeCell ref="BM4:BT4"/>
    <mergeCell ref="BM5:BT5"/>
    <mergeCell ref="BV4:CC4"/>
    <mergeCell ref="BV5:CC5"/>
    <mergeCell ref="AU4:BB4"/>
    <mergeCell ref="AU5:BB5"/>
    <mergeCell ref="BD4:BK4"/>
    <mergeCell ref="BD5:BK5"/>
    <mergeCell ref="B4:I4"/>
    <mergeCell ref="B5:I5"/>
    <mergeCell ref="K4:R4"/>
    <mergeCell ref="CE4:CL4"/>
    <mergeCell ref="CE5:CL5"/>
    <mergeCell ref="K5:R5"/>
    <mergeCell ref="T4:AA4"/>
    <mergeCell ref="T5:AA5"/>
    <mergeCell ref="AC4:AJ4"/>
    <mergeCell ref="AC5:AJ5"/>
  </mergeCells>
  <pageMargins left="0.7" right="0.7" top="0.75" bottom="0.75" header="0.3" footer="0.3"/>
  <pageSetup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1"/>
  <sheetViews>
    <sheetView showGridLines="0" topLeftCell="C3" zoomScale="60" zoomScaleNormal="60" workbookViewId="0">
      <selection activeCell="H4" sqref="H4:J4"/>
    </sheetView>
  </sheetViews>
  <sheetFormatPr defaultRowHeight="18" x14ac:dyDescent="0.45"/>
  <cols>
    <col min="2" max="2" width="11.921875" style="8" customWidth="1"/>
    <col min="3" max="4" width="13.61328125" style="8" customWidth="1"/>
    <col min="5" max="5" width="13.07421875" style="8" customWidth="1"/>
    <col min="6" max="6" width="10.61328125" style="8" customWidth="1"/>
    <col min="7" max="7" width="11.69140625" style="8" customWidth="1"/>
    <col min="8" max="10" width="13.07421875" style="8" customWidth="1"/>
    <col min="12" max="12" width="11.921875" style="181" customWidth="1"/>
    <col min="13" max="14" width="13.61328125" style="181" customWidth="1"/>
    <col min="15" max="15" width="13.07421875" style="181" customWidth="1"/>
    <col min="16" max="16" width="10.61328125" style="181" customWidth="1"/>
    <col min="17" max="17" width="11.69140625" style="181" customWidth="1"/>
    <col min="18" max="20" width="13.07421875" style="181" customWidth="1"/>
  </cols>
  <sheetData>
    <row r="1" spans="1:20" ht="26.15" x14ac:dyDescent="0.7">
      <c r="A1" s="4"/>
      <c r="B1" s="4" t="s">
        <v>106</v>
      </c>
      <c r="G1" s="4" t="s">
        <v>107</v>
      </c>
      <c r="L1" s="180" t="s">
        <v>106</v>
      </c>
      <c r="Q1" s="180" t="s">
        <v>107</v>
      </c>
    </row>
    <row r="2" spans="1:20" ht="18.45" thickBot="1" x14ac:dyDescent="0.5"/>
    <row r="3" spans="1:20" ht="30.45" customHeight="1" thickBot="1" x14ac:dyDescent="0.5">
      <c r="B3" s="208" t="s">
        <v>95</v>
      </c>
      <c r="C3" s="209"/>
      <c r="D3" s="209"/>
      <c r="E3" s="210"/>
      <c r="G3" s="208" t="s">
        <v>96</v>
      </c>
      <c r="H3" s="209"/>
      <c r="I3" s="209"/>
      <c r="J3" s="210"/>
      <c r="L3" s="211" t="s">
        <v>95</v>
      </c>
      <c r="M3" s="212"/>
      <c r="N3" s="212"/>
      <c r="O3" s="213"/>
      <c r="Q3" s="211" t="s">
        <v>96</v>
      </c>
      <c r="R3" s="212"/>
      <c r="S3" s="212"/>
      <c r="T3" s="213"/>
    </row>
    <row r="4" spans="1:20" s="128" customFormat="1" ht="69" customHeight="1" thickBot="1" x14ac:dyDescent="0.45">
      <c r="B4" s="162" t="s">
        <v>22</v>
      </c>
      <c r="C4" s="163" t="s">
        <v>166</v>
      </c>
      <c r="D4" s="165" t="s">
        <v>167</v>
      </c>
      <c r="E4" s="164" t="s">
        <v>168</v>
      </c>
      <c r="F4" s="132"/>
      <c r="G4" s="162" t="s">
        <v>22</v>
      </c>
      <c r="H4" s="163" t="s">
        <v>166</v>
      </c>
      <c r="I4" s="165" t="s">
        <v>167</v>
      </c>
      <c r="J4" s="164" t="s">
        <v>168</v>
      </c>
      <c r="L4" s="182" t="s">
        <v>22</v>
      </c>
      <c r="M4" s="183" t="s">
        <v>166</v>
      </c>
      <c r="N4" s="184" t="s">
        <v>167</v>
      </c>
      <c r="O4" s="185" t="s">
        <v>168</v>
      </c>
      <c r="P4" s="186"/>
      <c r="Q4" s="182" t="s">
        <v>22</v>
      </c>
      <c r="R4" s="183" t="s">
        <v>166</v>
      </c>
      <c r="S4" s="184" t="s">
        <v>167</v>
      </c>
      <c r="T4" s="185" t="s">
        <v>168</v>
      </c>
    </row>
    <row r="5" spans="1:20" x14ac:dyDescent="0.4">
      <c r="B5" s="55">
        <v>2021</v>
      </c>
      <c r="C5" s="118">
        <v>5.8209999999999998E-2</v>
      </c>
      <c r="D5" s="166">
        <v>5.851E-2</v>
      </c>
      <c r="E5" s="120">
        <v>5.8110000000000002E-2</v>
      </c>
      <c r="F5" s="11"/>
      <c r="G5" s="55">
        <v>2021</v>
      </c>
      <c r="H5" s="176">
        <v>7.1500000000000001E-3</v>
      </c>
      <c r="I5" s="177">
        <v>7.4700000000000001E-3</v>
      </c>
      <c r="J5" s="178">
        <v>7.4700000000000001E-3</v>
      </c>
      <c r="L5" s="198">
        <v>2021</v>
      </c>
      <c r="M5" s="188">
        <v>5.8209999999999998E-2</v>
      </c>
      <c r="N5" s="189">
        <v>5.851E-2</v>
      </c>
      <c r="O5" s="190">
        <v>5.8110000000000002E-2</v>
      </c>
      <c r="P5" s="186"/>
      <c r="Q5" s="198">
        <v>2021</v>
      </c>
      <c r="R5" s="188">
        <v>7.1500000000000001E-3</v>
      </c>
      <c r="S5" s="189">
        <v>7.4700000000000001E-3</v>
      </c>
      <c r="T5" s="190">
        <v>7.4700000000000001E-3</v>
      </c>
    </row>
    <row r="6" spans="1:20" x14ac:dyDescent="0.4">
      <c r="B6" s="55">
        <v>2022</v>
      </c>
      <c r="C6" s="123">
        <v>0.66879999999999995</v>
      </c>
      <c r="D6" s="168">
        <v>0.66893000000000002</v>
      </c>
      <c r="E6" s="125">
        <v>0.66713999999999996</v>
      </c>
      <c r="F6" s="11"/>
      <c r="G6" s="55">
        <v>2022</v>
      </c>
      <c r="H6" s="123">
        <v>0</v>
      </c>
      <c r="I6" s="168">
        <v>0</v>
      </c>
      <c r="J6" s="125">
        <v>0</v>
      </c>
      <c r="L6" s="187">
        <v>2022</v>
      </c>
      <c r="M6" s="170">
        <v>0.66879999999999995</v>
      </c>
      <c r="N6" s="171">
        <v>0.66893000000000002</v>
      </c>
      <c r="O6" s="172">
        <v>0.66713999999999996</v>
      </c>
      <c r="P6" s="186"/>
      <c r="Q6" s="187">
        <v>2022</v>
      </c>
      <c r="R6" s="170">
        <v>0</v>
      </c>
      <c r="S6" s="171">
        <v>0</v>
      </c>
      <c r="T6" s="172">
        <v>0</v>
      </c>
    </row>
    <row r="7" spans="1:20" x14ac:dyDescent="0.4">
      <c r="B7" s="55">
        <v>2023</v>
      </c>
      <c r="C7" s="123">
        <v>0.94228999999999996</v>
      </c>
      <c r="D7" s="168">
        <v>0.94199999999999995</v>
      </c>
      <c r="E7" s="125">
        <v>0.94130000000000003</v>
      </c>
      <c r="F7" s="11"/>
      <c r="G7" s="55">
        <v>2023</v>
      </c>
      <c r="H7" s="123">
        <v>1.4999999999999999E-4</v>
      </c>
      <c r="I7" s="168">
        <v>6.9999999999999994E-5</v>
      </c>
      <c r="J7" s="125">
        <v>6.9999999999999994E-5</v>
      </c>
      <c r="L7" s="187">
        <v>2023</v>
      </c>
      <c r="M7" s="170">
        <v>0.94228999999999996</v>
      </c>
      <c r="N7" s="171">
        <v>0.94199999999999995</v>
      </c>
      <c r="O7" s="172">
        <v>0.94130000000000003</v>
      </c>
      <c r="P7" s="186"/>
      <c r="Q7" s="187">
        <v>2023</v>
      </c>
      <c r="R7" s="170">
        <v>1.4999999999999999E-4</v>
      </c>
      <c r="S7" s="171">
        <v>6.9999999999999994E-5</v>
      </c>
      <c r="T7" s="172">
        <v>6.9999999999999994E-5</v>
      </c>
    </row>
    <row r="8" spans="1:20" x14ac:dyDescent="0.4">
      <c r="B8" s="55">
        <v>2024</v>
      </c>
      <c r="C8" s="123">
        <v>0.91768000000000005</v>
      </c>
      <c r="D8" s="168">
        <v>0.91698000000000002</v>
      </c>
      <c r="E8" s="125">
        <v>0.91490000000000005</v>
      </c>
      <c r="F8" s="11"/>
      <c r="G8" s="55">
        <v>2024</v>
      </c>
      <c r="H8" s="123">
        <v>6.3499999999999997E-3</v>
      </c>
      <c r="I8" s="168">
        <v>7.0400000000000003E-3</v>
      </c>
      <c r="J8" s="125">
        <v>6.7499999999999999E-3</v>
      </c>
      <c r="L8" s="187">
        <v>2024</v>
      </c>
      <c r="M8" s="170">
        <v>0.91768000000000005</v>
      </c>
      <c r="N8" s="171">
        <v>0.91698000000000002</v>
      </c>
      <c r="O8" s="172">
        <v>0.91490000000000005</v>
      </c>
      <c r="P8" s="186"/>
      <c r="Q8" s="187">
        <v>2024</v>
      </c>
      <c r="R8" s="170">
        <v>6.3499999999999997E-3</v>
      </c>
      <c r="S8" s="171">
        <v>7.0400000000000003E-3</v>
      </c>
      <c r="T8" s="172">
        <v>6.7499999999999999E-3</v>
      </c>
    </row>
    <row r="9" spans="1:20" x14ac:dyDescent="0.4">
      <c r="B9" s="55">
        <v>2025</v>
      </c>
      <c r="C9" s="123">
        <v>0.84860999999999998</v>
      </c>
      <c r="D9" s="168">
        <v>0.79227000000000003</v>
      </c>
      <c r="E9" s="125">
        <v>0.78861999999999999</v>
      </c>
      <c r="F9" s="11"/>
      <c r="G9" s="55">
        <v>2025</v>
      </c>
      <c r="H9" s="123">
        <v>3.8699999999999998E-2</v>
      </c>
      <c r="I9" s="168">
        <v>0.21357000000000001</v>
      </c>
      <c r="J9" s="125">
        <v>0.216</v>
      </c>
      <c r="L9" s="187">
        <v>2025</v>
      </c>
      <c r="M9" s="170">
        <v>0.84860999999999998</v>
      </c>
      <c r="N9" s="171">
        <v>0.79227000000000003</v>
      </c>
      <c r="O9" s="172">
        <v>0.78861999999999999</v>
      </c>
      <c r="P9" s="186"/>
      <c r="Q9" s="187">
        <v>2025</v>
      </c>
      <c r="R9" s="170">
        <v>3.8699999999999998E-2</v>
      </c>
      <c r="S9" s="171">
        <v>0.21357000000000001</v>
      </c>
      <c r="T9" s="172">
        <v>0.216</v>
      </c>
    </row>
    <row r="10" spans="1:20" x14ac:dyDescent="0.4">
      <c r="B10" s="55">
        <v>2026</v>
      </c>
      <c r="C10" s="123">
        <v>0.77056999999999998</v>
      </c>
      <c r="D10" s="168">
        <v>0.66759999999999997</v>
      </c>
      <c r="E10" s="125">
        <v>0.59623000000000004</v>
      </c>
      <c r="F10" s="11"/>
      <c r="G10" s="55">
        <v>2026</v>
      </c>
      <c r="H10" s="123">
        <v>8.1500000000000003E-2</v>
      </c>
      <c r="I10" s="168">
        <v>0.14202000000000001</v>
      </c>
      <c r="J10" s="125">
        <v>0.40375</v>
      </c>
      <c r="L10" s="187">
        <v>2026</v>
      </c>
      <c r="M10" s="170">
        <v>0.77056999999999998</v>
      </c>
      <c r="N10" s="171">
        <v>0.66759999999999997</v>
      </c>
      <c r="O10" s="172">
        <v>0.59623000000000004</v>
      </c>
      <c r="P10" s="186"/>
      <c r="Q10" s="187">
        <v>2026</v>
      </c>
      <c r="R10" s="170">
        <v>8.1500000000000003E-2</v>
      </c>
      <c r="S10" s="171">
        <v>0.14202000000000001</v>
      </c>
      <c r="T10" s="172">
        <v>0.40375</v>
      </c>
    </row>
    <row r="11" spans="1:20" x14ac:dyDescent="0.4">
      <c r="B11" s="55">
        <v>2027</v>
      </c>
      <c r="C11" s="123">
        <v>0.70940000000000003</v>
      </c>
      <c r="D11" s="168">
        <v>0.61895999999999995</v>
      </c>
      <c r="E11" s="172">
        <v>0.50592000000000004</v>
      </c>
      <c r="F11" s="11"/>
      <c r="G11" s="55">
        <v>2027</v>
      </c>
      <c r="H11" s="123">
        <v>0.12095</v>
      </c>
      <c r="I11" s="168">
        <v>0.18246000000000001</v>
      </c>
      <c r="J11" s="125">
        <v>0.27187</v>
      </c>
      <c r="L11" s="187">
        <v>2027</v>
      </c>
      <c r="M11" s="170">
        <v>0.70940000000000003</v>
      </c>
      <c r="N11" s="171">
        <v>0.61895999999999995</v>
      </c>
      <c r="O11" s="172">
        <v>0.50592000000000004</v>
      </c>
      <c r="P11" s="186"/>
      <c r="Q11" s="187">
        <v>2027</v>
      </c>
      <c r="R11" s="170">
        <v>0.12095</v>
      </c>
      <c r="S11" s="171">
        <v>0.18246000000000001</v>
      </c>
      <c r="T11" s="172">
        <v>0.27187</v>
      </c>
    </row>
    <row r="12" spans="1:20" x14ac:dyDescent="0.4">
      <c r="B12" s="55">
        <v>2028</v>
      </c>
      <c r="C12" s="123">
        <v>0.67095000000000005</v>
      </c>
      <c r="D12" s="168">
        <v>0.60682999999999998</v>
      </c>
      <c r="E12" s="172">
        <v>0.51709000000000005</v>
      </c>
      <c r="F12" s="11"/>
      <c r="G12" s="55">
        <v>2028</v>
      </c>
      <c r="H12" s="123">
        <v>0.12548000000000001</v>
      </c>
      <c r="I12" s="168">
        <v>0.15026</v>
      </c>
      <c r="J12" s="125">
        <v>0.20463000000000001</v>
      </c>
      <c r="L12" s="187">
        <v>2028</v>
      </c>
      <c r="M12" s="170">
        <v>0.67095000000000005</v>
      </c>
      <c r="N12" s="171">
        <v>0.60682999999999998</v>
      </c>
      <c r="O12" s="172">
        <v>0.51709000000000005</v>
      </c>
      <c r="P12" s="186"/>
      <c r="Q12" s="187">
        <v>2028</v>
      </c>
      <c r="R12" s="170">
        <v>0.12548000000000001</v>
      </c>
      <c r="S12" s="171">
        <v>0.15026</v>
      </c>
      <c r="T12" s="172">
        <v>0.20463000000000001</v>
      </c>
    </row>
    <row r="13" spans="1:20" x14ac:dyDescent="0.4">
      <c r="B13" s="55">
        <v>2029</v>
      </c>
      <c r="C13" s="123">
        <v>0.64449999999999996</v>
      </c>
      <c r="D13" s="168">
        <v>0.61040000000000005</v>
      </c>
      <c r="E13" s="172">
        <v>0.54659999999999997</v>
      </c>
      <c r="F13" s="11"/>
      <c r="G13" s="55">
        <v>2029</v>
      </c>
      <c r="H13" s="123">
        <v>0.14484</v>
      </c>
      <c r="I13" s="168">
        <v>0.15053</v>
      </c>
      <c r="J13" s="125">
        <v>0.1855</v>
      </c>
      <c r="L13" s="187">
        <v>2029</v>
      </c>
      <c r="M13" s="170">
        <v>0.64449999999999996</v>
      </c>
      <c r="N13" s="171">
        <v>0.61040000000000005</v>
      </c>
      <c r="O13" s="172">
        <v>0.54659999999999997</v>
      </c>
      <c r="P13" s="186"/>
      <c r="Q13" s="187">
        <v>2029</v>
      </c>
      <c r="R13" s="170">
        <v>0.14484</v>
      </c>
      <c r="S13" s="171">
        <v>0.15053</v>
      </c>
      <c r="T13" s="172">
        <v>0.1855</v>
      </c>
    </row>
    <row r="14" spans="1:20" x14ac:dyDescent="0.4">
      <c r="B14" s="55">
        <v>2030</v>
      </c>
      <c r="C14" s="123">
        <v>0.62251999999999996</v>
      </c>
      <c r="D14" s="168">
        <v>0.61304999999999998</v>
      </c>
      <c r="E14" s="172">
        <v>0.57064000000000004</v>
      </c>
      <c r="F14" s="11"/>
      <c r="G14" s="55">
        <v>2030</v>
      </c>
      <c r="H14" s="123">
        <v>0.16106999999999999</v>
      </c>
      <c r="I14" s="168">
        <v>0.15084</v>
      </c>
      <c r="J14" s="125">
        <v>0.16825000000000001</v>
      </c>
      <c r="L14" s="187">
        <v>2030</v>
      </c>
      <c r="M14" s="170">
        <v>0.62251999999999996</v>
      </c>
      <c r="N14" s="171">
        <v>0.61304999999999998</v>
      </c>
      <c r="O14" s="172">
        <v>0.57064000000000004</v>
      </c>
      <c r="P14" s="186"/>
      <c r="Q14" s="187">
        <v>2030</v>
      </c>
      <c r="R14" s="170">
        <v>0.16106999999999999</v>
      </c>
      <c r="S14" s="171">
        <v>0.15084</v>
      </c>
      <c r="T14" s="172">
        <v>0.16825000000000001</v>
      </c>
    </row>
    <row r="15" spans="1:20" x14ac:dyDescent="0.4">
      <c r="B15" s="55">
        <v>2031</v>
      </c>
      <c r="C15" s="123">
        <v>0.60619999999999996</v>
      </c>
      <c r="D15" s="168">
        <v>0.61309999999999998</v>
      </c>
      <c r="E15" s="172">
        <v>0.59136999999999995</v>
      </c>
      <c r="F15" s="11"/>
      <c r="G15" s="55">
        <v>2031</v>
      </c>
      <c r="H15" s="123">
        <v>0.17505000000000001</v>
      </c>
      <c r="I15" s="168">
        <v>0.15065000000000001</v>
      </c>
      <c r="J15" s="125">
        <v>0.15683</v>
      </c>
      <c r="L15" s="187">
        <v>2031</v>
      </c>
      <c r="M15" s="170">
        <v>0.60619999999999996</v>
      </c>
      <c r="N15" s="171">
        <v>0.61309999999999998</v>
      </c>
      <c r="O15" s="172">
        <v>0.59136999999999995</v>
      </c>
      <c r="P15" s="186"/>
      <c r="Q15" s="187">
        <v>2031</v>
      </c>
      <c r="R15" s="170">
        <v>0.17505000000000001</v>
      </c>
      <c r="S15" s="171">
        <v>0.15065000000000001</v>
      </c>
      <c r="T15" s="172">
        <v>0.15683</v>
      </c>
    </row>
    <row r="16" spans="1:20" x14ac:dyDescent="0.4">
      <c r="B16" s="55">
        <v>2032</v>
      </c>
      <c r="C16" s="123">
        <v>0.59907999999999995</v>
      </c>
      <c r="D16" s="168">
        <v>0.61336999999999997</v>
      </c>
      <c r="E16" s="125">
        <v>0.60546999999999995</v>
      </c>
      <c r="F16" s="11"/>
      <c r="G16" s="55">
        <v>2032</v>
      </c>
      <c r="H16" s="123">
        <v>0.16178999999999999</v>
      </c>
      <c r="I16" s="168">
        <v>0.15198</v>
      </c>
      <c r="J16" s="125">
        <v>0.14743000000000001</v>
      </c>
      <c r="L16" s="187">
        <v>2032</v>
      </c>
      <c r="M16" s="170">
        <v>0.59907999999999995</v>
      </c>
      <c r="N16" s="171">
        <v>0.61336999999999997</v>
      </c>
      <c r="O16" s="172">
        <v>0.60546999999999995</v>
      </c>
      <c r="P16" s="186"/>
      <c r="Q16" s="187">
        <v>2032</v>
      </c>
      <c r="R16" s="170">
        <v>0.16178999999999999</v>
      </c>
      <c r="S16" s="171">
        <v>0.15198</v>
      </c>
      <c r="T16" s="172">
        <v>0.14743000000000001</v>
      </c>
    </row>
    <row r="17" spans="2:20" x14ac:dyDescent="0.4">
      <c r="B17" s="55">
        <v>2033</v>
      </c>
      <c r="C17" s="123">
        <v>0.60043000000000002</v>
      </c>
      <c r="D17" s="168">
        <v>0.61560999999999999</v>
      </c>
      <c r="E17" s="125">
        <v>0.61667000000000005</v>
      </c>
      <c r="F17" s="11"/>
      <c r="G17" s="55">
        <v>2033</v>
      </c>
      <c r="H17" s="123">
        <v>0.15976000000000001</v>
      </c>
      <c r="I17" s="168">
        <v>0.15206</v>
      </c>
      <c r="J17" s="125">
        <v>0.14224999999999999</v>
      </c>
      <c r="L17" s="187">
        <v>2033</v>
      </c>
      <c r="M17" s="170">
        <v>0.60043000000000002</v>
      </c>
      <c r="N17" s="171">
        <v>0.61560999999999999</v>
      </c>
      <c r="O17" s="172">
        <v>0.61667000000000005</v>
      </c>
      <c r="P17" s="186"/>
      <c r="Q17" s="187">
        <v>2033</v>
      </c>
      <c r="R17" s="170">
        <v>0.15976000000000001</v>
      </c>
      <c r="S17" s="171">
        <v>0.15206</v>
      </c>
      <c r="T17" s="172">
        <v>0.14224999999999999</v>
      </c>
    </row>
    <row r="18" spans="2:20" ht="18.45" thickBot="1" x14ac:dyDescent="0.45">
      <c r="B18" s="53">
        <v>2034</v>
      </c>
      <c r="C18" s="169">
        <v>0.60440000000000005</v>
      </c>
      <c r="D18" s="167">
        <v>0.61490999999999996</v>
      </c>
      <c r="E18" s="124">
        <v>0.62544</v>
      </c>
      <c r="F18" s="11"/>
      <c r="G18" s="53">
        <v>2034</v>
      </c>
      <c r="H18" s="169">
        <v>0.15856999999999999</v>
      </c>
      <c r="I18" s="167">
        <v>0.15117</v>
      </c>
      <c r="J18" s="124">
        <v>0.13666</v>
      </c>
      <c r="L18" s="191">
        <v>2034</v>
      </c>
      <c r="M18" s="173">
        <v>0.60440000000000005</v>
      </c>
      <c r="N18" s="174">
        <v>0.61490999999999996</v>
      </c>
      <c r="O18" s="175">
        <v>0.62544</v>
      </c>
      <c r="P18" s="186"/>
      <c r="Q18" s="191">
        <v>2034</v>
      </c>
      <c r="R18" s="173">
        <v>0.15856999999999999</v>
      </c>
      <c r="S18" s="174">
        <v>0.15117</v>
      </c>
      <c r="T18" s="175">
        <v>0.13666</v>
      </c>
    </row>
    <row r="19" spans="2:20" ht="18.45" thickBot="1" x14ac:dyDescent="0.5">
      <c r="B19" s="179"/>
      <c r="C19" s="157" t="s">
        <v>158</v>
      </c>
      <c r="D19" s="158"/>
      <c r="E19" s="159"/>
      <c r="G19" s="179"/>
      <c r="H19" s="157" t="s">
        <v>169</v>
      </c>
      <c r="I19" s="158"/>
      <c r="J19" s="159"/>
      <c r="L19" s="195"/>
      <c r="M19" s="196"/>
      <c r="N19" s="197"/>
      <c r="O19" s="197"/>
      <c r="P19" s="195"/>
      <c r="Q19" s="195"/>
      <c r="R19" s="196"/>
      <c r="S19" s="197"/>
      <c r="T19" s="197"/>
    </row>
    <row r="20" spans="2:20" x14ac:dyDescent="0.45">
      <c r="B20" s="52"/>
      <c r="C20" s="13"/>
      <c r="D20" s="13"/>
      <c r="E20" s="13"/>
      <c r="G20" s="12"/>
      <c r="H20" s="13"/>
      <c r="I20" s="13"/>
      <c r="J20" s="13"/>
      <c r="L20" s="192"/>
      <c r="M20" s="193"/>
      <c r="N20" s="193"/>
      <c r="O20" s="193"/>
      <c r="Q20" s="194"/>
      <c r="R20" s="193"/>
      <c r="S20" s="193"/>
      <c r="T20" s="193"/>
    </row>
    <row r="21" spans="2:20" x14ac:dyDescent="0.45">
      <c r="B21" s="12"/>
      <c r="C21" s="13"/>
      <c r="D21" s="13"/>
      <c r="E21" s="13"/>
      <c r="G21" s="12"/>
      <c r="H21" s="13"/>
      <c r="I21" s="13"/>
      <c r="J21" s="13"/>
      <c r="L21" s="194"/>
      <c r="M21" s="193"/>
      <c r="N21" s="193"/>
      <c r="O21" s="193"/>
      <c r="Q21" s="194"/>
      <c r="R21" s="193"/>
      <c r="S21" s="193"/>
      <c r="T21" s="193"/>
    </row>
  </sheetData>
  <mergeCells count="4">
    <mergeCell ref="B3:E3"/>
    <mergeCell ref="G3:J3"/>
    <mergeCell ref="L3:O3"/>
    <mergeCell ref="Q3:T3"/>
  </mergeCells>
  <pageMargins left="0.7" right="0.7" top="0.75" bottom="0.75" header="0.3" footer="0.3"/>
  <pageSetup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05ED1-699B-49D9-A2DD-E7128E5B3F41}">
  <dimension ref="A1:U651"/>
  <sheetViews>
    <sheetView topLeftCell="F259" workbookViewId="0">
      <selection activeCell="M260" sqref="M260:S273"/>
    </sheetView>
  </sheetViews>
  <sheetFormatPr defaultRowHeight="14.6" x14ac:dyDescent="0.4"/>
  <sheetData>
    <row r="1" spans="1:9" x14ac:dyDescent="0.4">
      <c r="A1" t="s">
        <v>69</v>
      </c>
      <c r="B1" t="s">
        <v>68</v>
      </c>
      <c r="C1">
        <v>4.2</v>
      </c>
    </row>
    <row r="3" spans="1:9" x14ac:dyDescent="0.4">
      <c r="A3" t="s">
        <v>161</v>
      </c>
    </row>
    <row r="5" spans="1:9" x14ac:dyDescent="0.4">
      <c r="A5" t="s">
        <v>67</v>
      </c>
      <c r="B5" t="s">
        <v>66</v>
      </c>
      <c r="C5" t="s">
        <v>65</v>
      </c>
      <c r="D5" t="s">
        <v>47</v>
      </c>
      <c r="E5" t="s">
        <v>64</v>
      </c>
      <c r="F5">
        <v>10</v>
      </c>
      <c r="G5" t="s">
        <v>160</v>
      </c>
      <c r="H5">
        <v>2025</v>
      </c>
      <c r="I5" s="3">
        <v>0.52638888888888891</v>
      </c>
    </row>
    <row r="7" spans="1:9" x14ac:dyDescent="0.4">
      <c r="A7" t="s">
        <v>45</v>
      </c>
      <c r="B7" t="s">
        <v>52</v>
      </c>
      <c r="C7" t="s">
        <v>51</v>
      </c>
      <c r="D7" t="s">
        <v>159</v>
      </c>
    </row>
    <row r="9" spans="1:9" x14ac:dyDescent="0.4">
      <c r="A9" t="s">
        <v>63</v>
      </c>
      <c r="B9" t="s">
        <v>0</v>
      </c>
      <c r="C9" t="s">
        <v>62</v>
      </c>
      <c r="D9">
        <v>1</v>
      </c>
    </row>
    <row r="10" spans="1:9" x14ac:dyDescent="0.4">
      <c r="A10" t="s">
        <v>50</v>
      </c>
      <c r="B10" t="s">
        <v>47</v>
      </c>
      <c r="C10" t="s">
        <v>0</v>
      </c>
      <c r="D10" t="s">
        <v>61</v>
      </c>
      <c r="E10">
        <v>15</v>
      </c>
    </row>
    <row r="11" spans="1:9" x14ac:dyDescent="0.4">
      <c r="A11" t="s">
        <v>50</v>
      </c>
      <c r="B11" t="s">
        <v>47</v>
      </c>
      <c r="C11" t="s">
        <v>60</v>
      </c>
      <c r="D11" t="s">
        <v>59</v>
      </c>
      <c r="E11" t="s">
        <v>58</v>
      </c>
      <c r="F11">
        <v>14</v>
      </c>
    </row>
    <row r="12" spans="1:9" x14ac:dyDescent="0.4">
      <c r="A12" t="s">
        <v>50</v>
      </c>
      <c r="B12" t="s">
        <v>47</v>
      </c>
      <c r="C12" t="s">
        <v>57</v>
      </c>
      <c r="D12">
        <v>9</v>
      </c>
    </row>
    <row r="13" spans="1:9" x14ac:dyDescent="0.4">
      <c r="A13" t="s">
        <v>50</v>
      </c>
      <c r="B13" t="s">
        <v>47</v>
      </c>
      <c r="C13" t="s">
        <v>41</v>
      </c>
      <c r="D13" t="s">
        <v>56</v>
      </c>
      <c r="E13">
        <v>3</v>
      </c>
    </row>
    <row r="14" spans="1:9" x14ac:dyDescent="0.4">
      <c r="A14" t="s">
        <v>50</v>
      </c>
      <c r="B14" t="s">
        <v>47</v>
      </c>
      <c r="C14" t="s">
        <v>55</v>
      </c>
      <c r="D14">
        <v>100</v>
      </c>
    </row>
    <row r="15" spans="1:9" x14ac:dyDescent="0.4">
      <c r="A15" t="s">
        <v>50</v>
      </c>
      <c r="B15" t="s">
        <v>47</v>
      </c>
      <c r="C15" t="s">
        <v>54</v>
      </c>
      <c r="D15">
        <v>1000</v>
      </c>
    </row>
    <row r="17" spans="1:11" x14ac:dyDescent="0.4">
      <c r="A17" t="s">
        <v>53</v>
      </c>
      <c r="B17" t="s">
        <v>52</v>
      </c>
      <c r="C17" t="s">
        <v>51</v>
      </c>
      <c r="D17" t="s">
        <v>75</v>
      </c>
      <c r="E17" t="s">
        <v>76</v>
      </c>
      <c r="F17" t="s">
        <v>77</v>
      </c>
      <c r="G17" t="s">
        <v>78</v>
      </c>
    </row>
    <row r="19" spans="1:11" x14ac:dyDescent="0.4">
      <c r="A19" t="s">
        <v>50</v>
      </c>
      <c r="B19" t="s">
        <v>47</v>
      </c>
      <c r="C19" t="s">
        <v>49</v>
      </c>
      <c r="D19" t="s">
        <v>48</v>
      </c>
      <c r="E19">
        <v>99844</v>
      </c>
      <c r="F19" t="s">
        <v>47</v>
      </c>
      <c r="G19">
        <v>100000</v>
      </c>
      <c r="H19" t="s">
        <v>46</v>
      </c>
    </row>
    <row r="21" spans="1:11" x14ac:dyDescent="0.4">
      <c r="A21" t="s">
        <v>45</v>
      </c>
      <c r="B21" t="s">
        <v>44</v>
      </c>
      <c r="C21" t="s">
        <v>43</v>
      </c>
    </row>
    <row r="23" spans="1:11" x14ac:dyDescent="0.4">
      <c r="A23" t="s">
        <v>22</v>
      </c>
      <c r="B23" t="s">
        <v>42</v>
      </c>
      <c r="C23" t="s">
        <v>79</v>
      </c>
      <c r="D23" t="s">
        <v>80</v>
      </c>
      <c r="E23" t="s">
        <v>81</v>
      </c>
      <c r="F23" t="s">
        <v>82</v>
      </c>
      <c r="G23" t="s">
        <v>83</v>
      </c>
      <c r="H23" t="s">
        <v>84</v>
      </c>
      <c r="I23" t="s">
        <v>85</v>
      </c>
      <c r="J23" t="s">
        <v>86</v>
      </c>
      <c r="K23" t="s">
        <v>87</v>
      </c>
    </row>
    <row r="25" spans="1:11" x14ac:dyDescent="0.4">
      <c r="A25">
        <v>2021</v>
      </c>
      <c r="B25" t="s">
        <v>5</v>
      </c>
      <c r="C25">
        <v>118</v>
      </c>
      <c r="D25">
        <v>100</v>
      </c>
      <c r="E25">
        <v>551</v>
      </c>
      <c r="F25">
        <v>72</v>
      </c>
      <c r="G25">
        <v>89</v>
      </c>
      <c r="H25">
        <v>37</v>
      </c>
      <c r="I25">
        <v>58</v>
      </c>
      <c r="J25">
        <v>265</v>
      </c>
      <c r="K25">
        <v>249</v>
      </c>
    </row>
    <row r="26" spans="1:11" x14ac:dyDescent="0.4">
      <c r="A26">
        <v>2022</v>
      </c>
      <c r="B26" t="s">
        <v>5</v>
      </c>
      <c r="C26">
        <v>75</v>
      </c>
      <c r="D26">
        <v>99</v>
      </c>
      <c r="E26">
        <v>464</v>
      </c>
      <c r="F26">
        <v>36</v>
      </c>
      <c r="G26">
        <v>80</v>
      </c>
      <c r="H26">
        <v>54</v>
      </c>
      <c r="I26">
        <v>84</v>
      </c>
      <c r="J26">
        <v>298</v>
      </c>
      <c r="K26">
        <v>284</v>
      </c>
    </row>
    <row r="27" spans="1:11" x14ac:dyDescent="0.4">
      <c r="A27">
        <v>2023</v>
      </c>
      <c r="B27" t="s">
        <v>5</v>
      </c>
      <c r="C27">
        <v>129</v>
      </c>
      <c r="D27">
        <v>80</v>
      </c>
      <c r="E27">
        <v>526</v>
      </c>
      <c r="F27">
        <v>28</v>
      </c>
      <c r="G27">
        <v>110</v>
      </c>
      <c r="H27">
        <v>54</v>
      </c>
      <c r="I27">
        <v>84</v>
      </c>
      <c r="J27">
        <v>214</v>
      </c>
      <c r="K27">
        <v>461</v>
      </c>
    </row>
    <row r="28" spans="1:11" x14ac:dyDescent="0.4">
      <c r="A28">
        <v>2024</v>
      </c>
      <c r="B28" t="s">
        <v>5</v>
      </c>
      <c r="C28">
        <v>83</v>
      </c>
      <c r="D28">
        <v>176</v>
      </c>
      <c r="E28">
        <v>578</v>
      </c>
      <c r="F28">
        <v>27</v>
      </c>
      <c r="G28">
        <v>110</v>
      </c>
      <c r="H28">
        <v>54</v>
      </c>
      <c r="I28">
        <v>84</v>
      </c>
      <c r="J28">
        <v>584</v>
      </c>
      <c r="K28">
        <v>461</v>
      </c>
    </row>
    <row r="29" spans="1:11" x14ac:dyDescent="0.4">
      <c r="A29">
        <v>2025</v>
      </c>
      <c r="B29" t="s">
        <v>5</v>
      </c>
      <c r="C29">
        <v>316</v>
      </c>
      <c r="D29">
        <v>125</v>
      </c>
      <c r="E29">
        <v>904</v>
      </c>
      <c r="F29">
        <v>58</v>
      </c>
      <c r="G29">
        <v>191</v>
      </c>
      <c r="H29">
        <v>85</v>
      </c>
      <c r="I29">
        <v>166</v>
      </c>
      <c r="J29">
        <v>228</v>
      </c>
      <c r="K29">
        <v>326</v>
      </c>
    </row>
    <row r="30" spans="1:11" x14ac:dyDescent="0.4">
      <c r="A30">
        <v>2026</v>
      </c>
      <c r="B30" t="s">
        <v>5</v>
      </c>
      <c r="C30">
        <v>316</v>
      </c>
      <c r="D30">
        <v>125</v>
      </c>
      <c r="E30">
        <v>904</v>
      </c>
      <c r="F30">
        <v>58</v>
      </c>
      <c r="G30">
        <v>191</v>
      </c>
      <c r="H30">
        <v>85</v>
      </c>
      <c r="I30">
        <v>166</v>
      </c>
      <c r="J30">
        <v>228</v>
      </c>
      <c r="K30">
        <v>326</v>
      </c>
    </row>
    <row r="31" spans="1:11" x14ac:dyDescent="0.4">
      <c r="A31">
        <v>2027</v>
      </c>
      <c r="B31" t="s">
        <v>5</v>
      </c>
      <c r="C31">
        <v>316</v>
      </c>
      <c r="D31">
        <v>125</v>
      </c>
      <c r="E31">
        <v>904</v>
      </c>
      <c r="F31">
        <v>58</v>
      </c>
      <c r="G31">
        <v>191</v>
      </c>
      <c r="H31">
        <v>85</v>
      </c>
      <c r="I31">
        <v>166</v>
      </c>
      <c r="J31">
        <v>228</v>
      </c>
      <c r="K31">
        <v>326</v>
      </c>
    </row>
    <row r="32" spans="1:11" x14ac:dyDescent="0.4">
      <c r="A32">
        <v>2028</v>
      </c>
      <c r="B32" t="s">
        <v>5</v>
      </c>
      <c r="C32">
        <v>198</v>
      </c>
      <c r="D32">
        <v>130</v>
      </c>
      <c r="E32">
        <v>740</v>
      </c>
      <c r="F32">
        <v>71</v>
      </c>
      <c r="G32">
        <v>169</v>
      </c>
      <c r="H32">
        <v>94</v>
      </c>
      <c r="I32">
        <v>180</v>
      </c>
      <c r="J32">
        <v>399</v>
      </c>
      <c r="K32">
        <v>318</v>
      </c>
    </row>
    <row r="33" spans="1:11" x14ac:dyDescent="0.4">
      <c r="A33">
        <v>2029</v>
      </c>
      <c r="B33" t="s">
        <v>5</v>
      </c>
      <c r="C33">
        <v>198</v>
      </c>
      <c r="D33">
        <v>130</v>
      </c>
      <c r="E33">
        <v>740</v>
      </c>
      <c r="F33">
        <v>71</v>
      </c>
      <c r="G33">
        <v>169</v>
      </c>
      <c r="H33">
        <v>94</v>
      </c>
      <c r="I33">
        <v>180</v>
      </c>
      <c r="J33">
        <v>399</v>
      </c>
      <c r="K33">
        <v>318</v>
      </c>
    </row>
    <row r="34" spans="1:11" x14ac:dyDescent="0.4">
      <c r="A34">
        <v>2030</v>
      </c>
      <c r="B34" t="s">
        <v>5</v>
      </c>
      <c r="C34">
        <v>198</v>
      </c>
      <c r="D34">
        <v>130</v>
      </c>
      <c r="E34">
        <v>740</v>
      </c>
      <c r="F34">
        <v>71</v>
      </c>
      <c r="G34">
        <v>169</v>
      </c>
      <c r="H34">
        <v>94</v>
      </c>
      <c r="I34">
        <v>180</v>
      </c>
      <c r="J34">
        <v>399</v>
      </c>
      <c r="K34">
        <v>318</v>
      </c>
    </row>
    <row r="35" spans="1:11" x14ac:dyDescent="0.4">
      <c r="A35">
        <v>2031</v>
      </c>
      <c r="B35" t="s">
        <v>5</v>
      </c>
      <c r="C35">
        <v>198</v>
      </c>
      <c r="D35">
        <v>130</v>
      </c>
      <c r="E35">
        <v>740</v>
      </c>
      <c r="F35">
        <v>71</v>
      </c>
      <c r="G35">
        <v>169</v>
      </c>
      <c r="H35">
        <v>94</v>
      </c>
      <c r="I35">
        <v>180</v>
      </c>
      <c r="J35">
        <v>399</v>
      </c>
      <c r="K35">
        <v>318</v>
      </c>
    </row>
    <row r="36" spans="1:11" x14ac:dyDescent="0.4">
      <c r="A36">
        <v>2032</v>
      </c>
      <c r="B36" t="s">
        <v>5</v>
      </c>
      <c r="C36">
        <v>189</v>
      </c>
      <c r="D36">
        <v>125</v>
      </c>
      <c r="E36">
        <v>708</v>
      </c>
      <c r="F36">
        <v>68</v>
      </c>
      <c r="G36">
        <v>162</v>
      </c>
      <c r="H36">
        <v>90</v>
      </c>
      <c r="I36">
        <v>173</v>
      </c>
      <c r="J36">
        <v>381</v>
      </c>
      <c r="K36">
        <v>304</v>
      </c>
    </row>
    <row r="37" spans="1:11" x14ac:dyDescent="0.4">
      <c r="A37">
        <v>2033</v>
      </c>
      <c r="B37" t="s">
        <v>5</v>
      </c>
      <c r="C37">
        <v>189</v>
      </c>
      <c r="D37">
        <v>125</v>
      </c>
      <c r="E37">
        <v>708</v>
      </c>
      <c r="F37">
        <v>68</v>
      </c>
      <c r="G37">
        <v>162</v>
      </c>
      <c r="H37">
        <v>90</v>
      </c>
      <c r="I37">
        <v>173</v>
      </c>
      <c r="J37">
        <v>381</v>
      </c>
      <c r="K37">
        <v>304</v>
      </c>
    </row>
    <row r="38" spans="1:11" x14ac:dyDescent="0.4">
      <c r="A38">
        <v>2034</v>
      </c>
      <c r="B38" t="s">
        <v>5</v>
      </c>
      <c r="C38">
        <v>189</v>
      </c>
      <c r="D38">
        <v>125</v>
      </c>
      <c r="E38">
        <v>708</v>
      </c>
      <c r="F38">
        <v>68</v>
      </c>
      <c r="G38">
        <v>162</v>
      </c>
      <c r="H38">
        <v>90</v>
      </c>
      <c r="I38">
        <v>173</v>
      </c>
      <c r="J38">
        <v>381</v>
      </c>
      <c r="K38">
        <v>304</v>
      </c>
    </row>
    <row r="40" spans="1:11" x14ac:dyDescent="0.4">
      <c r="A40" t="s">
        <v>41</v>
      </c>
      <c r="B40" t="s">
        <v>40</v>
      </c>
      <c r="C40" t="s">
        <v>32</v>
      </c>
    </row>
    <row r="42" spans="1:11" x14ac:dyDescent="0.4">
      <c r="A42" t="s">
        <v>22</v>
      </c>
      <c r="B42" t="s">
        <v>39</v>
      </c>
      <c r="C42" t="s">
        <v>38</v>
      </c>
      <c r="D42" t="s">
        <v>88</v>
      </c>
    </row>
    <row r="44" spans="1:11" x14ac:dyDescent="0.4">
      <c r="A44">
        <v>2021</v>
      </c>
      <c r="B44">
        <v>0.121</v>
      </c>
      <c r="C44">
        <v>0.83909999999999996</v>
      </c>
      <c r="D44">
        <v>0.04</v>
      </c>
    </row>
    <row r="45" spans="1:11" x14ac:dyDescent="0.4">
      <c r="A45">
        <v>2022</v>
      </c>
      <c r="B45">
        <v>0.12089999999999999</v>
      </c>
      <c r="C45">
        <v>0.83779999999999999</v>
      </c>
      <c r="D45">
        <v>4.1200000000000001E-2</v>
      </c>
    </row>
    <row r="46" spans="1:11" x14ac:dyDescent="0.4">
      <c r="A46">
        <v>2023</v>
      </c>
      <c r="B46">
        <v>0.1192</v>
      </c>
      <c r="C46">
        <v>0.84</v>
      </c>
      <c r="D46">
        <v>4.0800000000000003E-2</v>
      </c>
    </row>
    <row r="47" spans="1:11" x14ac:dyDescent="0.4">
      <c r="A47">
        <v>2024</v>
      </c>
      <c r="B47">
        <v>0.1196</v>
      </c>
      <c r="C47">
        <v>0.84130000000000005</v>
      </c>
      <c r="D47">
        <v>3.9100000000000003E-2</v>
      </c>
    </row>
    <row r="48" spans="1:11" x14ac:dyDescent="0.4">
      <c r="A48">
        <v>2025</v>
      </c>
      <c r="B48">
        <v>0.1211</v>
      </c>
      <c r="C48">
        <v>0.83809999999999996</v>
      </c>
      <c r="D48">
        <v>4.0800000000000003E-2</v>
      </c>
    </row>
    <row r="49" spans="1:4" x14ac:dyDescent="0.4">
      <c r="A49">
        <v>2026</v>
      </c>
      <c r="B49">
        <v>0.1191</v>
      </c>
      <c r="C49">
        <v>0.84099999999999997</v>
      </c>
      <c r="D49">
        <v>3.9899999999999998E-2</v>
      </c>
    </row>
    <row r="50" spans="1:4" x14ac:dyDescent="0.4">
      <c r="A50">
        <v>2027</v>
      </c>
      <c r="B50">
        <v>0.11840000000000001</v>
      </c>
      <c r="C50">
        <v>0.8417</v>
      </c>
      <c r="D50">
        <v>3.9899999999999998E-2</v>
      </c>
    </row>
    <row r="51" spans="1:4" x14ac:dyDescent="0.4">
      <c r="A51">
        <v>2028</v>
      </c>
      <c r="B51">
        <v>0.11990000000000001</v>
      </c>
      <c r="C51">
        <v>0.84019999999999995</v>
      </c>
      <c r="D51">
        <v>3.9899999999999998E-2</v>
      </c>
    </row>
    <row r="52" spans="1:4" x14ac:dyDescent="0.4">
      <c r="A52">
        <v>2029</v>
      </c>
      <c r="B52">
        <v>0.12130000000000001</v>
      </c>
      <c r="C52">
        <v>0.83760000000000001</v>
      </c>
      <c r="D52">
        <v>4.1200000000000001E-2</v>
      </c>
    </row>
    <row r="53" spans="1:4" x14ac:dyDescent="0.4">
      <c r="A53">
        <v>2030</v>
      </c>
      <c r="B53">
        <v>0.1217</v>
      </c>
      <c r="C53">
        <v>0.83909999999999996</v>
      </c>
      <c r="D53">
        <v>3.9199999999999999E-2</v>
      </c>
    </row>
    <row r="54" spans="1:4" x14ac:dyDescent="0.4">
      <c r="A54">
        <v>2031</v>
      </c>
      <c r="B54">
        <v>0.12039999999999999</v>
      </c>
      <c r="C54">
        <v>0.83989999999999998</v>
      </c>
      <c r="D54">
        <v>3.9600000000000003E-2</v>
      </c>
    </row>
    <row r="55" spans="1:4" x14ac:dyDescent="0.4">
      <c r="A55">
        <v>2032</v>
      </c>
      <c r="B55">
        <v>0.1203</v>
      </c>
      <c r="C55">
        <v>0.84</v>
      </c>
      <c r="D55">
        <v>3.9699999999999999E-2</v>
      </c>
    </row>
    <row r="56" spans="1:4" x14ac:dyDescent="0.4">
      <c r="A56">
        <v>2033</v>
      </c>
      <c r="B56">
        <v>0.1217</v>
      </c>
      <c r="C56">
        <v>0.83830000000000005</v>
      </c>
      <c r="D56">
        <v>0.04</v>
      </c>
    </row>
    <row r="57" spans="1:4" x14ac:dyDescent="0.4">
      <c r="A57">
        <v>2034</v>
      </c>
      <c r="B57">
        <v>0.1207</v>
      </c>
      <c r="C57">
        <v>0.83860000000000001</v>
      </c>
      <c r="D57">
        <v>4.0599999999999997E-2</v>
      </c>
    </row>
    <row r="59" spans="1:4" x14ac:dyDescent="0.4">
      <c r="A59" t="s">
        <v>11</v>
      </c>
      <c r="B59">
        <v>1000</v>
      </c>
      <c r="C59" t="s">
        <v>30</v>
      </c>
    </row>
    <row r="61" spans="1:4" x14ac:dyDescent="0.4">
      <c r="A61" t="s">
        <v>22</v>
      </c>
      <c r="B61" t="s">
        <v>37</v>
      </c>
      <c r="C61" t="s">
        <v>34</v>
      </c>
      <c r="D61" t="s">
        <v>33</v>
      </c>
    </row>
    <row r="62" spans="1:4" x14ac:dyDescent="0.4">
      <c r="A62">
        <v>2021</v>
      </c>
      <c r="B62">
        <v>173.7373</v>
      </c>
      <c r="C62">
        <v>82.001300000000001</v>
      </c>
    </row>
    <row r="63" spans="1:4" x14ac:dyDescent="0.4">
      <c r="A63">
        <v>2022</v>
      </c>
      <c r="B63">
        <v>174.44040000000001</v>
      </c>
      <c r="C63">
        <v>83.611699999999999</v>
      </c>
    </row>
    <row r="64" spans="1:4" x14ac:dyDescent="0.4">
      <c r="A64">
        <v>2023</v>
      </c>
      <c r="B64">
        <v>174.64949999999999</v>
      </c>
      <c r="C64">
        <v>84.580399999999997</v>
      </c>
    </row>
    <row r="65" spans="1:11" x14ac:dyDescent="0.4">
      <c r="A65">
        <v>2024</v>
      </c>
      <c r="B65">
        <v>174.67599999999999</v>
      </c>
      <c r="C65">
        <v>84.492099999999994</v>
      </c>
    </row>
    <row r="66" spans="1:11" x14ac:dyDescent="0.4">
      <c r="A66">
        <v>2025</v>
      </c>
      <c r="B66">
        <v>174.97460000000001</v>
      </c>
      <c r="C66">
        <v>84.378200000000007</v>
      </c>
    </row>
    <row r="67" spans="1:11" x14ac:dyDescent="0.4">
      <c r="A67">
        <v>2026</v>
      </c>
      <c r="B67">
        <v>174.3015</v>
      </c>
      <c r="C67">
        <v>83.667500000000004</v>
      </c>
    </row>
    <row r="68" spans="1:11" x14ac:dyDescent="0.4">
      <c r="A68">
        <v>2027</v>
      </c>
      <c r="B68">
        <v>174.2389</v>
      </c>
      <c r="C68">
        <v>82.314099999999996</v>
      </c>
    </row>
    <row r="69" spans="1:11" x14ac:dyDescent="0.4">
      <c r="A69">
        <v>2028</v>
      </c>
      <c r="B69">
        <v>174.02600000000001</v>
      </c>
      <c r="C69">
        <v>83.348699999999994</v>
      </c>
    </row>
    <row r="70" spans="1:11" x14ac:dyDescent="0.4">
      <c r="A70">
        <v>2029</v>
      </c>
      <c r="B70">
        <v>173.8192</v>
      </c>
      <c r="C70">
        <v>81.855599999999995</v>
      </c>
    </row>
    <row r="71" spans="1:11" x14ac:dyDescent="0.4">
      <c r="A71">
        <v>2030</v>
      </c>
      <c r="B71">
        <v>173.72219999999999</v>
      </c>
      <c r="C71">
        <v>82.0137</v>
      </c>
    </row>
    <row r="72" spans="1:11" x14ac:dyDescent="0.4">
      <c r="A72">
        <v>2031</v>
      </c>
      <c r="B72">
        <v>173.9778</v>
      </c>
      <c r="C72">
        <v>82.776899999999998</v>
      </c>
    </row>
    <row r="73" spans="1:11" x14ac:dyDescent="0.4">
      <c r="A73">
        <v>2032</v>
      </c>
      <c r="B73">
        <v>173.9571</v>
      </c>
      <c r="C73">
        <v>82.825100000000006</v>
      </c>
    </row>
    <row r="74" spans="1:11" x14ac:dyDescent="0.4">
      <c r="A74">
        <v>2033</v>
      </c>
      <c r="B74">
        <v>173.7696</v>
      </c>
      <c r="C74">
        <v>83.130300000000005</v>
      </c>
    </row>
    <row r="75" spans="1:11" x14ac:dyDescent="0.4">
      <c r="A75">
        <v>2034</v>
      </c>
      <c r="B75">
        <v>173.89240000000001</v>
      </c>
      <c r="C75">
        <v>82.652600000000007</v>
      </c>
    </row>
    <row r="77" spans="1:11" x14ac:dyDescent="0.4">
      <c r="A77" t="s">
        <v>11</v>
      </c>
      <c r="B77" t="s">
        <v>32</v>
      </c>
    </row>
    <row r="79" spans="1:11" x14ac:dyDescent="0.4">
      <c r="A79" t="s">
        <v>22</v>
      </c>
      <c r="B79" t="s">
        <v>37</v>
      </c>
      <c r="C79" s="2">
        <v>0.01</v>
      </c>
      <c r="D79" s="2">
        <v>0.05</v>
      </c>
      <c r="E79" s="2">
        <v>0.1</v>
      </c>
      <c r="F79" s="2">
        <v>0.25</v>
      </c>
      <c r="G79" s="2">
        <v>0.5</v>
      </c>
      <c r="H79" s="2">
        <v>0.75</v>
      </c>
      <c r="I79" s="2">
        <v>0.9</v>
      </c>
      <c r="J79" s="2">
        <v>0.95</v>
      </c>
      <c r="K79" s="2">
        <v>0.99</v>
      </c>
    </row>
    <row r="80" spans="1:11" x14ac:dyDescent="0.4">
      <c r="A80">
        <v>2021</v>
      </c>
      <c r="B80">
        <v>68.662899999999993</v>
      </c>
      <c r="C80">
        <v>70.8964</v>
      </c>
      <c r="D80">
        <v>79.197000000000003</v>
      </c>
      <c r="E80">
        <v>105.1951</v>
      </c>
      <c r="F80">
        <v>168.54089999999999</v>
      </c>
      <c r="G80">
        <v>236.69839999999999</v>
      </c>
      <c r="H80">
        <v>279.37040000000002</v>
      </c>
      <c r="I80">
        <v>306.25749999999999</v>
      </c>
      <c r="J80">
        <v>325.45209999999997</v>
      </c>
    </row>
    <row r="81" spans="1:10" x14ac:dyDescent="0.4">
      <c r="A81">
        <v>2022</v>
      </c>
      <c r="B81">
        <v>68.669700000000006</v>
      </c>
      <c r="C81">
        <v>70.903400000000005</v>
      </c>
      <c r="D81">
        <v>79.215000000000003</v>
      </c>
      <c r="E81">
        <v>105.13209999999999</v>
      </c>
      <c r="F81">
        <v>168.56700000000001</v>
      </c>
      <c r="G81">
        <v>236.8441</v>
      </c>
      <c r="H81">
        <v>280.07740000000001</v>
      </c>
      <c r="I81">
        <v>306.95890000000003</v>
      </c>
      <c r="J81">
        <v>342.47890000000001</v>
      </c>
    </row>
    <row r="82" spans="1:10" x14ac:dyDescent="0.4">
      <c r="A82">
        <v>2023</v>
      </c>
      <c r="B82">
        <v>68.643600000000006</v>
      </c>
      <c r="C82">
        <v>70.575199999999995</v>
      </c>
      <c r="D82">
        <v>79.055199999999999</v>
      </c>
      <c r="E82">
        <v>104.75879999999999</v>
      </c>
      <c r="F82">
        <v>168.5874</v>
      </c>
      <c r="G82">
        <v>236.69640000000001</v>
      </c>
      <c r="H82">
        <v>280.78579999999999</v>
      </c>
      <c r="I82">
        <v>307.37439999999998</v>
      </c>
      <c r="J82">
        <v>354.7226</v>
      </c>
    </row>
    <row r="83" spans="1:10" x14ac:dyDescent="0.4">
      <c r="A83">
        <v>2024</v>
      </c>
      <c r="B83">
        <v>68.657899999999998</v>
      </c>
      <c r="C83">
        <v>70.639399999999995</v>
      </c>
      <c r="D83">
        <v>79.060599999999994</v>
      </c>
      <c r="E83">
        <v>104.7533</v>
      </c>
      <c r="F83">
        <v>168.5908</v>
      </c>
      <c r="G83">
        <v>237.011</v>
      </c>
      <c r="H83">
        <v>280.95389999999998</v>
      </c>
      <c r="I83">
        <v>307.8879</v>
      </c>
      <c r="J83">
        <v>352.36709999999999</v>
      </c>
    </row>
    <row r="84" spans="1:10" x14ac:dyDescent="0.4">
      <c r="A84">
        <v>2025</v>
      </c>
      <c r="B84">
        <v>68.658000000000001</v>
      </c>
      <c r="C84">
        <v>70.751000000000005</v>
      </c>
      <c r="D84">
        <v>79.139399999999995</v>
      </c>
      <c r="E84">
        <v>105.07089999999999</v>
      </c>
      <c r="F84">
        <v>168.6232</v>
      </c>
      <c r="G84">
        <v>237.17949999999999</v>
      </c>
      <c r="H84">
        <v>281.26940000000002</v>
      </c>
      <c r="I84">
        <v>307.93700000000001</v>
      </c>
      <c r="J84">
        <v>358.07530000000003</v>
      </c>
    </row>
    <row r="85" spans="1:10" x14ac:dyDescent="0.4">
      <c r="A85">
        <v>2026</v>
      </c>
      <c r="B85">
        <v>68.662000000000006</v>
      </c>
      <c r="C85">
        <v>70.922300000000007</v>
      </c>
      <c r="D85">
        <v>79.182599999999994</v>
      </c>
      <c r="E85">
        <v>105.0825</v>
      </c>
      <c r="F85">
        <v>168.5309</v>
      </c>
      <c r="G85">
        <v>236.48609999999999</v>
      </c>
      <c r="H85">
        <v>280.61700000000002</v>
      </c>
      <c r="I85">
        <v>307.55040000000002</v>
      </c>
      <c r="J85">
        <v>341.44389999999999</v>
      </c>
    </row>
    <row r="86" spans="1:10" x14ac:dyDescent="0.4">
      <c r="A86">
        <v>2027</v>
      </c>
      <c r="B86">
        <v>68.661799999999999</v>
      </c>
      <c r="C86">
        <v>70.799499999999995</v>
      </c>
      <c r="D86">
        <v>79.167900000000003</v>
      </c>
      <c r="E86">
        <v>105.3074</v>
      </c>
      <c r="F86">
        <v>168.58940000000001</v>
      </c>
      <c r="G86">
        <v>236.7003</v>
      </c>
      <c r="H86">
        <v>279.14179999999999</v>
      </c>
      <c r="I86">
        <v>306.45569999999998</v>
      </c>
      <c r="J86">
        <v>337.28429999999997</v>
      </c>
    </row>
    <row r="87" spans="1:10" x14ac:dyDescent="0.4">
      <c r="A87">
        <v>2028</v>
      </c>
      <c r="B87">
        <v>68.654300000000006</v>
      </c>
      <c r="C87">
        <v>70.874799999999993</v>
      </c>
      <c r="D87">
        <v>79.156099999999995</v>
      </c>
      <c r="E87">
        <v>105.0351</v>
      </c>
      <c r="F87">
        <v>168.46799999999999</v>
      </c>
      <c r="G87">
        <v>236.53380000000001</v>
      </c>
      <c r="H87">
        <v>279.88490000000002</v>
      </c>
      <c r="I87">
        <v>307.23739999999998</v>
      </c>
      <c r="J87">
        <v>341.71570000000003</v>
      </c>
    </row>
    <row r="88" spans="1:10" x14ac:dyDescent="0.4">
      <c r="A88">
        <v>2029</v>
      </c>
      <c r="B88">
        <v>68.665800000000004</v>
      </c>
      <c r="C88">
        <v>70.812399999999997</v>
      </c>
      <c r="D88">
        <v>79.1143</v>
      </c>
      <c r="E88">
        <v>104.8463</v>
      </c>
      <c r="F88">
        <v>168.5275</v>
      </c>
      <c r="G88">
        <v>236.56870000000001</v>
      </c>
      <c r="H88">
        <v>280.00130000000001</v>
      </c>
      <c r="I88">
        <v>306.67450000000002</v>
      </c>
      <c r="J88">
        <v>327.81569999999999</v>
      </c>
    </row>
    <row r="89" spans="1:10" x14ac:dyDescent="0.4">
      <c r="A89">
        <v>2030</v>
      </c>
      <c r="B89">
        <v>68.645600000000002</v>
      </c>
      <c r="C89">
        <v>70.723799999999997</v>
      </c>
      <c r="D89">
        <v>79.150499999999994</v>
      </c>
      <c r="E89">
        <v>104.8477</v>
      </c>
      <c r="F89">
        <v>168.542</v>
      </c>
      <c r="G89">
        <v>236.30459999999999</v>
      </c>
      <c r="H89">
        <v>279.40839999999997</v>
      </c>
      <c r="I89">
        <v>306.24430000000001</v>
      </c>
      <c r="J89">
        <v>327.5265</v>
      </c>
    </row>
    <row r="90" spans="1:10" x14ac:dyDescent="0.4">
      <c r="A90">
        <v>2031</v>
      </c>
      <c r="B90">
        <v>68.658000000000001</v>
      </c>
      <c r="C90">
        <v>70.573400000000007</v>
      </c>
      <c r="D90">
        <v>78.949100000000001</v>
      </c>
      <c r="E90">
        <v>104.94329999999999</v>
      </c>
      <c r="F90">
        <v>168.55869999999999</v>
      </c>
      <c r="G90">
        <v>236.68219999999999</v>
      </c>
      <c r="H90">
        <v>279.09449999999998</v>
      </c>
      <c r="I90">
        <v>306.78120000000001</v>
      </c>
      <c r="J90">
        <v>329.84519999999998</v>
      </c>
    </row>
    <row r="91" spans="1:10" x14ac:dyDescent="0.4">
      <c r="A91">
        <v>2032</v>
      </c>
      <c r="B91">
        <v>68.631600000000006</v>
      </c>
      <c r="C91">
        <v>70.505499999999998</v>
      </c>
      <c r="D91">
        <v>78.856300000000005</v>
      </c>
      <c r="E91">
        <v>104.7714</v>
      </c>
      <c r="F91">
        <v>168.5301</v>
      </c>
      <c r="G91">
        <v>236.93639999999999</v>
      </c>
      <c r="H91">
        <v>280.255</v>
      </c>
      <c r="I91">
        <v>307.17700000000002</v>
      </c>
      <c r="J91">
        <v>328.59620000000001</v>
      </c>
    </row>
    <row r="92" spans="1:10" x14ac:dyDescent="0.4">
      <c r="A92">
        <v>2033</v>
      </c>
      <c r="B92">
        <v>68.659300000000002</v>
      </c>
      <c r="C92">
        <v>70.656700000000001</v>
      </c>
      <c r="D92">
        <v>79.067599999999999</v>
      </c>
      <c r="E92">
        <v>104.85590000000001</v>
      </c>
      <c r="F92">
        <v>168.44229999999999</v>
      </c>
      <c r="G92">
        <v>236.7124</v>
      </c>
      <c r="H92">
        <v>280.27280000000002</v>
      </c>
      <c r="I92">
        <v>306.47280000000001</v>
      </c>
      <c r="J92">
        <v>327.53949999999998</v>
      </c>
    </row>
    <row r="93" spans="1:10" x14ac:dyDescent="0.4">
      <c r="A93">
        <v>2034</v>
      </c>
      <c r="B93">
        <v>68.649000000000001</v>
      </c>
      <c r="C93">
        <v>70.588899999999995</v>
      </c>
      <c r="D93">
        <v>78.908600000000007</v>
      </c>
      <c r="E93">
        <v>104.6806</v>
      </c>
      <c r="F93">
        <v>168.46090000000001</v>
      </c>
      <c r="G93">
        <v>236.80699999999999</v>
      </c>
      <c r="H93">
        <v>280.17439999999999</v>
      </c>
      <c r="I93">
        <v>306.7475</v>
      </c>
      <c r="J93">
        <v>336.74849999999998</v>
      </c>
    </row>
    <row r="95" spans="1:10" x14ac:dyDescent="0.4">
      <c r="A95" t="s">
        <v>10</v>
      </c>
      <c r="B95" t="s">
        <v>3</v>
      </c>
      <c r="C95" t="s">
        <v>6</v>
      </c>
      <c r="D95" t="s">
        <v>36</v>
      </c>
      <c r="E95">
        <v>1000</v>
      </c>
      <c r="F95" t="s">
        <v>35</v>
      </c>
    </row>
    <row r="97" spans="1:3" x14ac:dyDescent="0.4">
      <c r="A97" t="s">
        <v>22</v>
      </c>
      <c r="B97" t="s">
        <v>34</v>
      </c>
      <c r="C97" t="s">
        <v>33</v>
      </c>
    </row>
    <row r="98" spans="1:3" x14ac:dyDescent="0.4">
      <c r="A98">
        <v>2021</v>
      </c>
      <c r="B98">
        <v>2.7366999999999999</v>
      </c>
      <c r="C98">
        <v>0.62580000000000002</v>
      </c>
    </row>
    <row r="99" spans="1:3" x14ac:dyDescent="0.4">
      <c r="A99">
        <v>2022</v>
      </c>
      <c r="B99">
        <v>4.0561999999999996</v>
      </c>
      <c r="C99">
        <v>0.86240000000000006</v>
      </c>
    </row>
    <row r="100" spans="1:3" x14ac:dyDescent="0.4">
      <c r="A100">
        <v>2023</v>
      </c>
      <c r="B100">
        <v>5.6542000000000003</v>
      </c>
      <c r="C100">
        <v>1.4209000000000001</v>
      </c>
    </row>
    <row r="101" spans="1:3" x14ac:dyDescent="0.4">
      <c r="A101">
        <v>2024</v>
      </c>
      <c r="B101">
        <v>5.8766999999999996</v>
      </c>
      <c r="C101">
        <v>1.7236</v>
      </c>
    </row>
    <row r="102" spans="1:3" x14ac:dyDescent="0.4">
      <c r="A102">
        <v>2025</v>
      </c>
      <c r="B102">
        <v>5.5785999999999998</v>
      </c>
      <c r="C102">
        <v>1.9107000000000001</v>
      </c>
    </row>
    <row r="103" spans="1:3" x14ac:dyDescent="0.4">
      <c r="A103">
        <v>2026</v>
      </c>
      <c r="B103">
        <v>5.1942000000000004</v>
      </c>
      <c r="C103">
        <v>2.0213000000000001</v>
      </c>
    </row>
    <row r="104" spans="1:3" x14ac:dyDescent="0.4">
      <c r="A104">
        <v>2027</v>
      </c>
      <c r="B104">
        <v>4.8963999999999999</v>
      </c>
      <c r="C104">
        <v>2.0838000000000001</v>
      </c>
    </row>
    <row r="105" spans="1:3" x14ac:dyDescent="0.4">
      <c r="A105">
        <v>2028</v>
      </c>
      <c r="B105">
        <v>4.7191000000000001</v>
      </c>
      <c r="C105">
        <v>2.1122999999999998</v>
      </c>
    </row>
    <row r="106" spans="1:3" x14ac:dyDescent="0.4">
      <c r="A106">
        <v>2029</v>
      </c>
      <c r="B106">
        <v>4.5978000000000003</v>
      </c>
      <c r="C106">
        <v>2.1227999999999998</v>
      </c>
    </row>
    <row r="107" spans="1:3" x14ac:dyDescent="0.4">
      <c r="A107">
        <v>2030</v>
      </c>
      <c r="B107">
        <v>4.4889999999999999</v>
      </c>
      <c r="C107">
        <v>2.1229</v>
      </c>
    </row>
    <row r="108" spans="1:3" x14ac:dyDescent="0.4">
      <c r="A108">
        <v>2031</v>
      </c>
      <c r="B108">
        <v>4.4008000000000003</v>
      </c>
      <c r="C108">
        <v>2.1236999999999999</v>
      </c>
    </row>
    <row r="109" spans="1:3" x14ac:dyDescent="0.4">
      <c r="A109">
        <v>2032</v>
      </c>
      <c r="B109">
        <v>4.3682999999999996</v>
      </c>
      <c r="C109">
        <v>2.1208999999999998</v>
      </c>
    </row>
    <row r="110" spans="1:3" x14ac:dyDescent="0.4">
      <c r="A110">
        <v>2033</v>
      </c>
      <c r="B110">
        <v>4.3798000000000004</v>
      </c>
      <c r="C110">
        <v>2.1244000000000001</v>
      </c>
    </row>
    <row r="111" spans="1:3" x14ac:dyDescent="0.4">
      <c r="A111">
        <v>2034</v>
      </c>
      <c r="B111">
        <v>4.3958000000000004</v>
      </c>
      <c r="C111">
        <v>2.1351</v>
      </c>
    </row>
    <row r="113" spans="1:20" x14ac:dyDescent="0.4">
      <c r="A113" t="s">
        <v>10</v>
      </c>
      <c r="B113" t="s">
        <v>3</v>
      </c>
      <c r="C113" t="s">
        <v>6</v>
      </c>
      <c r="D113" t="s">
        <v>32</v>
      </c>
    </row>
    <row r="115" spans="1:20" x14ac:dyDescent="0.4">
      <c r="A115" t="s">
        <v>22</v>
      </c>
      <c r="B115" s="2">
        <v>0.01</v>
      </c>
      <c r="C115" s="2">
        <v>0.05</v>
      </c>
      <c r="D115" s="2">
        <v>0.1</v>
      </c>
      <c r="E115" s="2">
        <v>0.25</v>
      </c>
      <c r="F115" s="2">
        <v>0.5</v>
      </c>
      <c r="G115" s="2">
        <v>0.75</v>
      </c>
      <c r="H115" s="2">
        <v>0.9</v>
      </c>
      <c r="I115" s="2">
        <v>0.95</v>
      </c>
      <c r="J115" s="2">
        <v>0.99</v>
      </c>
      <c r="L115" s="2">
        <v>0.01</v>
      </c>
      <c r="M115" s="2">
        <v>0.05</v>
      </c>
      <c r="N115" s="2">
        <v>0.1</v>
      </c>
      <c r="O115" s="2">
        <v>0.25</v>
      </c>
      <c r="P115" s="2">
        <v>0.5</v>
      </c>
      <c r="Q115" s="2">
        <v>0.75</v>
      </c>
      <c r="R115" s="2">
        <v>0.9</v>
      </c>
      <c r="S115" s="2">
        <v>0.95</v>
      </c>
      <c r="T115" s="2">
        <v>0.99</v>
      </c>
    </row>
    <row r="116" spans="1:20" x14ac:dyDescent="0.4">
      <c r="A116">
        <v>2021</v>
      </c>
      <c r="B116">
        <v>1.6082000000000001</v>
      </c>
      <c r="C116">
        <v>1.9802999999999999</v>
      </c>
      <c r="D116">
        <v>2.1175999999999999</v>
      </c>
      <c r="E116">
        <v>2.3359000000000001</v>
      </c>
      <c r="F116">
        <v>2.6383999999999999</v>
      </c>
      <c r="G116">
        <v>3.0234999999999999</v>
      </c>
      <c r="H116">
        <v>3.4247000000000001</v>
      </c>
      <c r="I116">
        <v>3.7303999999999999</v>
      </c>
      <c r="J116">
        <v>5.3692000000000002</v>
      </c>
      <c r="L116">
        <f>B116*1000</f>
        <v>1608.2</v>
      </c>
      <c r="M116">
        <f t="shared" ref="M116:T129" si="0">C116*1000</f>
        <v>1980.3</v>
      </c>
      <c r="N116">
        <f t="shared" si="0"/>
        <v>2117.6</v>
      </c>
      <c r="O116">
        <f t="shared" si="0"/>
        <v>2335.9</v>
      </c>
      <c r="P116">
        <f t="shared" si="0"/>
        <v>2638.3999999999996</v>
      </c>
      <c r="Q116">
        <f t="shared" si="0"/>
        <v>3023.5</v>
      </c>
      <c r="R116">
        <f t="shared" si="0"/>
        <v>3424.7000000000003</v>
      </c>
      <c r="S116">
        <f t="shared" si="0"/>
        <v>3730.4</v>
      </c>
      <c r="T116">
        <f t="shared" si="0"/>
        <v>5369.2</v>
      </c>
    </row>
    <row r="117" spans="1:20" x14ac:dyDescent="0.4">
      <c r="A117">
        <v>2022</v>
      </c>
      <c r="B117">
        <v>2.3058000000000001</v>
      </c>
      <c r="C117">
        <v>2.8069999999999999</v>
      </c>
      <c r="D117">
        <v>3.0375000000000001</v>
      </c>
      <c r="E117">
        <v>3.4803999999999999</v>
      </c>
      <c r="F117">
        <v>3.9729000000000001</v>
      </c>
      <c r="G117">
        <v>4.5179999999999998</v>
      </c>
      <c r="H117">
        <v>5.1978</v>
      </c>
      <c r="I117">
        <v>5.6345999999999998</v>
      </c>
      <c r="J117">
        <v>6.6082999999999998</v>
      </c>
      <c r="L117">
        <f t="shared" ref="L117:L129" si="1">B117*1000</f>
        <v>2305.8000000000002</v>
      </c>
      <c r="M117">
        <f t="shared" si="0"/>
        <v>2807</v>
      </c>
      <c r="N117">
        <f t="shared" si="0"/>
        <v>3037.5</v>
      </c>
      <c r="O117">
        <f t="shared" si="0"/>
        <v>3480.4</v>
      </c>
      <c r="P117">
        <f t="shared" si="0"/>
        <v>3972.9</v>
      </c>
      <c r="Q117">
        <f t="shared" si="0"/>
        <v>4518</v>
      </c>
      <c r="R117">
        <f t="shared" si="0"/>
        <v>5197.8</v>
      </c>
      <c r="S117">
        <f t="shared" si="0"/>
        <v>5634.5999999999995</v>
      </c>
      <c r="T117">
        <f t="shared" si="0"/>
        <v>6608.3</v>
      </c>
    </row>
    <row r="118" spans="1:20" x14ac:dyDescent="0.4">
      <c r="A118">
        <v>2023</v>
      </c>
      <c r="B118">
        <v>3.0348000000000002</v>
      </c>
      <c r="C118">
        <v>3.5943999999999998</v>
      </c>
      <c r="D118">
        <v>3.9409000000000001</v>
      </c>
      <c r="E118">
        <v>4.6197999999999997</v>
      </c>
      <c r="F118">
        <v>5.5208000000000004</v>
      </c>
      <c r="G118">
        <v>6.4878999999999998</v>
      </c>
      <c r="H118">
        <v>7.5834000000000001</v>
      </c>
      <c r="I118">
        <v>8.3034999999999997</v>
      </c>
      <c r="J118">
        <v>9.5325000000000006</v>
      </c>
      <c r="L118">
        <f t="shared" si="1"/>
        <v>3034.8</v>
      </c>
      <c r="M118">
        <f t="shared" si="0"/>
        <v>3594.3999999999996</v>
      </c>
      <c r="N118">
        <f t="shared" si="0"/>
        <v>3940.9</v>
      </c>
      <c r="O118">
        <f t="shared" si="0"/>
        <v>4619.7999999999993</v>
      </c>
      <c r="P118">
        <f t="shared" si="0"/>
        <v>5520.8</v>
      </c>
      <c r="Q118">
        <f t="shared" si="0"/>
        <v>6487.9</v>
      </c>
      <c r="R118">
        <f t="shared" si="0"/>
        <v>7583.4000000000005</v>
      </c>
      <c r="S118">
        <f t="shared" si="0"/>
        <v>8303.5</v>
      </c>
      <c r="T118">
        <f t="shared" si="0"/>
        <v>9532.5</v>
      </c>
    </row>
    <row r="119" spans="1:20" x14ac:dyDescent="0.4">
      <c r="A119">
        <v>2024</v>
      </c>
      <c r="B119">
        <v>2.6484000000000001</v>
      </c>
      <c r="C119">
        <v>3.3616999999999999</v>
      </c>
      <c r="D119">
        <v>3.7947000000000002</v>
      </c>
      <c r="E119">
        <v>4.6376999999999997</v>
      </c>
      <c r="F119">
        <v>5.7159000000000004</v>
      </c>
      <c r="G119">
        <v>6.9470999999999998</v>
      </c>
      <c r="H119">
        <v>8.1353000000000009</v>
      </c>
      <c r="I119">
        <v>8.8902000000000001</v>
      </c>
      <c r="J119">
        <v>10.5245</v>
      </c>
      <c r="L119">
        <f t="shared" si="1"/>
        <v>2648.4</v>
      </c>
      <c r="M119">
        <f t="shared" si="0"/>
        <v>3361.7</v>
      </c>
      <c r="N119">
        <f t="shared" si="0"/>
        <v>3794.7000000000003</v>
      </c>
      <c r="O119">
        <f t="shared" si="0"/>
        <v>4637.7</v>
      </c>
      <c r="P119">
        <f t="shared" si="0"/>
        <v>5715.9000000000005</v>
      </c>
      <c r="Q119">
        <f t="shared" si="0"/>
        <v>6947.0999999999995</v>
      </c>
      <c r="R119">
        <f t="shared" si="0"/>
        <v>8135.3000000000011</v>
      </c>
      <c r="S119">
        <f t="shared" si="0"/>
        <v>8890.2000000000007</v>
      </c>
      <c r="T119">
        <f t="shared" si="0"/>
        <v>10524.5</v>
      </c>
    </row>
    <row r="120" spans="1:20" x14ac:dyDescent="0.4">
      <c r="A120">
        <v>2025</v>
      </c>
      <c r="B120">
        <v>1.9903</v>
      </c>
      <c r="C120">
        <v>2.7976000000000001</v>
      </c>
      <c r="D120">
        <v>3.2879999999999998</v>
      </c>
      <c r="E120">
        <v>4.2236000000000002</v>
      </c>
      <c r="F120">
        <v>5.4135</v>
      </c>
      <c r="G120">
        <v>6.7342000000000004</v>
      </c>
      <c r="H120">
        <v>8.0327999999999999</v>
      </c>
      <c r="I120">
        <v>8.8598999999999997</v>
      </c>
      <c r="J120">
        <v>10.751899999999999</v>
      </c>
      <c r="L120">
        <f t="shared" si="1"/>
        <v>1990.3</v>
      </c>
      <c r="M120">
        <f t="shared" si="0"/>
        <v>2797.6</v>
      </c>
      <c r="N120">
        <f t="shared" si="0"/>
        <v>3288</v>
      </c>
      <c r="O120">
        <f t="shared" si="0"/>
        <v>4223.6000000000004</v>
      </c>
      <c r="P120">
        <f t="shared" si="0"/>
        <v>5413.5</v>
      </c>
      <c r="Q120">
        <f t="shared" si="0"/>
        <v>6734.2000000000007</v>
      </c>
      <c r="R120">
        <f t="shared" si="0"/>
        <v>8032.8</v>
      </c>
      <c r="S120">
        <f t="shared" si="0"/>
        <v>8859.9</v>
      </c>
      <c r="T120">
        <f t="shared" si="0"/>
        <v>10751.9</v>
      </c>
    </row>
    <row r="121" spans="1:20" x14ac:dyDescent="0.4">
      <c r="A121">
        <v>2026</v>
      </c>
      <c r="B121">
        <v>1.4393</v>
      </c>
      <c r="C121">
        <v>2.2724000000000002</v>
      </c>
      <c r="D121">
        <v>2.7945000000000002</v>
      </c>
      <c r="E121">
        <v>3.7713000000000001</v>
      </c>
      <c r="F121">
        <v>5.0148999999999999</v>
      </c>
      <c r="G121">
        <v>6.3903999999999996</v>
      </c>
      <c r="H121">
        <v>7.7582000000000004</v>
      </c>
      <c r="I121">
        <v>8.6590000000000007</v>
      </c>
      <c r="J121">
        <v>10.8009</v>
      </c>
      <c r="L121">
        <f t="shared" si="1"/>
        <v>1439.3</v>
      </c>
      <c r="M121">
        <f t="shared" si="0"/>
        <v>2272.4</v>
      </c>
      <c r="N121">
        <f t="shared" si="0"/>
        <v>2794.5</v>
      </c>
      <c r="O121">
        <f t="shared" si="0"/>
        <v>3771.3</v>
      </c>
      <c r="P121">
        <f t="shared" si="0"/>
        <v>5014.8999999999996</v>
      </c>
      <c r="Q121">
        <f t="shared" si="0"/>
        <v>6390.4</v>
      </c>
      <c r="R121">
        <f t="shared" si="0"/>
        <v>7758.2000000000007</v>
      </c>
      <c r="S121">
        <f t="shared" si="0"/>
        <v>8659</v>
      </c>
      <c r="T121">
        <f t="shared" si="0"/>
        <v>10800.9</v>
      </c>
    </row>
    <row r="122" spans="1:20" x14ac:dyDescent="0.4">
      <c r="A122">
        <v>2027</v>
      </c>
      <c r="B122">
        <v>1.0670999999999999</v>
      </c>
      <c r="C122">
        <v>1.8978999999999999</v>
      </c>
      <c r="D122">
        <v>2.4411999999999998</v>
      </c>
      <c r="E122">
        <v>3.4390000000000001</v>
      </c>
      <c r="F122">
        <v>4.7072000000000003</v>
      </c>
      <c r="G122">
        <v>6.1166</v>
      </c>
      <c r="H122">
        <v>7.5109000000000004</v>
      </c>
      <c r="I122">
        <v>8.4654000000000007</v>
      </c>
      <c r="J122">
        <v>10.726900000000001</v>
      </c>
      <c r="L122">
        <f t="shared" si="1"/>
        <v>1067.0999999999999</v>
      </c>
      <c r="M122">
        <f t="shared" si="0"/>
        <v>1897.8999999999999</v>
      </c>
      <c r="N122">
        <f t="shared" si="0"/>
        <v>2441.1999999999998</v>
      </c>
      <c r="O122">
        <f t="shared" si="0"/>
        <v>3439</v>
      </c>
      <c r="P122">
        <f t="shared" si="0"/>
        <v>4707.2000000000007</v>
      </c>
      <c r="Q122">
        <f t="shared" si="0"/>
        <v>6116.6</v>
      </c>
      <c r="R122">
        <f t="shared" si="0"/>
        <v>7510.9000000000005</v>
      </c>
      <c r="S122">
        <f t="shared" si="0"/>
        <v>8465.4000000000015</v>
      </c>
      <c r="T122">
        <f t="shared" si="0"/>
        <v>10726.900000000001</v>
      </c>
    </row>
    <row r="123" spans="1:20" x14ac:dyDescent="0.4">
      <c r="A123">
        <v>2028</v>
      </c>
      <c r="B123">
        <v>0.86799999999999999</v>
      </c>
      <c r="C123">
        <v>1.6993</v>
      </c>
      <c r="D123">
        <v>2.2357999999999998</v>
      </c>
      <c r="E123">
        <v>3.2368999999999999</v>
      </c>
      <c r="F123">
        <v>4.5148000000000001</v>
      </c>
      <c r="G123">
        <v>5.9444999999999997</v>
      </c>
      <c r="H123">
        <v>7.3749000000000002</v>
      </c>
      <c r="I123">
        <v>8.3461999999999996</v>
      </c>
      <c r="J123">
        <v>10.719799999999999</v>
      </c>
      <c r="L123">
        <f t="shared" si="1"/>
        <v>868</v>
      </c>
      <c r="M123">
        <f t="shared" si="0"/>
        <v>1699.3</v>
      </c>
      <c r="N123">
        <f t="shared" si="0"/>
        <v>2235.7999999999997</v>
      </c>
      <c r="O123">
        <f t="shared" si="0"/>
        <v>3236.9</v>
      </c>
      <c r="P123">
        <f t="shared" si="0"/>
        <v>4514.8</v>
      </c>
      <c r="Q123">
        <f t="shared" si="0"/>
        <v>5944.5</v>
      </c>
      <c r="R123">
        <f t="shared" si="0"/>
        <v>7374.9000000000005</v>
      </c>
      <c r="S123">
        <f t="shared" si="0"/>
        <v>8346.1999999999989</v>
      </c>
      <c r="T123">
        <f t="shared" si="0"/>
        <v>10719.8</v>
      </c>
    </row>
    <row r="124" spans="1:20" x14ac:dyDescent="0.4">
      <c r="A124">
        <v>2029</v>
      </c>
      <c r="B124">
        <v>0.75990000000000002</v>
      </c>
      <c r="C124">
        <v>1.5770999999999999</v>
      </c>
      <c r="D124">
        <v>2.1122999999999998</v>
      </c>
      <c r="E124">
        <v>3.0987</v>
      </c>
      <c r="F124">
        <v>4.3899999999999997</v>
      </c>
      <c r="G124">
        <v>5.8295000000000003</v>
      </c>
      <c r="H124">
        <v>7.2762000000000002</v>
      </c>
      <c r="I124">
        <v>8.2440999999999995</v>
      </c>
      <c r="J124">
        <v>10.6557</v>
      </c>
      <c r="L124">
        <f t="shared" si="1"/>
        <v>759.9</v>
      </c>
      <c r="M124">
        <f t="shared" si="0"/>
        <v>1577.1</v>
      </c>
      <c r="N124">
        <f t="shared" si="0"/>
        <v>2112.2999999999997</v>
      </c>
      <c r="O124">
        <f t="shared" si="0"/>
        <v>3098.7</v>
      </c>
      <c r="P124">
        <f t="shared" si="0"/>
        <v>4390</v>
      </c>
      <c r="Q124">
        <f t="shared" si="0"/>
        <v>5829.5</v>
      </c>
      <c r="R124">
        <f t="shared" si="0"/>
        <v>7276.2</v>
      </c>
      <c r="S124">
        <f t="shared" si="0"/>
        <v>8244.1</v>
      </c>
      <c r="T124">
        <f t="shared" si="0"/>
        <v>10655.699999999999</v>
      </c>
    </row>
    <row r="125" spans="1:20" x14ac:dyDescent="0.4">
      <c r="A125">
        <v>2030</v>
      </c>
      <c r="B125">
        <v>0.66949999999999998</v>
      </c>
      <c r="C125">
        <v>1.4733000000000001</v>
      </c>
      <c r="D125">
        <v>1.9851000000000001</v>
      </c>
      <c r="E125">
        <v>2.9851000000000001</v>
      </c>
      <c r="F125">
        <v>4.2750000000000004</v>
      </c>
      <c r="G125">
        <v>5.7290999999999999</v>
      </c>
      <c r="H125">
        <v>7.1776999999999997</v>
      </c>
      <c r="I125">
        <v>8.1359999999999992</v>
      </c>
      <c r="J125">
        <v>10.5892</v>
      </c>
      <c r="L125">
        <f t="shared" si="1"/>
        <v>669.5</v>
      </c>
      <c r="M125">
        <f t="shared" si="0"/>
        <v>1473.3</v>
      </c>
      <c r="N125">
        <f t="shared" si="0"/>
        <v>1985.1000000000001</v>
      </c>
      <c r="O125">
        <f t="shared" si="0"/>
        <v>2985.1</v>
      </c>
      <c r="P125">
        <f t="shared" si="0"/>
        <v>4275</v>
      </c>
      <c r="Q125">
        <f t="shared" si="0"/>
        <v>5729.0999999999995</v>
      </c>
      <c r="R125">
        <f t="shared" si="0"/>
        <v>7177.7</v>
      </c>
      <c r="S125">
        <f t="shared" si="0"/>
        <v>8135.9999999999991</v>
      </c>
      <c r="T125">
        <f t="shared" si="0"/>
        <v>10589.2</v>
      </c>
    </row>
    <row r="126" spans="1:20" x14ac:dyDescent="0.4">
      <c r="A126">
        <v>2031</v>
      </c>
      <c r="B126">
        <v>0.58489999999999998</v>
      </c>
      <c r="C126">
        <v>1.3713</v>
      </c>
      <c r="D126">
        <v>1.8919999999999999</v>
      </c>
      <c r="E126">
        <v>2.8957000000000002</v>
      </c>
      <c r="F126">
        <v>4.1970000000000001</v>
      </c>
      <c r="G126">
        <v>5.6375999999999999</v>
      </c>
      <c r="H126">
        <v>7.0911</v>
      </c>
      <c r="I126">
        <v>8.0675000000000008</v>
      </c>
      <c r="J126">
        <v>10.359500000000001</v>
      </c>
      <c r="L126">
        <f t="shared" si="1"/>
        <v>584.9</v>
      </c>
      <c r="M126">
        <f t="shared" si="0"/>
        <v>1371.3</v>
      </c>
      <c r="N126">
        <f t="shared" si="0"/>
        <v>1892</v>
      </c>
      <c r="O126">
        <f t="shared" si="0"/>
        <v>2895.7000000000003</v>
      </c>
      <c r="P126">
        <f t="shared" si="0"/>
        <v>4197</v>
      </c>
      <c r="Q126">
        <f t="shared" si="0"/>
        <v>5637.6</v>
      </c>
      <c r="R126">
        <f t="shared" si="0"/>
        <v>7091.1</v>
      </c>
      <c r="S126">
        <f t="shared" si="0"/>
        <v>8067.5000000000009</v>
      </c>
      <c r="T126">
        <f t="shared" si="0"/>
        <v>10359.5</v>
      </c>
    </row>
    <row r="127" spans="1:20" x14ac:dyDescent="0.4">
      <c r="A127">
        <v>2032</v>
      </c>
      <c r="B127">
        <v>0.54459999999999997</v>
      </c>
      <c r="C127">
        <v>1.3344</v>
      </c>
      <c r="D127">
        <v>1.8540000000000001</v>
      </c>
      <c r="E127">
        <v>2.8633999999999999</v>
      </c>
      <c r="F127">
        <v>4.1673</v>
      </c>
      <c r="G127">
        <v>5.6143999999999998</v>
      </c>
      <c r="H127">
        <v>7.0606999999999998</v>
      </c>
      <c r="I127">
        <v>8.0348000000000006</v>
      </c>
      <c r="J127">
        <v>10.345499999999999</v>
      </c>
      <c r="L127">
        <f t="shared" si="1"/>
        <v>544.6</v>
      </c>
      <c r="M127">
        <f t="shared" si="0"/>
        <v>1334.4</v>
      </c>
      <c r="N127">
        <f t="shared" si="0"/>
        <v>1854</v>
      </c>
      <c r="O127">
        <f t="shared" si="0"/>
        <v>2863.4</v>
      </c>
      <c r="P127">
        <f t="shared" si="0"/>
        <v>4167.3</v>
      </c>
      <c r="Q127">
        <f t="shared" si="0"/>
        <v>5614.4</v>
      </c>
      <c r="R127">
        <f t="shared" si="0"/>
        <v>7060.7</v>
      </c>
      <c r="S127">
        <f t="shared" si="0"/>
        <v>8034.8</v>
      </c>
      <c r="T127">
        <f t="shared" si="0"/>
        <v>10345.5</v>
      </c>
    </row>
    <row r="128" spans="1:20" x14ac:dyDescent="0.4">
      <c r="A128">
        <v>2033</v>
      </c>
      <c r="B128">
        <v>0.53549999999999998</v>
      </c>
      <c r="C128">
        <v>1.3369</v>
      </c>
      <c r="D128">
        <v>1.8599000000000001</v>
      </c>
      <c r="E128">
        <v>2.8773</v>
      </c>
      <c r="F128">
        <v>4.1650999999999998</v>
      </c>
      <c r="G128">
        <v>5.6315999999999997</v>
      </c>
      <c r="H128">
        <v>7.0804999999999998</v>
      </c>
      <c r="I128">
        <v>8.0763999999999996</v>
      </c>
      <c r="J128">
        <v>10.3605</v>
      </c>
      <c r="L128">
        <f t="shared" si="1"/>
        <v>535.5</v>
      </c>
      <c r="M128">
        <f t="shared" si="0"/>
        <v>1336.9</v>
      </c>
      <c r="N128">
        <f t="shared" si="0"/>
        <v>1859.9</v>
      </c>
      <c r="O128">
        <f t="shared" si="0"/>
        <v>2877.3</v>
      </c>
      <c r="P128">
        <f t="shared" si="0"/>
        <v>4165.0999999999995</v>
      </c>
      <c r="Q128">
        <f t="shared" si="0"/>
        <v>5631.5999999999995</v>
      </c>
      <c r="R128">
        <f t="shared" si="0"/>
        <v>7080.5</v>
      </c>
      <c r="S128">
        <f t="shared" si="0"/>
        <v>8076.4</v>
      </c>
      <c r="T128">
        <f t="shared" si="0"/>
        <v>10360.5</v>
      </c>
    </row>
    <row r="129" spans="1:20" x14ac:dyDescent="0.4">
      <c r="A129">
        <v>2034</v>
      </c>
      <c r="B129">
        <v>0.52390000000000003</v>
      </c>
      <c r="C129">
        <v>1.3372999999999999</v>
      </c>
      <c r="D129">
        <v>1.8682000000000001</v>
      </c>
      <c r="E129">
        <v>2.8904999999999998</v>
      </c>
      <c r="F129">
        <v>4.1913999999999998</v>
      </c>
      <c r="G129">
        <v>5.6425000000000001</v>
      </c>
      <c r="H129">
        <v>7.1162000000000001</v>
      </c>
      <c r="I129">
        <v>8.0896000000000008</v>
      </c>
      <c r="J129">
        <v>10.383800000000001</v>
      </c>
      <c r="L129">
        <f t="shared" si="1"/>
        <v>523.9</v>
      </c>
      <c r="M129">
        <f t="shared" si="0"/>
        <v>1337.3</v>
      </c>
      <c r="N129">
        <f t="shared" si="0"/>
        <v>1868.2</v>
      </c>
      <c r="O129">
        <f t="shared" si="0"/>
        <v>2890.5</v>
      </c>
      <c r="P129">
        <f t="shared" si="0"/>
        <v>4191.3999999999996</v>
      </c>
      <c r="Q129">
        <f t="shared" si="0"/>
        <v>5642.5</v>
      </c>
      <c r="R129">
        <f t="shared" si="0"/>
        <v>7116.2</v>
      </c>
      <c r="S129">
        <f t="shared" si="0"/>
        <v>8089.6</v>
      </c>
      <c r="T129">
        <f t="shared" si="0"/>
        <v>10383.800000000001</v>
      </c>
    </row>
    <row r="131" spans="1:20" x14ac:dyDescent="0.4">
      <c r="A131" s="1">
        <v>45658</v>
      </c>
      <c r="B131" t="s">
        <v>3</v>
      </c>
      <c r="C131" t="s">
        <v>6</v>
      </c>
      <c r="D131" t="s">
        <v>36</v>
      </c>
      <c r="E131">
        <v>1000</v>
      </c>
      <c r="F131" t="s">
        <v>35</v>
      </c>
    </row>
    <row r="133" spans="1:20" x14ac:dyDescent="0.4">
      <c r="A133" t="s">
        <v>22</v>
      </c>
      <c r="B133" t="s">
        <v>34</v>
      </c>
      <c r="C133" t="s">
        <v>33</v>
      </c>
    </row>
    <row r="134" spans="1:20" x14ac:dyDescent="0.4">
      <c r="A134">
        <v>2021</v>
      </c>
      <c r="B134">
        <v>9.2912999999999997</v>
      </c>
      <c r="C134">
        <v>1.5938000000000001</v>
      </c>
    </row>
    <row r="135" spans="1:20" x14ac:dyDescent="0.4">
      <c r="A135">
        <v>2022</v>
      </c>
      <c r="B135">
        <v>10.623100000000001</v>
      </c>
      <c r="C135">
        <v>2.0518000000000001</v>
      </c>
    </row>
    <row r="136" spans="1:20" x14ac:dyDescent="0.4">
      <c r="A136">
        <v>2023</v>
      </c>
      <c r="B136">
        <v>11.554</v>
      </c>
      <c r="C136">
        <v>2.4232999999999998</v>
      </c>
    </row>
    <row r="137" spans="1:20" x14ac:dyDescent="0.4">
      <c r="A137">
        <v>2024</v>
      </c>
      <c r="B137">
        <v>11.990600000000001</v>
      </c>
      <c r="C137">
        <v>2.6808000000000001</v>
      </c>
    </row>
    <row r="138" spans="1:20" x14ac:dyDescent="0.4">
      <c r="A138">
        <v>2025</v>
      </c>
      <c r="B138">
        <v>11.789300000000001</v>
      </c>
      <c r="C138">
        <v>2.8713000000000002</v>
      </c>
    </row>
    <row r="139" spans="1:20" x14ac:dyDescent="0.4">
      <c r="A139">
        <v>2026</v>
      </c>
      <c r="B139">
        <v>11.3695</v>
      </c>
      <c r="C139">
        <v>2.9903</v>
      </c>
    </row>
    <row r="140" spans="1:20" x14ac:dyDescent="0.4">
      <c r="A140">
        <v>2027</v>
      </c>
      <c r="B140">
        <v>11.003500000000001</v>
      </c>
      <c r="C140">
        <v>3.0531999999999999</v>
      </c>
    </row>
    <row r="141" spans="1:20" x14ac:dyDescent="0.4">
      <c r="A141">
        <v>2028</v>
      </c>
      <c r="B141">
        <v>10.7156</v>
      </c>
      <c r="C141">
        <v>3.0880000000000001</v>
      </c>
    </row>
    <row r="142" spans="1:20" x14ac:dyDescent="0.4">
      <c r="A142">
        <v>2029</v>
      </c>
      <c r="B142">
        <v>10.544600000000001</v>
      </c>
      <c r="C142">
        <v>3.1021999999999998</v>
      </c>
    </row>
    <row r="143" spans="1:20" x14ac:dyDescent="0.4">
      <c r="A143">
        <v>2030</v>
      </c>
      <c r="B143">
        <v>10.404199999999999</v>
      </c>
      <c r="C143">
        <v>3.1093000000000002</v>
      </c>
    </row>
    <row r="144" spans="1:20" x14ac:dyDescent="0.4">
      <c r="A144">
        <v>2031</v>
      </c>
      <c r="B144">
        <v>10.2902</v>
      </c>
      <c r="C144">
        <v>3.1151</v>
      </c>
    </row>
    <row r="145" spans="1:10" x14ac:dyDescent="0.4">
      <c r="A145">
        <v>2032</v>
      </c>
      <c r="B145">
        <v>10.203200000000001</v>
      </c>
      <c r="C145">
        <v>3.1200999999999999</v>
      </c>
    </row>
    <row r="146" spans="1:10" x14ac:dyDescent="0.4">
      <c r="A146">
        <v>2033</v>
      </c>
      <c r="B146">
        <v>10.2204</v>
      </c>
      <c r="C146">
        <v>3.1351</v>
      </c>
    </row>
    <row r="147" spans="1:10" x14ac:dyDescent="0.4">
      <c r="A147">
        <v>2034</v>
      </c>
      <c r="B147">
        <v>10.237500000000001</v>
      </c>
      <c r="C147">
        <v>3.1534</v>
      </c>
    </row>
    <row r="149" spans="1:10" x14ac:dyDescent="0.4">
      <c r="A149" s="1">
        <v>45658</v>
      </c>
      <c r="B149" t="s">
        <v>3</v>
      </c>
      <c r="C149" t="s">
        <v>6</v>
      </c>
      <c r="D149" t="s">
        <v>32</v>
      </c>
    </row>
    <row r="151" spans="1:10" x14ac:dyDescent="0.4">
      <c r="A151" t="s">
        <v>22</v>
      </c>
      <c r="B151" s="2">
        <v>0.01</v>
      </c>
      <c r="C151" s="2">
        <v>0.05</v>
      </c>
      <c r="D151" s="2">
        <v>0.1</v>
      </c>
      <c r="E151" s="2">
        <v>0.25</v>
      </c>
      <c r="F151" s="2">
        <v>0.5</v>
      </c>
      <c r="G151" s="2">
        <v>0.75</v>
      </c>
      <c r="H151" s="2">
        <v>0.9</v>
      </c>
      <c r="I151" s="2">
        <v>0.95</v>
      </c>
      <c r="J151" s="2">
        <v>0.99</v>
      </c>
    </row>
    <row r="152" spans="1:10" x14ac:dyDescent="0.4">
      <c r="A152">
        <v>2021</v>
      </c>
      <c r="B152">
        <v>6.3315000000000001</v>
      </c>
      <c r="C152">
        <v>6.9531999999999998</v>
      </c>
      <c r="D152">
        <v>7.3667999999999996</v>
      </c>
      <c r="E152">
        <v>8.1653000000000002</v>
      </c>
      <c r="F152">
        <v>9.1614000000000004</v>
      </c>
      <c r="G152">
        <v>10.1311</v>
      </c>
      <c r="H152">
        <v>11.541499999999999</v>
      </c>
      <c r="I152">
        <v>12.28</v>
      </c>
      <c r="J152">
        <v>13.718999999999999</v>
      </c>
    </row>
    <row r="153" spans="1:10" x14ac:dyDescent="0.4">
      <c r="A153">
        <v>2022</v>
      </c>
      <c r="B153">
        <v>6.7068000000000003</v>
      </c>
      <c r="C153">
        <v>7.5810000000000004</v>
      </c>
      <c r="D153">
        <v>8.1341999999999999</v>
      </c>
      <c r="E153">
        <v>9.1867000000000001</v>
      </c>
      <c r="F153">
        <v>10.4413</v>
      </c>
      <c r="G153">
        <v>11.8804</v>
      </c>
      <c r="H153">
        <v>13.305</v>
      </c>
      <c r="I153">
        <v>14.2376</v>
      </c>
      <c r="J153">
        <v>16.064399999999999</v>
      </c>
    </row>
    <row r="154" spans="1:10" x14ac:dyDescent="0.4">
      <c r="A154">
        <v>2023</v>
      </c>
      <c r="B154">
        <v>6.9009</v>
      </c>
      <c r="C154">
        <v>7.9706000000000001</v>
      </c>
      <c r="D154">
        <v>8.6329999999999991</v>
      </c>
      <c r="E154">
        <v>9.8434000000000008</v>
      </c>
      <c r="F154">
        <v>11.3704</v>
      </c>
      <c r="G154">
        <v>13.0372</v>
      </c>
      <c r="H154">
        <v>14.6526</v>
      </c>
      <c r="I154">
        <v>15.7088</v>
      </c>
      <c r="J154">
        <v>18.0642</v>
      </c>
    </row>
    <row r="155" spans="1:10" x14ac:dyDescent="0.4">
      <c r="A155">
        <v>2024</v>
      </c>
      <c r="B155">
        <v>6.7866</v>
      </c>
      <c r="C155">
        <v>8.0042000000000009</v>
      </c>
      <c r="D155">
        <v>8.7493999999999996</v>
      </c>
      <c r="E155">
        <v>10.1121</v>
      </c>
      <c r="F155">
        <v>11.7972</v>
      </c>
      <c r="G155">
        <v>13.622</v>
      </c>
      <c r="H155">
        <v>15.391999999999999</v>
      </c>
      <c r="I155">
        <v>16.5886</v>
      </c>
      <c r="J155">
        <v>19.1935</v>
      </c>
    </row>
    <row r="156" spans="1:10" x14ac:dyDescent="0.4">
      <c r="A156">
        <v>2025</v>
      </c>
      <c r="B156">
        <v>6.1792999999999996</v>
      </c>
      <c r="C156">
        <v>7.5190999999999999</v>
      </c>
      <c r="D156">
        <v>8.3412000000000006</v>
      </c>
      <c r="E156">
        <v>9.7963000000000005</v>
      </c>
      <c r="F156">
        <v>11.5809</v>
      </c>
      <c r="G156">
        <v>13.5168</v>
      </c>
      <c r="H156">
        <v>15.405900000000001</v>
      </c>
      <c r="I156">
        <v>16.653500000000001</v>
      </c>
      <c r="J156">
        <v>19.5991</v>
      </c>
    </row>
    <row r="157" spans="1:10" x14ac:dyDescent="0.4">
      <c r="A157">
        <v>2026</v>
      </c>
      <c r="B157">
        <v>5.4893999999999998</v>
      </c>
      <c r="C157">
        <v>6.9280999999999997</v>
      </c>
      <c r="D157">
        <v>7.7953000000000001</v>
      </c>
      <c r="E157">
        <v>9.3129000000000008</v>
      </c>
      <c r="F157">
        <v>11.1568</v>
      </c>
      <c r="G157">
        <v>13.159599999999999</v>
      </c>
      <c r="H157">
        <v>15.128</v>
      </c>
      <c r="I157">
        <v>16.421500000000002</v>
      </c>
      <c r="J157">
        <v>19.6081</v>
      </c>
    </row>
    <row r="158" spans="1:10" x14ac:dyDescent="0.4">
      <c r="A158">
        <v>2027</v>
      </c>
      <c r="B158">
        <v>4.9943999999999997</v>
      </c>
      <c r="C158">
        <v>6.492</v>
      </c>
      <c r="D158">
        <v>7.3636999999999997</v>
      </c>
      <c r="E158">
        <v>8.9006000000000007</v>
      </c>
      <c r="F158">
        <v>10.769299999999999</v>
      </c>
      <c r="G158">
        <v>12.823600000000001</v>
      </c>
      <c r="H158">
        <v>14.847200000000001</v>
      </c>
      <c r="I158">
        <v>16.1676</v>
      </c>
      <c r="J158">
        <v>19.521000000000001</v>
      </c>
    </row>
    <row r="159" spans="1:10" x14ac:dyDescent="0.4">
      <c r="A159">
        <v>2028</v>
      </c>
      <c r="B159">
        <v>4.6687000000000003</v>
      </c>
      <c r="C159">
        <v>6.1691000000000003</v>
      </c>
      <c r="D159">
        <v>7.0365000000000002</v>
      </c>
      <c r="E159">
        <v>8.5813000000000006</v>
      </c>
      <c r="F159">
        <v>10.481400000000001</v>
      </c>
      <c r="G159">
        <v>12.553699999999999</v>
      </c>
      <c r="H159">
        <v>14.5982</v>
      </c>
      <c r="I159">
        <v>15.960800000000001</v>
      </c>
      <c r="J159">
        <v>19.344200000000001</v>
      </c>
    </row>
    <row r="160" spans="1:10" x14ac:dyDescent="0.4">
      <c r="A160">
        <v>2029</v>
      </c>
      <c r="B160">
        <v>4.4816000000000003</v>
      </c>
      <c r="C160">
        <v>5.9641999999999999</v>
      </c>
      <c r="D160">
        <v>6.8418000000000001</v>
      </c>
      <c r="E160">
        <v>8.4082000000000008</v>
      </c>
      <c r="F160">
        <v>10.308400000000001</v>
      </c>
      <c r="G160">
        <v>12.406599999999999</v>
      </c>
      <c r="H160">
        <v>14.453799999999999</v>
      </c>
      <c r="I160">
        <v>15.8232</v>
      </c>
      <c r="J160">
        <v>19.227799999999998</v>
      </c>
    </row>
    <row r="161" spans="1:10" x14ac:dyDescent="0.4">
      <c r="A161">
        <v>2030</v>
      </c>
      <c r="B161">
        <v>4.2770000000000001</v>
      </c>
      <c r="C161">
        <v>5.7923</v>
      </c>
      <c r="D161">
        <v>6.6791</v>
      </c>
      <c r="E161">
        <v>8.2640999999999991</v>
      </c>
      <c r="F161">
        <v>10.1777</v>
      </c>
      <c r="G161">
        <v>12.2651</v>
      </c>
      <c r="H161">
        <v>14.3102</v>
      </c>
      <c r="I161">
        <v>15.7171</v>
      </c>
      <c r="J161">
        <v>18.953099999999999</v>
      </c>
    </row>
    <row r="162" spans="1:10" x14ac:dyDescent="0.4">
      <c r="A162">
        <v>2031</v>
      </c>
      <c r="B162">
        <v>4.1383999999999999</v>
      </c>
      <c r="C162">
        <v>5.6684999999999999</v>
      </c>
      <c r="D162">
        <v>6.5467000000000004</v>
      </c>
      <c r="E162">
        <v>8.1408000000000005</v>
      </c>
      <c r="F162">
        <v>10.0732</v>
      </c>
      <c r="G162">
        <v>12.1584</v>
      </c>
      <c r="H162">
        <v>14.197699999999999</v>
      </c>
      <c r="I162">
        <v>15.6069</v>
      </c>
      <c r="J162">
        <v>18.807400000000001</v>
      </c>
    </row>
    <row r="163" spans="1:10" x14ac:dyDescent="0.4">
      <c r="A163">
        <v>2032</v>
      </c>
      <c r="B163">
        <v>4.0495000000000001</v>
      </c>
      <c r="C163">
        <v>5.5682999999999998</v>
      </c>
      <c r="D163">
        <v>6.4615</v>
      </c>
      <c r="E163">
        <v>8.0540000000000003</v>
      </c>
      <c r="F163">
        <v>9.9883000000000006</v>
      </c>
      <c r="G163">
        <v>12.0718</v>
      </c>
      <c r="H163">
        <v>14.1229</v>
      </c>
      <c r="I163">
        <v>15.494999999999999</v>
      </c>
      <c r="J163">
        <v>18.764800000000001</v>
      </c>
    </row>
    <row r="164" spans="1:10" x14ac:dyDescent="0.4">
      <c r="A164">
        <v>2033</v>
      </c>
      <c r="B164">
        <v>3.9941</v>
      </c>
      <c r="C164">
        <v>5.5885999999999996</v>
      </c>
      <c r="D164">
        <v>6.4696999999999996</v>
      </c>
      <c r="E164">
        <v>8.0639000000000003</v>
      </c>
      <c r="F164">
        <v>10.004099999999999</v>
      </c>
      <c r="G164">
        <v>12.0907</v>
      </c>
      <c r="H164">
        <v>14.1485</v>
      </c>
      <c r="I164">
        <v>15.526400000000001</v>
      </c>
      <c r="J164">
        <v>18.891400000000001</v>
      </c>
    </row>
    <row r="165" spans="1:10" x14ac:dyDescent="0.4">
      <c r="A165">
        <v>2034</v>
      </c>
      <c r="B165">
        <v>3.964</v>
      </c>
      <c r="C165">
        <v>5.5785999999999998</v>
      </c>
      <c r="D165">
        <v>6.4725000000000001</v>
      </c>
      <c r="E165">
        <v>8.0803999999999991</v>
      </c>
      <c r="F165">
        <v>10.0174</v>
      </c>
      <c r="G165">
        <v>12.1271</v>
      </c>
      <c r="H165">
        <v>14.172700000000001</v>
      </c>
      <c r="I165">
        <v>15.5747</v>
      </c>
      <c r="J165">
        <v>18.923400000000001</v>
      </c>
    </row>
    <row r="167" spans="1:10" x14ac:dyDescent="0.4">
      <c r="A167" t="s">
        <v>9</v>
      </c>
      <c r="B167" t="s">
        <v>6</v>
      </c>
      <c r="C167" t="s">
        <v>36</v>
      </c>
      <c r="D167">
        <v>1000</v>
      </c>
      <c r="E167" t="s">
        <v>35</v>
      </c>
    </row>
    <row r="169" spans="1:10" x14ac:dyDescent="0.4">
      <c r="A169" t="s">
        <v>22</v>
      </c>
      <c r="B169" t="s">
        <v>34</v>
      </c>
      <c r="C169" t="s">
        <v>33</v>
      </c>
    </row>
    <row r="170" spans="1:10" x14ac:dyDescent="0.4">
      <c r="A170">
        <v>2021</v>
      </c>
      <c r="B170">
        <v>9.0563000000000002</v>
      </c>
      <c r="C170">
        <v>1.6986000000000001</v>
      </c>
    </row>
    <row r="171" spans="1:10" x14ac:dyDescent="0.4">
      <c r="A171">
        <v>2022</v>
      </c>
      <c r="B171">
        <v>10.1753</v>
      </c>
      <c r="C171">
        <v>2.1461000000000001</v>
      </c>
    </row>
    <row r="172" spans="1:10" x14ac:dyDescent="0.4">
      <c r="A172">
        <v>2023</v>
      </c>
      <c r="B172">
        <v>10.8285</v>
      </c>
      <c r="C172">
        <v>2.476</v>
      </c>
    </row>
    <row r="173" spans="1:10" x14ac:dyDescent="0.4">
      <c r="A173">
        <v>2024</v>
      </c>
      <c r="B173">
        <v>10.916</v>
      </c>
      <c r="C173">
        <v>2.7143000000000002</v>
      </c>
    </row>
    <row r="174" spans="1:10" x14ac:dyDescent="0.4">
      <c r="A174">
        <v>2025</v>
      </c>
      <c r="B174">
        <v>10.5685</v>
      </c>
      <c r="C174">
        <v>2.8811</v>
      </c>
    </row>
    <row r="175" spans="1:10" x14ac:dyDescent="0.4">
      <c r="A175">
        <v>2026</v>
      </c>
      <c r="B175">
        <v>10.1747</v>
      </c>
      <c r="C175">
        <v>2.9828000000000001</v>
      </c>
    </row>
    <row r="176" spans="1:10" x14ac:dyDescent="0.4">
      <c r="A176">
        <v>2027</v>
      </c>
      <c r="B176">
        <v>9.8424999999999994</v>
      </c>
      <c r="C176">
        <v>3.0257999999999998</v>
      </c>
    </row>
    <row r="177" spans="1:10" x14ac:dyDescent="0.4">
      <c r="A177">
        <v>2028</v>
      </c>
      <c r="B177">
        <v>9.6219999999999999</v>
      </c>
      <c r="C177">
        <v>3.0457999999999998</v>
      </c>
    </row>
    <row r="178" spans="1:10" x14ac:dyDescent="0.4">
      <c r="A178">
        <v>2029</v>
      </c>
      <c r="B178">
        <v>9.4659999999999993</v>
      </c>
      <c r="C178">
        <v>3.0611999999999999</v>
      </c>
    </row>
    <row r="179" spans="1:10" x14ac:dyDescent="0.4">
      <c r="A179">
        <v>2030</v>
      </c>
      <c r="B179">
        <v>9.3384999999999998</v>
      </c>
      <c r="C179">
        <v>3.0648</v>
      </c>
    </row>
    <row r="180" spans="1:10" x14ac:dyDescent="0.4">
      <c r="A180">
        <v>2031</v>
      </c>
      <c r="B180">
        <v>9.2347999999999999</v>
      </c>
      <c r="C180">
        <v>3.0640999999999998</v>
      </c>
    </row>
    <row r="181" spans="1:10" x14ac:dyDescent="0.4">
      <c r="A181">
        <v>2032</v>
      </c>
      <c r="B181">
        <v>9.2072000000000003</v>
      </c>
      <c r="C181">
        <v>3.0760999999999998</v>
      </c>
    </row>
    <row r="182" spans="1:10" x14ac:dyDescent="0.4">
      <c r="A182">
        <v>2033</v>
      </c>
      <c r="B182">
        <v>9.2263999999999999</v>
      </c>
      <c r="C182">
        <v>3.0903999999999998</v>
      </c>
    </row>
    <row r="183" spans="1:10" x14ac:dyDescent="0.4">
      <c r="A183">
        <v>2034</v>
      </c>
      <c r="B183">
        <v>9.2408000000000001</v>
      </c>
      <c r="C183">
        <v>3.1084000000000001</v>
      </c>
    </row>
    <row r="185" spans="1:10" x14ac:dyDescent="0.4">
      <c r="A185" t="s">
        <v>9</v>
      </c>
      <c r="B185" t="s">
        <v>6</v>
      </c>
      <c r="C185" t="s">
        <v>32</v>
      </c>
    </row>
    <row r="187" spans="1:10" x14ac:dyDescent="0.4">
      <c r="A187" t="s">
        <v>22</v>
      </c>
      <c r="B187" s="2">
        <v>0.01</v>
      </c>
      <c r="C187" s="2">
        <v>0.05</v>
      </c>
      <c r="D187" s="2">
        <v>0.1</v>
      </c>
      <c r="E187" s="2">
        <v>0.25</v>
      </c>
      <c r="F187" s="2">
        <v>0.5</v>
      </c>
      <c r="G187" s="2">
        <v>0.75</v>
      </c>
      <c r="H187" s="2">
        <v>0.9</v>
      </c>
      <c r="I187" s="2">
        <v>0.95</v>
      </c>
      <c r="J187" s="2">
        <v>0.99</v>
      </c>
    </row>
    <row r="188" spans="1:10" x14ac:dyDescent="0.4">
      <c r="A188">
        <v>2021</v>
      </c>
      <c r="B188">
        <v>5.9377000000000004</v>
      </c>
      <c r="C188">
        <v>6.5586000000000002</v>
      </c>
      <c r="D188">
        <v>6.9923999999999999</v>
      </c>
      <c r="E188">
        <v>7.83</v>
      </c>
      <c r="F188">
        <v>8.9227000000000007</v>
      </c>
      <c r="G188">
        <v>9.9750999999999994</v>
      </c>
      <c r="H188">
        <v>11.4747</v>
      </c>
      <c r="I188">
        <v>12.223699999999999</v>
      </c>
      <c r="J188">
        <v>13.7193</v>
      </c>
    </row>
    <row r="189" spans="1:10" x14ac:dyDescent="0.4">
      <c r="A189">
        <v>2022</v>
      </c>
      <c r="B189">
        <v>6.1017000000000001</v>
      </c>
      <c r="C189">
        <v>7.0023999999999997</v>
      </c>
      <c r="D189">
        <v>7.5631000000000004</v>
      </c>
      <c r="E189">
        <v>8.6652000000000005</v>
      </c>
      <c r="F189">
        <v>9.9838000000000005</v>
      </c>
      <c r="G189">
        <v>11.505100000000001</v>
      </c>
      <c r="H189">
        <v>12.9709</v>
      </c>
      <c r="I189">
        <v>13.9366</v>
      </c>
      <c r="J189">
        <v>15.8447</v>
      </c>
    </row>
    <row r="190" spans="1:10" x14ac:dyDescent="0.4">
      <c r="A190">
        <v>2023</v>
      </c>
      <c r="B190">
        <v>6.0610999999999997</v>
      </c>
      <c r="C190">
        <v>7.1612999999999998</v>
      </c>
      <c r="D190">
        <v>7.8369999999999997</v>
      </c>
      <c r="E190">
        <v>9.0731999999999999</v>
      </c>
      <c r="F190">
        <v>10.639900000000001</v>
      </c>
      <c r="G190">
        <v>12.348800000000001</v>
      </c>
      <c r="H190">
        <v>14.010899999999999</v>
      </c>
      <c r="I190">
        <v>15.0848</v>
      </c>
      <c r="J190">
        <v>17.469200000000001</v>
      </c>
    </row>
    <row r="191" spans="1:10" x14ac:dyDescent="0.4">
      <c r="A191">
        <v>2024</v>
      </c>
      <c r="B191">
        <v>5.6482999999999999</v>
      </c>
      <c r="C191">
        <v>6.9043999999999999</v>
      </c>
      <c r="D191">
        <v>7.6421000000000001</v>
      </c>
      <c r="E191">
        <v>9.0236999999999998</v>
      </c>
      <c r="F191">
        <v>10.7087</v>
      </c>
      <c r="G191">
        <v>12.5625</v>
      </c>
      <c r="H191">
        <v>14.380100000000001</v>
      </c>
      <c r="I191">
        <v>15.529299999999999</v>
      </c>
      <c r="J191">
        <v>18.211400000000001</v>
      </c>
    </row>
    <row r="192" spans="1:10" x14ac:dyDescent="0.4">
      <c r="A192">
        <v>2025</v>
      </c>
      <c r="B192">
        <v>4.9607999999999999</v>
      </c>
      <c r="C192">
        <v>6.2996999999999996</v>
      </c>
      <c r="D192">
        <v>7.1117999999999997</v>
      </c>
      <c r="E192">
        <v>8.5793999999999997</v>
      </c>
      <c r="F192">
        <v>10.354900000000001</v>
      </c>
      <c r="G192">
        <v>12.292299999999999</v>
      </c>
      <c r="H192">
        <v>14.188700000000001</v>
      </c>
      <c r="I192">
        <v>15.4436</v>
      </c>
      <c r="J192">
        <v>18.41</v>
      </c>
    </row>
    <row r="193" spans="1:10" x14ac:dyDescent="0.4">
      <c r="A193">
        <v>2026</v>
      </c>
      <c r="B193">
        <v>4.3174999999999999</v>
      </c>
      <c r="C193">
        <v>5.76</v>
      </c>
      <c r="D193">
        <v>6.6165000000000003</v>
      </c>
      <c r="E193">
        <v>8.1166999999999998</v>
      </c>
      <c r="F193">
        <v>9.9502000000000006</v>
      </c>
      <c r="G193">
        <v>11.946400000000001</v>
      </c>
      <c r="H193">
        <v>13.896800000000001</v>
      </c>
      <c r="I193">
        <v>15.2271</v>
      </c>
      <c r="J193">
        <v>18.4511</v>
      </c>
    </row>
    <row r="194" spans="1:10" x14ac:dyDescent="0.4">
      <c r="A194">
        <v>2027</v>
      </c>
      <c r="B194">
        <v>3.8923000000000001</v>
      </c>
      <c r="C194">
        <v>5.3764000000000003</v>
      </c>
      <c r="D194">
        <v>6.2327000000000004</v>
      </c>
      <c r="E194">
        <v>7.7632000000000003</v>
      </c>
      <c r="F194">
        <v>9.6204999999999998</v>
      </c>
      <c r="G194">
        <v>11.6401</v>
      </c>
      <c r="H194">
        <v>13.647</v>
      </c>
      <c r="I194">
        <v>14.969799999999999</v>
      </c>
      <c r="J194">
        <v>18.255700000000001</v>
      </c>
    </row>
    <row r="195" spans="1:10" x14ac:dyDescent="0.4">
      <c r="A195">
        <v>2028</v>
      </c>
      <c r="B195">
        <v>3.6686000000000001</v>
      </c>
      <c r="C195">
        <v>5.1295999999999999</v>
      </c>
      <c r="D195">
        <v>5.9993999999999996</v>
      </c>
      <c r="E195">
        <v>7.5194000000000001</v>
      </c>
      <c r="F195">
        <v>9.3926999999999996</v>
      </c>
      <c r="G195">
        <v>11.435</v>
      </c>
      <c r="H195">
        <v>13.4513</v>
      </c>
      <c r="I195">
        <v>14.7807</v>
      </c>
      <c r="J195">
        <v>18.118099999999998</v>
      </c>
    </row>
    <row r="196" spans="1:10" x14ac:dyDescent="0.4">
      <c r="A196">
        <v>2029</v>
      </c>
      <c r="B196">
        <v>3.4864999999999999</v>
      </c>
      <c r="C196">
        <v>4.9480000000000004</v>
      </c>
      <c r="D196">
        <v>5.7923999999999998</v>
      </c>
      <c r="E196">
        <v>7.3498999999999999</v>
      </c>
      <c r="F196">
        <v>9.2376000000000005</v>
      </c>
      <c r="G196">
        <v>11.2956</v>
      </c>
      <c r="H196">
        <v>13.322900000000001</v>
      </c>
      <c r="I196">
        <v>14.667199999999999</v>
      </c>
      <c r="J196">
        <v>17.959700000000002</v>
      </c>
    </row>
    <row r="197" spans="1:10" x14ac:dyDescent="0.4">
      <c r="A197">
        <v>2030</v>
      </c>
      <c r="B197">
        <v>3.2746</v>
      </c>
      <c r="C197">
        <v>4.7834000000000003</v>
      </c>
      <c r="D197">
        <v>5.6607000000000003</v>
      </c>
      <c r="E197">
        <v>7.2229000000000001</v>
      </c>
      <c r="F197">
        <v>9.1326999999999998</v>
      </c>
      <c r="G197">
        <v>11.1669</v>
      </c>
      <c r="H197">
        <v>13.1898</v>
      </c>
      <c r="I197">
        <v>14.5566</v>
      </c>
      <c r="J197">
        <v>17.7654</v>
      </c>
    </row>
    <row r="198" spans="1:10" x14ac:dyDescent="0.4">
      <c r="A198">
        <v>2031</v>
      </c>
      <c r="B198">
        <v>3.1726000000000001</v>
      </c>
      <c r="C198">
        <v>4.6909000000000001</v>
      </c>
      <c r="D198">
        <v>5.5526999999999997</v>
      </c>
      <c r="E198">
        <v>7.1146000000000003</v>
      </c>
      <c r="F198">
        <v>9.0299999999999994</v>
      </c>
      <c r="G198">
        <v>11.083600000000001</v>
      </c>
      <c r="H198">
        <v>13.0801</v>
      </c>
      <c r="I198">
        <v>14.4278</v>
      </c>
      <c r="J198">
        <v>17.6416</v>
      </c>
    </row>
    <row r="199" spans="1:10" x14ac:dyDescent="0.4">
      <c r="A199">
        <v>2032</v>
      </c>
      <c r="B199">
        <v>3.1187999999999998</v>
      </c>
      <c r="C199">
        <v>4.6433</v>
      </c>
      <c r="D199">
        <v>5.52</v>
      </c>
      <c r="E199">
        <v>7.0938999999999997</v>
      </c>
      <c r="F199">
        <v>8.9938000000000002</v>
      </c>
      <c r="G199">
        <v>11.0488</v>
      </c>
      <c r="H199">
        <v>13.0665</v>
      </c>
      <c r="I199">
        <v>14.4323</v>
      </c>
      <c r="J199">
        <v>17.609300000000001</v>
      </c>
    </row>
    <row r="200" spans="1:10" x14ac:dyDescent="0.4">
      <c r="A200">
        <v>2033</v>
      </c>
      <c r="B200">
        <v>3.0886</v>
      </c>
      <c r="C200">
        <v>4.6581999999999999</v>
      </c>
      <c r="D200">
        <v>5.5167000000000002</v>
      </c>
      <c r="E200">
        <v>7.1127000000000002</v>
      </c>
      <c r="F200">
        <v>9.0158000000000005</v>
      </c>
      <c r="G200">
        <v>11.0632</v>
      </c>
      <c r="H200">
        <v>13.097300000000001</v>
      </c>
      <c r="I200">
        <v>14.463900000000001</v>
      </c>
      <c r="J200">
        <v>17.8078</v>
      </c>
    </row>
    <row r="201" spans="1:10" x14ac:dyDescent="0.4">
      <c r="A201">
        <v>2034</v>
      </c>
      <c r="B201">
        <v>3.0752000000000002</v>
      </c>
      <c r="C201">
        <v>4.6536</v>
      </c>
      <c r="D201">
        <v>5.5312000000000001</v>
      </c>
      <c r="E201">
        <v>7.1162000000000001</v>
      </c>
      <c r="F201">
        <v>9.0221999999999998</v>
      </c>
      <c r="G201">
        <v>11.095800000000001</v>
      </c>
      <c r="H201">
        <v>13.1435</v>
      </c>
      <c r="I201">
        <v>14.4674</v>
      </c>
      <c r="J201">
        <v>17.8246</v>
      </c>
    </row>
    <row r="203" spans="1:10" x14ac:dyDescent="0.4">
      <c r="A203" t="s">
        <v>8</v>
      </c>
      <c r="B203" t="s">
        <v>7</v>
      </c>
      <c r="C203" t="s">
        <v>6</v>
      </c>
      <c r="D203" t="s">
        <v>36</v>
      </c>
      <c r="E203">
        <v>1000</v>
      </c>
      <c r="F203" t="s">
        <v>35</v>
      </c>
    </row>
    <row r="205" spans="1:10" x14ac:dyDescent="0.4">
      <c r="A205" t="s">
        <v>22</v>
      </c>
      <c r="B205" t="s">
        <v>34</v>
      </c>
      <c r="C205" t="s">
        <v>33</v>
      </c>
    </row>
    <row r="206" spans="1:10" x14ac:dyDescent="0.4">
      <c r="A206">
        <v>2021</v>
      </c>
      <c r="B206">
        <v>1.5398000000000001</v>
      </c>
      <c r="C206">
        <v>0</v>
      </c>
    </row>
    <row r="207" spans="1:10" x14ac:dyDescent="0.4">
      <c r="A207">
        <v>2022</v>
      </c>
      <c r="B207">
        <v>1.4739</v>
      </c>
      <c r="C207">
        <v>0</v>
      </c>
    </row>
    <row r="208" spans="1:10" x14ac:dyDescent="0.4">
      <c r="A208">
        <v>2023</v>
      </c>
      <c r="B208">
        <v>1.6853</v>
      </c>
      <c r="C208">
        <v>1.5100000000000001E-2</v>
      </c>
    </row>
    <row r="209" spans="1:10" x14ac:dyDescent="0.4">
      <c r="A209">
        <v>2024</v>
      </c>
      <c r="B209">
        <v>2.1564999999999999</v>
      </c>
      <c r="C209">
        <v>2.3599999999999999E-2</v>
      </c>
    </row>
    <row r="210" spans="1:10" x14ac:dyDescent="0.4">
      <c r="A210">
        <v>2025</v>
      </c>
      <c r="B210">
        <v>2.3997000000000002</v>
      </c>
      <c r="C210">
        <v>2.63E-2</v>
      </c>
    </row>
    <row r="211" spans="1:10" x14ac:dyDescent="0.4">
      <c r="A211">
        <v>2026</v>
      </c>
      <c r="B211">
        <v>2.3997000000000002</v>
      </c>
      <c r="C211">
        <v>2.63E-2</v>
      </c>
    </row>
    <row r="212" spans="1:10" x14ac:dyDescent="0.4">
      <c r="A212">
        <v>2027</v>
      </c>
      <c r="B212">
        <v>2.3997000000000002</v>
      </c>
      <c r="C212">
        <v>2.8400000000000002E-2</v>
      </c>
    </row>
    <row r="213" spans="1:10" x14ac:dyDescent="0.4">
      <c r="A213">
        <v>2028</v>
      </c>
      <c r="B213">
        <v>2.2995000000000001</v>
      </c>
      <c r="C213">
        <v>3.4099999999999998E-2</v>
      </c>
    </row>
    <row r="214" spans="1:10" x14ac:dyDescent="0.4">
      <c r="A214">
        <v>2029</v>
      </c>
      <c r="B214">
        <v>2.2991999999999999</v>
      </c>
      <c r="C214">
        <v>4.36E-2</v>
      </c>
    </row>
    <row r="215" spans="1:10" x14ac:dyDescent="0.4">
      <c r="A215">
        <v>2030</v>
      </c>
      <c r="B215">
        <v>2.2986</v>
      </c>
      <c r="C215">
        <v>5.5899999999999998E-2</v>
      </c>
    </row>
    <row r="216" spans="1:10" x14ac:dyDescent="0.4">
      <c r="A216">
        <v>2031</v>
      </c>
      <c r="B216">
        <v>2.2982</v>
      </c>
      <c r="C216">
        <v>6.5000000000000002E-2</v>
      </c>
    </row>
    <row r="217" spans="1:10" x14ac:dyDescent="0.4">
      <c r="A217">
        <v>2032</v>
      </c>
      <c r="B217">
        <v>2.1977000000000002</v>
      </c>
      <c r="C217">
        <v>7.0599999999999996E-2</v>
      </c>
    </row>
    <row r="218" spans="1:10" x14ac:dyDescent="0.4">
      <c r="A218">
        <v>2033</v>
      </c>
      <c r="B218">
        <v>2.1972</v>
      </c>
      <c r="C218">
        <v>7.9000000000000001E-2</v>
      </c>
    </row>
    <row r="219" spans="1:10" x14ac:dyDescent="0.4">
      <c r="A219">
        <v>2034</v>
      </c>
      <c r="B219">
        <v>2.1966000000000001</v>
      </c>
      <c r="C219">
        <v>8.6800000000000002E-2</v>
      </c>
    </row>
    <row r="221" spans="1:10" x14ac:dyDescent="0.4">
      <c r="A221" t="s">
        <v>8</v>
      </c>
      <c r="B221" t="s">
        <v>7</v>
      </c>
      <c r="C221" t="s">
        <v>32</v>
      </c>
    </row>
    <row r="223" spans="1:10" x14ac:dyDescent="0.4">
      <c r="A223" t="s">
        <v>22</v>
      </c>
      <c r="B223" s="2">
        <v>0.01</v>
      </c>
      <c r="C223" s="2">
        <v>0.05</v>
      </c>
      <c r="D223" s="2">
        <v>0.1</v>
      </c>
      <c r="E223" s="2">
        <v>0.25</v>
      </c>
      <c r="F223" s="2">
        <v>0.5</v>
      </c>
      <c r="G223" s="2">
        <v>0.75</v>
      </c>
      <c r="H223" s="2">
        <v>0.9</v>
      </c>
      <c r="I223" s="2">
        <v>0.95</v>
      </c>
      <c r="J223" s="2">
        <v>0.99</v>
      </c>
    </row>
    <row r="224" spans="1:10" x14ac:dyDescent="0.4">
      <c r="A224">
        <v>2021</v>
      </c>
      <c r="B224">
        <v>1.5398000000000001</v>
      </c>
      <c r="C224">
        <v>1.5398000000000001</v>
      </c>
      <c r="D224">
        <v>1.5398000000000001</v>
      </c>
      <c r="E224">
        <v>1.5398000000000001</v>
      </c>
      <c r="F224">
        <v>1.5398000000000001</v>
      </c>
      <c r="G224">
        <v>1.5398000000000001</v>
      </c>
      <c r="H224">
        <v>1.5398000000000001</v>
      </c>
      <c r="I224">
        <v>1.5398000000000001</v>
      </c>
      <c r="J224">
        <v>1.5398000000000001</v>
      </c>
    </row>
    <row r="225" spans="1:10" x14ac:dyDescent="0.4">
      <c r="A225">
        <v>2022</v>
      </c>
      <c r="B225">
        <v>1.4739</v>
      </c>
      <c r="C225">
        <v>1.4739</v>
      </c>
      <c r="D225">
        <v>1.4739</v>
      </c>
      <c r="E225">
        <v>1.4739</v>
      </c>
      <c r="F225">
        <v>1.4739</v>
      </c>
      <c r="G225">
        <v>1.4739</v>
      </c>
      <c r="H225">
        <v>1.4739</v>
      </c>
      <c r="I225">
        <v>1.4739</v>
      </c>
      <c r="J225">
        <v>1.4739</v>
      </c>
    </row>
    <row r="226" spans="1:10" x14ac:dyDescent="0.4">
      <c r="A226">
        <v>2023</v>
      </c>
      <c r="B226">
        <v>1.6854</v>
      </c>
      <c r="C226">
        <v>1.6854</v>
      </c>
      <c r="D226">
        <v>1.6854</v>
      </c>
      <c r="E226">
        <v>1.6854</v>
      </c>
      <c r="F226">
        <v>1.6854</v>
      </c>
      <c r="G226">
        <v>1.6854</v>
      </c>
      <c r="H226">
        <v>1.6854</v>
      </c>
      <c r="I226">
        <v>1.6854</v>
      </c>
      <c r="J226">
        <v>1.6854</v>
      </c>
    </row>
    <row r="227" spans="1:10" x14ac:dyDescent="0.4">
      <c r="A227">
        <v>2024</v>
      </c>
      <c r="B227">
        <v>2.1566999999999998</v>
      </c>
      <c r="C227">
        <v>2.1566999999999998</v>
      </c>
      <c r="D227">
        <v>2.1566999999999998</v>
      </c>
      <c r="E227">
        <v>2.1566999999999998</v>
      </c>
      <c r="F227">
        <v>2.1566999999999998</v>
      </c>
      <c r="G227">
        <v>2.1566999999999998</v>
      </c>
      <c r="H227">
        <v>2.1566999999999998</v>
      </c>
      <c r="I227">
        <v>2.1566999999999998</v>
      </c>
      <c r="J227">
        <v>2.1566999999999998</v>
      </c>
    </row>
    <row r="228" spans="1:10" x14ac:dyDescent="0.4">
      <c r="A228">
        <v>2025</v>
      </c>
      <c r="B228">
        <v>2.4</v>
      </c>
      <c r="C228">
        <v>2.4</v>
      </c>
      <c r="D228">
        <v>2.4</v>
      </c>
      <c r="E228">
        <v>2.4</v>
      </c>
      <c r="F228">
        <v>2.4</v>
      </c>
      <c r="G228">
        <v>2.4</v>
      </c>
      <c r="H228">
        <v>2.4</v>
      </c>
      <c r="I228">
        <v>2.4</v>
      </c>
      <c r="J228">
        <v>2.4</v>
      </c>
    </row>
    <row r="229" spans="1:10" x14ac:dyDescent="0.4">
      <c r="A229">
        <v>2026</v>
      </c>
      <c r="B229">
        <v>2.4</v>
      </c>
      <c r="C229">
        <v>2.4</v>
      </c>
      <c r="D229">
        <v>2.4</v>
      </c>
      <c r="E229">
        <v>2.4</v>
      </c>
      <c r="F229">
        <v>2.4</v>
      </c>
      <c r="G229">
        <v>2.4</v>
      </c>
      <c r="H229">
        <v>2.4</v>
      </c>
      <c r="I229">
        <v>2.4</v>
      </c>
      <c r="J229">
        <v>2.4</v>
      </c>
    </row>
    <row r="230" spans="1:10" x14ac:dyDescent="0.4">
      <c r="A230">
        <v>2027</v>
      </c>
      <c r="B230">
        <v>2.4</v>
      </c>
      <c r="C230">
        <v>2.4</v>
      </c>
      <c r="D230">
        <v>2.4</v>
      </c>
      <c r="E230">
        <v>2.4</v>
      </c>
      <c r="F230">
        <v>2.4</v>
      </c>
      <c r="G230">
        <v>2.4</v>
      </c>
      <c r="H230">
        <v>2.4</v>
      </c>
      <c r="I230">
        <v>2.4</v>
      </c>
      <c r="J230">
        <v>2.4</v>
      </c>
    </row>
    <row r="231" spans="1:10" x14ac:dyDescent="0.4">
      <c r="A231">
        <v>2028</v>
      </c>
      <c r="B231">
        <v>2.2999999999999998</v>
      </c>
      <c r="C231">
        <v>2.2999999999999998</v>
      </c>
      <c r="D231">
        <v>2.2999999999999998</v>
      </c>
      <c r="E231">
        <v>2.2999999999999998</v>
      </c>
      <c r="F231">
        <v>2.2999999999999998</v>
      </c>
      <c r="G231">
        <v>2.2999999999999998</v>
      </c>
      <c r="H231">
        <v>2.2999999999999998</v>
      </c>
      <c r="I231">
        <v>2.2999999999999998</v>
      </c>
      <c r="J231">
        <v>2.2999999999999998</v>
      </c>
    </row>
    <row r="232" spans="1:10" x14ac:dyDescent="0.4">
      <c r="A232">
        <v>2029</v>
      </c>
      <c r="B232">
        <v>2.2999999999999998</v>
      </c>
      <c r="C232">
        <v>2.2999999999999998</v>
      </c>
      <c r="D232">
        <v>2.2999999999999998</v>
      </c>
      <c r="E232">
        <v>2.2999999999999998</v>
      </c>
      <c r="F232">
        <v>2.2999999999999998</v>
      </c>
      <c r="G232">
        <v>2.2999999999999998</v>
      </c>
      <c r="H232">
        <v>2.2999999999999998</v>
      </c>
      <c r="I232">
        <v>2.2999999999999998</v>
      </c>
      <c r="J232">
        <v>2.2999999999999998</v>
      </c>
    </row>
    <row r="233" spans="1:10" x14ac:dyDescent="0.4">
      <c r="A233">
        <v>2030</v>
      </c>
      <c r="B233">
        <v>2.2999999999999998</v>
      </c>
      <c r="C233">
        <v>2.2999999999999998</v>
      </c>
      <c r="D233">
        <v>2.2999999999999998</v>
      </c>
      <c r="E233">
        <v>2.2999999999999998</v>
      </c>
      <c r="F233">
        <v>2.2999999999999998</v>
      </c>
      <c r="G233">
        <v>2.2999999999999998</v>
      </c>
      <c r="H233">
        <v>2.2999999999999998</v>
      </c>
      <c r="I233">
        <v>2.2999999999999998</v>
      </c>
      <c r="J233">
        <v>2.2999999999999998</v>
      </c>
    </row>
    <row r="234" spans="1:10" x14ac:dyDescent="0.4">
      <c r="A234">
        <v>2031</v>
      </c>
      <c r="B234">
        <v>2.2999999999999998</v>
      </c>
      <c r="C234">
        <v>2.2999999999999998</v>
      </c>
      <c r="D234">
        <v>2.2999999999999998</v>
      </c>
      <c r="E234">
        <v>2.2999999999999998</v>
      </c>
      <c r="F234">
        <v>2.2999999999999998</v>
      </c>
      <c r="G234">
        <v>2.2999999999999998</v>
      </c>
      <c r="H234">
        <v>2.2999999999999998</v>
      </c>
      <c r="I234">
        <v>2.2999999999999998</v>
      </c>
      <c r="J234">
        <v>2.2999999999999998</v>
      </c>
    </row>
    <row r="235" spans="1:10" x14ac:dyDescent="0.4">
      <c r="A235">
        <v>2032</v>
      </c>
      <c r="B235">
        <v>2.2000000000000002</v>
      </c>
      <c r="C235">
        <v>2.2000000000000002</v>
      </c>
      <c r="D235">
        <v>2.2000000000000002</v>
      </c>
      <c r="E235">
        <v>2.2000000000000002</v>
      </c>
      <c r="F235">
        <v>2.2000000000000002</v>
      </c>
      <c r="G235">
        <v>2.2000000000000002</v>
      </c>
      <c r="H235">
        <v>2.2000000000000002</v>
      </c>
      <c r="I235">
        <v>2.2000000000000002</v>
      </c>
      <c r="J235">
        <v>2.2000000000000002</v>
      </c>
    </row>
    <row r="236" spans="1:10" x14ac:dyDescent="0.4">
      <c r="A236">
        <v>2033</v>
      </c>
      <c r="B236">
        <v>2.2000000000000002</v>
      </c>
      <c r="C236">
        <v>2.2000000000000002</v>
      </c>
      <c r="D236">
        <v>2.2000000000000002</v>
      </c>
      <c r="E236">
        <v>2.2000000000000002</v>
      </c>
      <c r="F236">
        <v>2.2000000000000002</v>
      </c>
      <c r="G236">
        <v>2.2000000000000002</v>
      </c>
      <c r="H236">
        <v>2.2000000000000002</v>
      </c>
      <c r="I236">
        <v>2.2000000000000002</v>
      </c>
      <c r="J236">
        <v>2.2000000000000002</v>
      </c>
    </row>
    <row r="237" spans="1:10" x14ac:dyDescent="0.4">
      <c r="A237">
        <v>2034</v>
      </c>
      <c r="B237">
        <v>2.2000000000000002</v>
      </c>
      <c r="C237">
        <v>2.2000000000000002</v>
      </c>
      <c r="D237">
        <v>2.2000000000000002</v>
      </c>
      <c r="E237">
        <v>2.2000000000000002</v>
      </c>
      <c r="F237">
        <v>2.2000000000000002</v>
      </c>
      <c r="G237">
        <v>2.2000000000000002</v>
      </c>
      <c r="H237">
        <v>2.2000000000000002</v>
      </c>
      <c r="I237">
        <v>2.2000000000000002</v>
      </c>
      <c r="J237">
        <v>2.2000000000000002</v>
      </c>
    </row>
    <row r="239" spans="1:10" x14ac:dyDescent="0.4">
      <c r="A239" t="s">
        <v>5</v>
      </c>
      <c r="B239" t="s">
        <v>36</v>
      </c>
      <c r="C239">
        <v>1000</v>
      </c>
      <c r="D239" t="s">
        <v>35</v>
      </c>
    </row>
    <row r="241" spans="1:3" x14ac:dyDescent="0.4">
      <c r="A241" t="s">
        <v>22</v>
      </c>
      <c r="B241" t="s">
        <v>34</v>
      </c>
      <c r="C241" t="s">
        <v>33</v>
      </c>
    </row>
    <row r="242" spans="1:3" x14ac:dyDescent="0.4">
      <c r="A242">
        <v>2021</v>
      </c>
      <c r="B242">
        <v>1.5398000000000001</v>
      </c>
      <c r="C242">
        <v>0</v>
      </c>
    </row>
    <row r="243" spans="1:3" x14ac:dyDescent="0.4">
      <c r="A243">
        <v>2022</v>
      </c>
      <c r="B243">
        <v>1.4739</v>
      </c>
      <c r="C243">
        <v>0</v>
      </c>
    </row>
    <row r="244" spans="1:3" x14ac:dyDescent="0.4">
      <c r="A244">
        <v>2023</v>
      </c>
      <c r="B244">
        <v>1.6853</v>
      </c>
      <c r="C244">
        <v>1.5100000000000001E-2</v>
      </c>
    </row>
    <row r="245" spans="1:3" x14ac:dyDescent="0.4">
      <c r="A245">
        <v>2024</v>
      </c>
      <c r="B245">
        <v>2.1564999999999999</v>
      </c>
      <c r="C245">
        <v>2.3599999999999999E-2</v>
      </c>
    </row>
    <row r="246" spans="1:3" x14ac:dyDescent="0.4">
      <c r="A246">
        <v>2025</v>
      </c>
      <c r="B246">
        <v>2.3997000000000002</v>
      </c>
      <c r="C246">
        <v>2.63E-2</v>
      </c>
    </row>
    <row r="247" spans="1:3" x14ac:dyDescent="0.4">
      <c r="A247">
        <v>2026</v>
      </c>
      <c r="B247">
        <v>2.3997000000000002</v>
      </c>
      <c r="C247">
        <v>2.63E-2</v>
      </c>
    </row>
    <row r="248" spans="1:3" x14ac:dyDescent="0.4">
      <c r="A248">
        <v>2027</v>
      </c>
      <c r="B248">
        <v>2.3997000000000002</v>
      </c>
      <c r="C248">
        <v>2.8400000000000002E-2</v>
      </c>
    </row>
    <row r="249" spans="1:3" x14ac:dyDescent="0.4">
      <c r="A249">
        <v>2028</v>
      </c>
      <c r="B249">
        <v>2.2995000000000001</v>
      </c>
      <c r="C249">
        <v>3.4099999999999998E-2</v>
      </c>
    </row>
    <row r="250" spans="1:3" x14ac:dyDescent="0.4">
      <c r="A250">
        <v>2029</v>
      </c>
      <c r="B250">
        <v>2.2991999999999999</v>
      </c>
      <c r="C250">
        <v>4.36E-2</v>
      </c>
    </row>
    <row r="251" spans="1:3" x14ac:dyDescent="0.4">
      <c r="A251">
        <v>2030</v>
      </c>
      <c r="B251">
        <v>2.2986</v>
      </c>
      <c r="C251">
        <v>5.5899999999999998E-2</v>
      </c>
    </row>
    <row r="252" spans="1:3" x14ac:dyDescent="0.4">
      <c r="A252">
        <v>2031</v>
      </c>
      <c r="B252">
        <v>2.2982</v>
      </c>
      <c r="C252">
        <v>6.5000000000000002E-2</v>
      </c>
    </row>
    <row r="253" spans="1:3" x14ac:dyDescent="0.4">
      <c r="A253">
        <v>2032</v>
      </c>
      <c r="B253">
        <v>2.1977000000000002</v>
      </c>
      <c r="C253">
        <v>7.0599999999999996E-2</v>
      </c>
    </row>
    <row r="254" spans="1:3" x14ac:dyDescent="0.4">
      <c r="A254">
        <v>2033</v>
      </c>
      <c r="B254">
        <v>2.1972</v>
      </c>
      <c r="C254">
        <v>7.9000000000000001E-2</v>
      </c>
    </row>
    <row r="255" spans="1:3" x14ac:dyDescent="0.4">
      <c r="A255">
        <v>2034</v>
      </c>
      <c r="B255">
        <v>2.1966000000000001</v>
      </c>
      <c r="C255">
        <v>8.6800000000000002E-2</v>
      </c>
    </row>
    <row r="257" spans="1:20" x14ac:dyDescent="0.4">
      <c r="A257" t="s">
        <v>5</v>
      </c>
      <c r="B257" t="s">
        <v>32</v>
      </c>
    </row>
    <row r="259" spans="1:20" x14ac:dyDescent="0.4">
      <c r="A259" t="s">
        <v>22</v>
      </c>
      <c r="B259" s="2">
        <v>0.01</v>
      </c>
      <c r="C259" s="2">
        <v>0.05</v>
      </c>
      <c r="D259" s="2">
        <v>0.1</v>
      </c>
      <c r="E259" s="2">
        <v>0.25</v>
      </c>
      <c r="F259" s="2">
        <v>0.5</v>
      </c>
      <c r="G259" s="2">
        <v>0.75</v>
      </c>
      <c r="H259" s="2">
        <v>0.9</v>
      </c>
      <c r="I259" s="2">
        <v>0.95</v>
      </c>
      <c r="J259" s="2">
        <v>0.99</v>
      </c>
      <c r="L259" s="2">
        <v>0.01</v>
      </c>
      <c r="M259" s="2">
        <v>0.05</v>
      </c>
      <c r="N259" s="2">
        <v>0.1</v>
      </c>
      <c r="O259" s="2">
        <v>0.25</v>
      </c>
      <c r="P259" s="2">
        <v>0.5</v>
      </c>
      <c r="Q259" s="2">
        <v>0.75</v>
      </c>
      <c r="R259" s="2">
        <v>0.9</v>
      </c>
      <c r="S259" s="2">
        <v>0.95</v>
      </c>
      <c r="T259" s="2">
        <v>0.99</v>
      </c>
    </row>
    <row r="260" spans="1:20" x14ac:dyDescent="0.4">
      <c r="A260">
        <v>2021</v>
      </c>
      <c r="B260">
        <v>1.5398000000000001</v>
      </c>
      <c r="C260">
        <v>1.5398000000000001</v>
      </c>
      <c r="D260">
        <v>1.5398000000000001</v>
      </c>
      <c r="E260">
        <v>1.5398000000000001</v>
      </c>
      <c r="F260">
        <v>1.5398000000000001</v>
      </c>
      <c r="G260">
        <v>1.5398000000000001</v>
      </c>
      <c r="H260">
        <v>1.5398000000000001</v>
      </c>
      <c r="I260">
        <v>1.5398000000000001</v>
      </c>
      <c r="J260">
        <v>1.5398000000000001</v>
      </c>
      <c r="L260">
        <f>B260*1000</f>
        <v>1539.8</v>
      </c>
      <c r="M260">
        <f t="shared" ref="M260:T273" si="2">C260*1000</f>
        <v>1539.8</v>
      </c>
      <c r="N260">
        <f t="shared" si="2"/>
        <v>1539.8</v>
      </c>
      <c r="O260">
        <f t="shared" si="2"/>
        <v>1539.8</v>
      </c>
      <c r="P260">
        <f t="shared" si="2"/>
        <v>1539.8</v>
      </c>
      <c r="Q260">
        <f t="shared" si="2"/>
        <v>1539.8</v>
      </c>
      <c r="R260">
        <f t="shared" si="2"/>
        <v>1539.8</v>
      </c>
      <c r="S260">
        <f t="shared" si="2"/>
        <v>1539.8</v>
      </c>
      <c r="T260">
        <f t="shared" si="2"/>
        <v>1539.8</v>
      </c>
    </row>
    <row r="261" spans="1:20" x14ac:dyDescent="0.4">
      <c r="A261">
        <v>2022</v>
      </c>
      <c r="B261">
        <v>1.4739</v>
      </c>
      <c r="C261">
        <v>1.4739</v>
      </c>
      <c r="D261">
        <v>1.4739</v>
      </c>
      <c r="E261">
        <v>1.4739</v>
      </c>
      <c r="F261">
        <v>1.4739</v>
      </c>
      <c r="G261">
        <v>1.4739</v>
      </c>
      <c r="H261">
        <v>1.4739</v>
      </c>
      <c r="I261">
        <v>1.4739</v>
      </c>
      <c r="J261">
        <v>1.4739</v>
      </c>
      <c r="L261">
        <f t="shared" ref="L261:L273" si="3">B261*1000</f>
        <v>1473.9</v>
      </c>
      <c r="M261">
        <f t="shared" si="2"/>
        <v>1473.9</v>
      </c>
      <c r="N261">
        <f t="shared" si="2"/>
        <v>1473.9</v>
      </c>
      <c r="O261">
        <f t="shared" si="2"/>
        <v>1473.9</v>
      </c>
      <c r="P261">
        <f t="shared" si="2"/>
        <v>1473.9</v>
      </c>
      <c r="Q261">
        <f t="shared" si="2"/>
        <v>1473.9</v>
      </c>
      <c r="R261">
        <f t="shared" si="2"/>
        <v>1473.9</v>
      </c>
      <c r="S261">
        <f t="shared" si="2"/>
        <v>1473.9</v>
      </c>
      <c r="T261">
        <f t="shared" si="2"/>
        <v>1473.9</v>
      </c>
    </row>
    <row r="262" spans="1:20" x14ac:dyDescent="0.4">
      <c r="A262">
        <v>2023</v>
      </c>
      <c r="B262">
        <v>1.6854</v>
      </c>
      <c r="C262">
        <v>1.6854</v>
      </c>
      <c r="D262">
        <v>1.6854</v>
      </c>
      <c r="E262">
        <v>1.6854</v>
      </c>
      <c r="F262">
        <v>1.6854</v>
      </c>
      <c r="G262">
        <v>1.6854</v>
      </c>
      <c r="H262">
        <v>1.6854</v>
      </c>
      <c r="I262">
        <v>1.6854</v>
      </c>
      <c r="J262">
        <v>1.6854</v>
      </c>
      <c r="L262">
        <f t="shared" si="3"/>
        <v>1685.4</v>
      </c>
      <c r="M262">
        <f t="shared" si="2"/>
        <v>1685.4</v>
      </c>
      <c r="N262">
        <f t="shared" si="2"/>
        <v>1685.4</v>
      </c>
      <c r="O262">
        <f t="shared" si="2"/>
        <v>1685.4</v>
      </c>
      <c r="P262">
        <f t="shared" si="2"/>
        <v>1685.4</v>
      </c>
      <c r="Q262">
        <f t="shared" si="2"/>
        <v>1685.4</v>
      </c>
      <c r="R262">
        <f t="shared" si="2"/>
        <v>1685.4</v>
      </c>
      <c r="S262">
        <f t="shared" si="2"/>
        <v>1685.4</v>
      </c>
      <c r="T262">
        <f t="shared" si="2"/>
        <v>1685.4</v>
      </c>
    </row>
    <row r="263" spans="1:20" x14ac:dyDescent="0.4">
      <c r="A263">
        <v>2024</v>
      </c>
      <c r="B263">
        <v>2.1566999999999998</v>
      </c>
      <c r="C263">
        <v>2.1566999999999998</v>
      </c>
      <c r="D263">
        <v>2.1566999999999998</v>
      </c>
      <c r="E263">
        <v>2.1566999999999998</v>
      </c>
      <c r="F263">
        <v>2.1566999999999998</v>
      </c>
      <c r="G263">
        <v>2.1566999999999998</v>
      </c>
      <c r="H263">
        <v>2.1566999999999998</v>
      </c>
      <c r="I263">
        <v>2.1566999999999998</v>
      </c>
      <c r="J263">
        <v>2.1566999999999998</v>
      </c>
      <c r="L263">
        <f t="shared" si="3"/>
        <v>2156.6999999999998</v>
      </c>
      <c r="M263">
        <f t="shared" si="2"/>
        <v>2156.6999999999998</v>
      </c>
      <c r="N263">
        <f t="shared" si="2"/>
        <v>2156.6999999999998</v>
      </c>
      <c r="O263">
        <f t="shared" si="2"/>
        <v>2156.6999999999998</v>
      </c>
      <c r="P263">
        <f t="shared" si="2"/>
        <v>2156.6999999999998</v>
      </c>
      <c r="Q263">
        <f t="shared" si="2"/>
        <v>2156.6999999999998</v>
      </c>
      <c r="R263">
        <f t="shared" si="2"/>
        <v>2156.6999999999998</v>
      </c>
      <c r="S263">
        <f t="shared" si="2"/>
        <v>2156.6999999999998</v>
      </c>
      <c r="T263">
        <f t="shared" si="2"/>
        <v>2156.6999999999998</v>
      </c>
    </row>
    <row r="264" spans="1:20" x14ac:dyDescent="0.4">
      <c r="A264">
        <v>2025</v>
      </c>
      <c r="B264">
        <v>2.4</v>
      </c>
      <c r="C264">
        <v>2.4</v>
      </c>
      <c r="D264">
        <v>2.4</v>
      </c>
      <c r="E264">
        <v>2.4</v>
      </c>
      <c r="F264">
        <v>2.4</v>
      </c>
      <c r="G264">
        <v>2.4</v>
      </c>
      <c r="H264">
        <v>2.4</v>
      </c>
      <c r="I264">
        <v>2.4</v>
      </c>
      <c r="J264">
        <v>2.4</v>
      </c>
      <c r="L264">
        <f t="shared" si="3"/>
        <v>2400</v>
      </c>
      <c r="M264">
        <f t="shared" si="2"/>
        <v>2400</v>
      </c>
      <c r="N264">
        <f t="shared" si="2"/>
        <v>2400</v>
      </c>
      <c r="O264">
        <f t="shared" si="2"/>
        <v>2400</v>
      </c>
      <c r="P264">
        <f t="shared" si="2"/>
        <v>2400</v>
      </c>
      <c r="Q264">
        <f t="shared" si="2"/>
        <v>2400</v>
      </c>
      <c r="R264">
        <f t="shared" si="2"/>
        <v>2400</v>
      </c>
      <c r="S264">
        <f t="shared" si="2"/>
        <v>2400</v>
      </c>
      <c r="T264">
        <f t="shared" si="2"/>
        <v>2400</v>
      </c>
    </row>
    <row r="265" spans="1:20" x14ac:dyDescent="0.4">
      <c r="A265">
        <v>2026</v>
      </c>
      <c r="B265">
        <v>2.4</v>
      </c>
      <c r="C265">
        <v>2.4</v>
      </c>
      <c r="D265">
        <v>2.4</v>
      </c>
      <c r="E265">
        <v>2.4</v>
      </c>
      <c r="F265">
        <v>2.4</v>
      </c>
      <c r="G265">
        <v>2.4</v>
      </c>
      <c r="H265">
        <v>2.4</v>
      </c>
      <c r="I265">
        <v>2.4</v>
      </c>
      <c r="J265">
        <v>2.4</v>
      </c>
      <c r="L265">
        <f t="shared" si="3"/>
        <v>2400</v>
      </c>
      <c r="M265">
        <f t="shared" si="2"/>
        <v>2400</v>
      </c>
      <c r="N265">
        <f t="shared" si="2"/>
        <v>2400</v>
      </c>
      <c r="O265">
        <f t="shared" si="2"/>
        <v>2400</v>
      </c>
      <c r="P265">
        <f t="shared" si="2"/>
        <v>2400</v>
      </c>
      <c r="Q265">
        <f t="shared" si="2"/>
        <v>2400</v>
      </c>
      <c r="R265">
        <f t="shared" si="2"/>
        <v>2400</v>
      </c>
      <c r="S265">
        <f t="shared" si="2"/>
        <v>2400</v>
      </c>
      <c r="T265">
        <f t="shared" si="2"/>
        <v>2400</v>
      </c>
    </row>
    <row r="266" spans="1:20" x14ac:dyDescent="0.4">
      <c r="A266">
        <v>2027</v>
      </c>
      <c r="B266">
        <v>2.4</v>
      </c>
      <c r="C266">
        <v>2.4</v>
      </c>
      <c r="D266">
        <v>2.4</v>
      </c>
      <c r="E266">
        <v>2.4</v>
      </c>
      <c r="F266">
        <v>2.4</v>
      </c>
      <c r="G266">
        <v>2.4</v>
      </c>
      <c r="H266">
        <v>2.4</v>
      </c>
      <c r="I266">
        <v>2.4</v>
      </c>
      <c r="J266">
        <v>2.4</v>
      </c>
      <c r="L266">
        <f t="shared" si="3"/>
        <v>2400</v>
      </c>
      <c r="M266">
        <f t="shared" si="2"/>
        <v>2400</v>
      </c>
      <c r="N266">
        <f t="shared" si="2"/>
        <v>2400</v>
      </c>
      <c r="O266">
        <f t="shared" si="2"/>
        <v>2400</v>
      </c>
      <c r="P266">
        <f t="shared" si="2"/>
        <v>2400</v>
      </c>
      <c r="Q266">
        <f t="shared" si="2"/>
        <v>2400</v>
      </c>
      <c r="R266">
        <f t="shared" si="2"/>
        <v>2400</v>
      </c>
      <c r="S266">
        <f t="shared" si="2"/>
        <v>2400</v>
      </c>
      <c r="T266">
        <f t="shared" si="2"/>
        <v>2400</v>
      </c>
    </row>
    <row r="267" spans="1:20" x14ac:dyDescent="0.4">
      <c r="A267">
        <v>2028</v>
      </c>
      <c r="B267">
        <v>2.2999999999999998</v>
      </c>
      <c r="C267">
        <v>2.2999999999999998</v>
      </c>
      <c r="D267">
        <v>2.2999999999999998</v>
      </c>
      <c r="E267">
        <v>2.2999999999999998</v>
      </c>
      <c r="F267">
        <v>2.2999999999999998</v>
      </c>
      <c r="G267">
        <v>2.2999999999999998</v>
      </c>
      <c r="H267">
        <v>2.2999999999999998</v>
      </c>
      <c r="I267">
        <v>2.2999999999999998</v>
      </c>
      <c r="J267">
        <v>2.2999999999999998</v>
      </c>
      <c r="L267">
        <f t="shared" si="3"/>
        <v>2300</v>
      </c>
      <c r="M267">
        <f t="shared" si="2"/>
        <v>2300</v>
      </c>
      <c r="N267">
        <f t="shared" si="2"/>
        <v>2300</v>
      </c>
      <c r="O267">
        <f t="shared" si="2"/>
        <v>2300</v>
      </c>
      <c r="P267">
        <f t="shared" si="2"/>
        <v>2300</v>
      </c>
      <c r="Q267">
        <f t="shared" si="2"/>
        <v>2300</v>
      </c>
      <c r="R267">
        <f t="shared" si="2"/>
        <v>2300</v>
      </c>
      <c r="S267">
        <f t="shared" si="2"/>
        <v>2300</v>
      </c>
      <c r="T267">
        <f t="shared" si="2"/>
        <v>2300</v>
      </c>
    </row>
    <row r="268" spans="1:20" x14ac:dyDescent="0.4">
      <c r="A268">
        <v>2029</v>
      </c>
      <c r="B268">
        <v>2.2999999999999998</v>
      </c>
      <c r="C268">
        <v>2.2999999999999998</v>
      </c>
      <c r="D268">
        <v>2.2999999999999998</v>
      </c>
      <c r="E268">
        <v>2.2999999999999998</v>
      </c>
      <c r="F268">
        <v>2.2999999999999998</v>
      </c>
      <c r="G268">
        <v>2.2999999999999998</v>
      </c>
      <c r="H268">
        <v>2.2999999999999998</v>
      </c>
      <c r="I268">
        <v>2.2999999999999998</v>
      </c>
      <c r="J268">
        <v>2.2999999999999998</v>
      </c>
      <c r="L268">
        <f t="shared" si="3"/>
        <v>2300</v>
      </c>
      <c r="M268">
        <f t="shared" si="2"/>
        <v>2300</v>
      </c>
      <c r="N268">
        <f t="shared" si="2"/>
        <v>2300</v>
      </c>
      <c r="O268">
        <f t="shared" si="2"/>
        <v>2300</v>
      </c>
      <c r="P268">
        <f t="shared" si="2"/>
        <v>2300</v>
      </c>
      <c r="Q268">
        <f t="shared" si="2"/>
        <v>2300</v>
      </c>
      <c r="R268">
        <f t="shared" si="2"/>
        <v>2300</v>
      </c>
      <c r="S268">
        <f t="shared" si="2"/>
        <v>2300</v>
      </c>
      <c r="T268">
        <f t="shared" si="2"/>
        <v>2300</v>
      </c>
    </row>
    <row r="269" spans="1:20" x14ac:dyDescent="0.4">
      <c r="A269">
        <v>2030</v>
      </c>
      <c r="B269">
        <v>2.2999999999999998</v>
      </c>
      <c r="C269">
        <v>2.2999999999999998</v>
      </c>
      <c r="D269">
        <v>2.2999999999999998</v>
      </c>
      <c r="E269">
        <v>2.2999999999999998</v>
      </c>
      <c r="F269">
        <v>2.2999999999999998</v>
      </c>
      <c r="G269">
        <v>2.2999999999999998</v>
      </c>
      <c r="H269">
        <v>2.2999999999999998</v>
      </c>
      <c r="I269">
        <v>2.2999999999999998</v>
      </c>
      <c r="J269">
        <v>2.2999999999999998</v>
      </c>
      <c r="L269">
        <f t="shared" si="3"/>
        <v>2300</v>
      </c>
      <c r="M269">
        <f t="shared" si="2"/>
        <v>2300</v>
      </c>
      <c r="N269">
        <f t="shared" si="2"/>
        <v>2300</v>
      </c>
      <c r="O269">
        <f t="shared" si="2"/>
        <v>2300</v>
      </c>
      <c r="P269">
        <f t="shared" si="2"/>
        <v>2300</v>
      </c>
      <c r="Q269">
        <f t="shared" si="2"/>
        <v>2300</v>
      </c>
      <c r="R269">
        <f t="shared" si="2"/>
        <v>2300</v>
      </c>
      <c r="S269">
        <f t="shared" si="2"/>
        <v>2300</v>
      </c>
      <c r="T269">
        <f t="shared" si="2"/>
        <v>2300</v>
      </c>
    </row>
    <row r="270" spans="1:20" x14ac:dyDescent="0.4">
      <c r="A270">
        <v>2031</v>
      </c>
      <c r="B270">
        <v>2.2999999999999998</v>
      </c>
      <c r="C270">
        <v>2.2999999999999998</v>
      </c>
      <c r="D270">
        <v>2.2999999999999998</v>
      </c>
      <c r="E270">
        <v>2.2999999999999998</v>
      </c>
      <c r="F270">
        <v>2.2999999999999998</v>
      </c>
      <c r="G270">
        <v>2.2999999999999998</v>
      </c>
      <c r="H270">
        <v>2.2999999999999998</v>
      </c>
      <c r="I270">
        <v>2.2999999999999998</v>
      </c>
      <c r="J270">
        <v>2.2999999999999998</v>
      </c>
      <c r="L270">
        <f t="shared" si="3"/>
        <v>2300</v>
      </c>
      <c r="M270">
        <f t="shared" si="2"/>
        <v>2300</v>
      </c>
      <c r="N270">
        <f t="shared" si="2"/>
        <v>2300</v>
      </c>
      <c r="O270">
        <f t="shared" si="2"/>
        <v>2300</v>
      </c>
      <c r="P270">
        <f t="shared" si="2"/>
        <v>2300</v>
      </c>
      <c r="Q270">
        <f t="shared" si="2"/>
        <v>2300</v>
      </c>
      <c r="R270">
        <f t="shared" si="2"/>
        <v>2300</v>
      </c>
      <c r="S270">
        <f t="shared" si="2"/>
        <v>2300</v>
      </c>
      <c r="T270">
        <f t="shared" si="2"/>
        <v>2300</v>
      </c>
    </row>
    <row r="271" spans="1:20" x14ac:dyDescent="0.4">
      <c r="A271">
        <v>2032</v>
      </c>
      <c r="B271">
        <v>2.2000000000000002</v>
      </c>
      <c r="C271">
        <v>2.2000000000000002</v>
      </c>
      <c r="D271">
        <v>2.2000000000000002</v>
      </c>
      <c r="E271">
        <v>2.2000000000000002</v>
      </c>
      <c r="F271">
        <v>2.2000000000000002</v>
      </c>
      <c r="G271">
        <v>2.2000000000000002</v>
      </c>
      <c r="H271">
        <v>2.2000000000000002</v>
      </c>
      <c r="I271">
        <v>2.2000000000000002</v>
      </c>
      <c r="J271">
        <v>2.2000000000000002</v>
      </c>
      <c r="L271">
        <f t="shared" si="3"/>
        <v>2200</v>
      </c>
      <c r="M271">
        <f t="shared" si="2"/>
        <v>2200</v>
      </c>
      <c r="N271">
        <f t="shared" si="2"/>
        <v>2200</v>
      </c>
      <c r="O271">
        <f t="shared" si="2"/>
        <v>2200</v>
      </c>
      <c r="P271">
        <f t="shared" si="2"/>
        <v>2200</v>
      </c>
      <c r="Q271">
        <f t="shared" si="2"/>
        <v>2200</v>
      </c>
      <c r="R271">
        <f t="shared" si="2"/>
        <v>2200</v>
      </c>
      <c r="S271">
        <f t="shared" si="2"/>
        <v>2200</v>
      </c>
      <c r="T271">
        <f t="shared" si="2"/>
        <v>2200</v>
      </c>
    </row>
    <row r="272" spans="1:20" x14ac:dyDescent="0.4">
      <c r="A272">
        <v>2033</v>
      </c>
      <c r="B272">
        <v>2.2000000000000002</v>
      </c>
      <c r="C272">
        <v>2.2000000000000002</v>
      </c>
      <c r="D272">
        <v>2.2000000000000002</v>
      </c>
      <c r="E272">
        <v>2.2000000000000002</v>
      </c>
      <c r="F272">
        <v>2.2000000000000002</v>
      </c>
      <c r="G272">
        <v>2.2000000000000002</v>
      </c>
      <c r="H272">
        <v>2.2000000000000002</v>
      </c>
      <c r="I272">
        <v>2.2000000000000002</v>
      </c>
      <c r="J272">
        <v>2.2000000000000002</v>
      </c>
      <c r="L272">
        <f t="shared" si="3"/>
        <v>2200</v>
      </c>
      <c r="M272">
        <f t="shared" si="2"/>
        <v>2200</v>
      </c>
      <c r="N272">
        <f t="shared" si="2"/>
        <v>2200</v>
      </c>
      <c r="O272">
        <f t="shared" si="2"/>
        <v>2200</v>
      </c>
      <c r="P272">
        <f t="shared" si="2"/>
        <v>2200</v>
      </c>
      <c r="Q272">
        <f t="shared" si="2"/>
        <v>2200</v>
      </c>
      <c r="R272">
        <f t="shared" si="2"/>
        <v>2200</v>
      </c>
      <c r="S272">
        <f t="shared" si="2"/>
        <v>2200</v>
      </c>
      <c r="T272">
        <f t="shared" si="2"/>
        <v>2200</v>
      </c>
    </row>
    <row r="273" spans="1:20" x14ac:dyDescent="0.4">
      <c r="A273">
        <v>2034</v>
      </c>
      <c r="B273">
        <v>2.2000000000000002</v>
      </c>
      <c r="C273">
        <v>2.2000000000000002</v>
      </c>
      <c r="D273">
        <v>2.2000000000000002</v>
      </c>
      <c r="E273">
        <v>2.2000000000000002</v>
      </c>
      <c r="F273">
        <v>2.2000000000000002</v>
      </c>
      <c r="G273">
        <v>2.2000000000000002</v>
      </c>
      <c r="H273">
        <v>2.2000000000000002</v>
      </c>
      <c r="I273">
        <v>2.2000000000000002</v>
      </c>
      <c r="J273">
        <v>2.2000000000000002</v>
      </c>
      <c r="L273">
        <f t="shared" si="3"/>
        <v>2200</v>
      </c>
      <c r="M273">
        <f t="shared" si="2"/>
        <v>2200</v>
      </c>
      <c r="N273">
        <f t="shared" si="2"/>
        <v>2200</v>
      </c>
      <c r="O273">
        <f t="shared" si="2"/>
        <v>2200</v>
      </c>
      <c r="P273">
        <f t="shared" si="2"/>
        <v>2200</v>
      </c>
      <c r="Q273">
        <f t="shared" si="2"/>
        <v>2200</v>
      </c>
      <c r="R273">
        <f t="shared" si="2"/>
        <v>2200</v>
      </c>
      <c r="S273">
        <f t="shared" si="2"/>
        <v>2200</v>
      </c>
      <c r="T273">
        <f t="shared" si="2"/>
        <v>2200</v>
      </c>
    </row>
    <row r="275" spans="1:20" x14ac:dyDescent="0.4">
      <c r="A275" t="s">
        <v>26</v>
      </c>
      <c r="B275" t="s">
        <v>25</v>
      </c>
      <c r="C275" t="s">
        <v>24</v>
      </c>
    </row>
    <row r="277" spans="1:20" x14ac:dyDescent="0.4">
      <c r="A277" t="s">
        <v>22</v>
      </c>
      <c r="B277" t="s">
        <v>34</v>
      </c>
      <c r="C277" t="s">
        <v>33</v>
      </c>
    </row>
    <row r="278" spans="1:20" x14ac:dyDescent="0.4">
      <c r="A278">
        <v>2021</v>
      </c>
      <c r="B278">
        <v>0.52710000000000001</v>
      </c>
      <c r="C278">
        <v>9.4700000000000006E-2</v>
      </c>
    </row>
    <row r="279" spans="1:20" x14ac:dyDescent="0.4">
      <c r="A279">
        <v>2022</v>
      </c>
      <c r="B279">
        <v>0.37269999999999998</v>
      </c>
      <c r="C279">
        <v>7.4899999999999994E-2</v>
      </c>
    </row>
    <row r="280" spans="1:20" x14ac:dyDescent="0.4">
      <c r="A280">
        <v>2023</v>
      </c>
      <c r="B280">
        <v>0.38140000000000002</v>
      </c>
      <c r="C280">
        <v>9.11E-2</v>
      </c>
    </row>
    <row r="281" spans="1:20" x14ac:dyDescent="0.4">
      <c r="A281">
        <v>2024</v>
      </c>
      <c r="B281">
        <v>0.42370000000000002</v>
      </c>
      <c r="C281">
        <v>0.1196</v>
      </c>
    </row>
    <row r="282" spans="1:20" x14ac:dyDescent="0.4">
      <c r="A282">
        <v>2025</v>
      </c>
      <c r="B282">
        <v>0.48509999999999998</v>
      </c>
      <c r="C282">
        <v>0.17180000000000001</v>
      </c>
    </row>
    <row r="283" spans="1:20" x14ac:dyDescent="0.4">
      <c r="A283">
        <v>2026</v>
      </c>
      <c r="B283">
        <v>0.53390000000000004</v>
      </c>
      <c r="C283">
        <v>0.23760000000000001</v>
      </c>
    </row>
    <row r="284" spans="1:20" x14ac:dyDescent="0.4">
      <c r="A284">
        <v>2027</v>
      </c>
      <c r="B284">
        <v>0.5827</v>
      </c>
      <c r="C284">
        <v>0.32150000000000001</v>
      </c>
    </row>
    <row r="285" spans="1:20" x14ac:dyDescent="0.4">
      <c r="A285">
        <v>2028</v>
      </c>
      <c r="B285">
        <v>0.58620000000000005</v>
      </c>
      <c r="C285">
        <v>0.36780000000000002</v>
      </c>
    </row>
    <row r="286" spans="1:20" x14ac:dyDescent="0.4">
      <c r="A286">
        <v>2029</v>
      </c>
      <c r="B286">
        <v>0.61050000000000004</v>
      </c>
      <c r="C286">
        <v>0.41560000000000002</v>
      </c>
    </row>
    <row r="287" spans="1:20" x14ac:dyDescent="0.4">
      <c r="A287">
        <v>2030</v>
      </c>
      <c r="B287">
        <v>0.63270000000000004</v>
      </c>
      <c r="C287">
        <v>0.4592</v>
      </c>
    </row>
    <row r="288" spans="1:20" x14ac:dyDescent="0.4">
      <c r="A288">
        <v>2031</v>
      </c>
      <c r="B288">
        <v>0.65229999999999999</v>
      </c>
      <c r="C288">
        <v>0.49020000000000002</v>
      </c>
    </row>
    <row r="289" spans="1:21" x14ac:dyDescent="0.4">
      <c r="A289">
        <v>2032</v>
      </c>
      <c r="B289">
        <v>0.63229999999999997</v>
      </c>
      <c r="C289">
        <v>0.48830000000000001</v>
      </c>
    </row>
    <row r="290" spans="1:21" x14ac:dyDescent="0.4">
      <c r="A290">
        <v>2033</v>
      </c>
      <c r="B290">
        <v>0.63100000000000001</v>
      </c>
      <c r="C290">
        <v>0.4904</v>
      </c>
    </row>
    <row r="291" spans="1:21" x14ac:dyDescent="0.4">
      <c r="A291">
        <v>2034</v>
      </c>
      <c r="B291">
        <v>0.63009999999999999</v>
      </c>
      <c r="C291">
        <v>0.49590000000000001</v>
      </c>
    </row>
    <row r="293" spans="1:21" x14ac:dyDescent="0.4">
      <c r="A293" t="s">
        <v>26</v>
      </c>
      <c r="B293" t="s">
        <v>25</v>
      </c>
      <c r="C293" t="s">
        <v>24</v>
      </c>
      <c r="D293" t="s">
        <v>32</v>
      </c>
    </row>
    <row r="295" spans="1:21" x14ac:dyDescent="0.4">
      <c r="A295" t="s">
        <v>22</v>
      </c>
      <c r="B295" s="2">
        <v>0.01</v>
      </c>
      <c r="C295" s="2">
        <v>0.05</v>
      </c>
      <c r="D295" s="2">
        <v>0.1</v>
      </c>
      <c r="E295" s="2">
        <v>0.25</v>
      </c>
      <c r="F295" s="2">
        <v>0.5</v>
      </c>
      <c r="G295" s="2">
        <v>0.75</v>
      </c>
      <c r="H295" s="2">
        <v>0.9</v>
      </c>
      <c r="I295" s="2">
        <v>0.95</v>
      </c>
      <c r="J295" s="2">
        <v>0.99</v>
      </c>
      <c r="L295" t="s">
        <v>22</v>
      </c>
      <c r="M295" s="2">
        <v>0.01</v>
      </c>
      <c r="N295" s="2">
        <v>0.05</v>
      </c>
      <c r="O295" s="2">
        <v>0.1</v>
      </c>
      <c r="P295" s="2">
        <v>0.25</v>
      </c>
      <c r="Q295" s="2">
        <v>0.5</v>
      </c>
      <c r="R295" s="2">
        <v>0.75</v>
      </c>
      <c r="S295" s="2">
        <v>0.9</v>
      </c>
      <c r="T295" s="2">
        <v>0.95</v>
      </c>
      <c r="U295" s="2">
        <v>0.99</v>
      </c>
    </row>
    <row r="296" spans="1:21" x14ac:dyDescent="0.4">
      <c r="A296">
        <v>2021</v>
      </c>
      <c r="B296">
        <v>0.28320000000000001</v>
      </c>
      <c r="C296">
        <v>0.38669999999999999</v>
      </c>
      <c r="D296">
        <v>0.41810000000000003</v>
      </c>
      <c r="E296">
        <v>0.4637</v>
      </c>
      <c r="F296">
        <v>0.52470000000000006</v>
      </c>
      <c r="G296">
        <v>0.58340000000000003</v>
      </c>
      <c r="H296">
        <v>0.63759999999999994</v>
      </c>
      <c r="I296">
        <v>0.67179999999999995</v>
      </c>
      <c r="J296">
        <v>0.8276</v>
      </c>
      <c r="L296">
        <v>2021</v>
      </c>
      <c r="M296" s="14">
        <f>B296*0.63</f>
        <v>0.17841600000000002</v>
      </c>
      <c r="N296" s="14">
        <f t="shared" ref="N296:U309" si="4">C296*0.63</f>
        <v>0.243621</v>
      </c>
      <c r="O296" s="14">
        <f t="shared" si="4"/>
        <v>0.263403</v>
      </c>
      <c r="P296" s="14">
        <f t="shared" si="4"/>
        <v>0.29213100000000003</v>
      </c>
      <c r="Q296" s="14">
        <f t="shared" si="4"/>
        <v>0.33056100000000005</v>
      </c>
      <c r="R296" s="14">
        <f t="shared" si="4"/>
        <v>0.36754200000000004</v>
      </c>
      <c r="S296" s="14">
        <f t="shared" si="4"/>
        <v>0.40168799999999999</v>
      </c>
      <c r="T296" s="14">
        <f t="shared" si="4"/>
        <v>0.423234</v>
      </c>
      <c r="U296" s="14">
        <f t="shared" si="4"/>
        <v>0.52138799999999996</v>
      </c>
    </row>
    <row r="297" spans="1:21" x14ac:dyDescent="0.4">
      <c r="A297">
        <v>2022</v>
      </c>
      <c r="B297">
        <v>0.2248</v>
      </c>
      <c r="C297">
        <v>0.2606</v>
      </c>
      <c r="D297">
        <v>0.28050000000000003</v>
      </c>
      <c r="E297">
        <v>0.3251</v>
      </c>
      <c r="F297">
        <v>0.36380000000000001</v>
      </c>
      <c r="G297">
        <v>0.41439999999999999</v>
      </c>
      <c r="H297">
        <v>0.47310000000000002</v>
      </c>
      <c r="I297">
        <v>0.51</v>
      </c>
      <c r="J297">
        <v>0.58609999999999995</v>
      </c>
      <c r="L297">
        <v>2022</v>
      </c>
      <c r="M297" s="14">
        <f t="shared" ref="M297:M309" si="5">B297*0.63</f>
        <v>0.141624</v>
      </c>
      <c r="N297" s="14">
        <f t="shared" si="4"/>
        <v>0.16417799999999999</v>
      </c>
      <c r="O297" s="14">
        <f t="shared" si="4"/>
        <v>0.17671500000000001</v>
      </c>
      <c r="P297" s="14">
        <f t="shared" si="4"/>
        <v>0.204813</v>
      </c>
      <c r="Q297" s="14">
        <f t="shared" si="4"/>
        <v>0.22919400000000001</v>
      </c>
      <c r="R297" s="14">
        <f t="shared" si="4"/>
        <v>0.26107199999999997</v>
      </c>
      <c r="S297" s="14">
        <f t="shared" si="4"/>
        <v>0.29805300000000001</v>
      </c>
      <c r="T297" s="14">
        <f t="shared" si="4"/>
        <v>0.32130000000000003</v>
      </c>
      <c r="U297" s="14">
        <f t="shared" si="4"/>
        <v>0.36924299999999999</v>
      </c>
    </row>
    <row r="298" spans="1:21" x14ac:dyDescent="0.4">
      <c r="A298">
        <v>2023</v>
      </c>
      <c r="B298">
        <v>0.22339999999999999</v>
      </c>
      <c r="C298">
        <v>0.25519999999999998</v>
      </c>
      <c r="D298">
        <v>0.27660000000000001</v>
      </c>
      <c r="E298">
        <v>0.31790000000000002</v>
      </c>
      <c r="F298">
        <v>0.36899999999999999</v>
      </c>
      <c r="G298">
        <v>0.432</v>
      </c>
      <c r="H298">
        <v>0.50329999999999997</v>
      </c>
      <c r="I298">
        <v>0.5494</v>
      </c>
      <c r="J298">
        <v>0.64829999999999999</v>
      </c>
      <c r="L298">
        <v>2023</v>
      </c>
      <c r="M298" s="14">
        <f t="shared" si="5"/>
        <v>0.14074200000000001</v>
      </c>
      <c r="N298" s="14">
        <f t="shared" si="4"/>
        <v>0.160776</v>
      </c>
      <c r="O298" s="14">
        <f t="shared" si="4"/>
        <v>0.174258</v>
      </c>
      <c r="P298" s="14">
        <f t="shared" si="4"/>
        <v>0.20027700000000001</v>
      </c>
      <c r="Q298" s="14">
        <f t="shared" si="4"/>
        <v>0.23247000000000001</v>
      </c>
      <c r="R298" s="14">
        <f t="shared" si="4"/>
        <v>0.27216000000000001</v>
      </c>
      <c r="S298" s="14">
        <f t="shared" si="4"/>
        <v>0.317079</v>
      </c>
      <c r="T298" s="14">
        <f t="shared" si="4"/>
        <v>0.34612199999999999</v>
      </c>
      <c r="U298" s="14">
        <f t="shared" si="4"/>
        <v>0.40842899999999999</v>
      </c>
    </row>
    <row r="299" spans="1:21" x14ac:dyDescent="0.4">
      <c r="A299">
        <v>2024</v>
      </c>
      <c r="B299">
        <v>0.2329</v>
      </c>
      <c r="C299">
        <v>0.2712</v>
      </c>
      <c r="D299">
        <v>0.29420000000000002</v>
      </c>
      <c r="E299">
        <v>0.33979999999999999</v>
      </c>
      <c r="F299">
        <v>0.40310000000000001</v>
      </c>
      <c r="G299">
        <v>0.48520000000000002</v>
      </c>
      <c r="H299">
        <v>0.57950000000000002</v>
      </c>
      <c r="I299">
        <v>0.64770000000000005</v>
      </c>
      <c r="J299">
        <v>0.79990000000000006</v>
      </c>
      <c r="L299">
        <v>2024</v>
      </c>
      <c r="M299" s="14">
        <f t="shared" si="5"/>
        <v>0.146727</v>
      </c>
      <c r="N299" s="14">
        <f t="shared" si="4"/>
        <v>0.17085600000000001</v>
      </c>
      <c r="O299" s="14">
        <f t="shared" si="4"/>
        <v>0.18534600000000001</v>
      </c>
      <c r="P299" s="14">
        <f t="shared" si="4"/>
        <v>0.21407399999999999</v>
      </c>
      <c r="Q299" s="14">
        <f t="shared" si="4"/>
        <v>0.25395299999999998</v>
      </c>
      <c r="R299" s="14">
        <f t="shared" si="4"/>
        <v>0.305676</v>
      </c>
      <c r="S299" s="14">
        <f t="shared" si="4"/>
        <v>0.36508499999999999</v>
      </c>
      <c r="T299" s="14">
        <f t="shared" si="4"/>
        <v>0.40805100000000005</v>
      </c>
      <c r="U299" s="14">
        <f t="shared" si="4"/>
        <v>0.50393700000000008</v>
      </c>
    </row>
    <row r="300" spans="1:21" x14ac:dyDescent="0.4">
      <c r="A300">
        <v>2025</v>
      </c>
      <c r="B300">
        <v>0.24149999999999999</v>
      </c>
      <c r="C300">
        <v>0.28739999999999999</v>
      </c>
      <c r="D300">
        <v>0.31490000000000001</v>
      </c>
      <c r="E300">
        <v>0.36930000000000002</v>
      </c>
      <c r="F300">
        <v>0.44940000000000002</v>
      </c>
      <c r="G300">
        <v>0.55930000000000002</v>
      </c>
      <c r="H300">
        <v>0.69620000000000004</v>
      </c>
      <c r="I300">
        <v>0.80200000000000005</v>
      </c>
      <c r="J300">
        <v>1.0719000000000001</v>
      </c>
      <c r="L300">
        <v>2025</v>
      </c>
      <c r="M300" s="14">
        <f t="shared" si="5"/>
        <v>0.152145</v>
      </c>
      <c r="N300" s="14">
        <f t="shared" si="4"/>
        <v>0.181062</v>
      </c>
      <c r="O300" s="14">
        <f t="shared" si="4"/>
        <v>0.19838700000000001</v>
      </c>
      <c r="P300" s="14">
        <f t="shared" si="4"/>
        <v>0.232659</v>
      </c>
      <c r="Q300" s="14">
        <f t="shared" si="4"/>
        <v>0.28312200000000004</v>
      </c>
      <c r="R300" s="14">
        <f t="shared" si="4"/>
        <v>0.35235900000000003</v>
      </c>
      <c r="S300" s="14">
        <f t="shared" si="4"/>
        <v>0.43860600000000005</v>
      </c>
      <c r="T300" s="14">
        <f t="shared" si="4"/>
        <v>0.50526000000000004</v>
      </c>
      <c r="U300" s="14">
        <f t="shared" si="4"/>
        <v>0.67529700000000004</v>
      </c>
    </row>
    <row r="301" spans="1:21" x14ac:dyDescent="0.4">
      <c r="A301">
        <v>2026</v>
      </c>
      <c r="B301">
        <v>0.23949999999999999</v>
      </c>
      <c r="C301">
        <v>0.29399999999999998</v>
      </c>
      <c r="D301">
        <v>0.32469999999999999</v>
      </c>
      <c r="E301">
        <v>0.38740000000000002</v>
      </c>
      <c r="F301">
        <v>0.47989999999999999</v>
      </c>
      <c r="G301">
        <v>0.61509999999999998</v>
      </c>
      <c r="H301">
        <v>0.79620000000000002</v>
      </c>
      <c r="I301">
        <v>0.94989999999999997</v>
      </c>
      <c r="J301">
        <v>1.3775999999999999</v>
      </c>
      <c r="L301">
        <v>2026</v>
      </c>
      <c r="M301" s="14">
        <f t="shared" si="5"/>
        <v>0.15088499999999999</v>
      </c>
      <c r="N301" s="14">
        <f t="shared" si="4"/>
        <v>0.18522</v>
      </c>
      <c r="O301" s="14">
        <f t="shared" si="4"/>
        <v>0.20456099999999999</v>
      </c>
      <c r="P301" s="14">
        <f t="shared" si="4"/>
        <v>0.24406200000000003</v>
      </c>
      <c r="Q301" s="14">
        <f t="shared" si="4"/>
        <v>0.30233700000000002</v>
      </c>
      <c r="R301" s="14">
        <f t="shared" si="4"/>
        <v>0.387513</v>
      </c>
      <c r="S301" s="14">
        <f t="shared" si="4"/>
        <v>0.501606</v>
      </c>
      <c r="T301" s="14">
        <f t="shared" si="4"/>
        <v>0.598437</v>
      </c>
      <c r="U301" s="14">
        <f t="shared" si="4"/>
        <v>0.86788799999999999</v>
      </c>
    </row>
    <row r="302" spans="1:21" x14ac:dyDescent="0.4">
      <c r="A302">
        <v>2027</v>
      </c>
      <c r="B302">
        <v>0.24129999999999999</v>
      </c>
      <c r="C302">
        <v>0.3</v>
      </c>
      <c r="D302">
        <v>0.33460000000000001</v>
      </c>
      <c r="E302">
        <v>0.40310000000000001</v>
      </c>
      <c r="F302">
        <v>0.50829999999999997</v>
      </c>
      <c r="G302">
        <v>0.66639999999999999</v>
      </c>
      <c r="H302">
        <v>0.89070000000000005</v>
      </c>
      <c r="I302">
        <v>1.0962000000000001</v>
      </c>
      <c r="J302">
        <v>1.7505999999999999</v>
      </c>
      <c r="L302">
        <v>2027</v>
      </c>
      <c r="M302" s="14">
        <f t="shared" si="5"/>
        <v>0.15201899999999999</v>
      </c>
      <c r="N302" s="14">
        <f t="shared" si="4"/>
        <v>0.189</v>
      </c>
      <c r="O302" s="14">
        <f t="shared" si="4"/>
        <v>0.21079800000000001</v>
      </c>
      <c r="P302" s="14">
        <f t="shared" si="4"/>
        <v>0.25395299999999998</v>
      </c>
      <c r="Q302" s="14">
        <f t="shared" si="4"/>
        <v>0.32022899999999999</v>
      </c>
      <c r="R302" s="14">
        <f t="shared" si="4"/>
        <v>0.41983199999999998</v>
      </c>
      <c r="S302" s="14">
        <f t="shared" si="4"/>
        <v>0.561141</v>
      </c>
      <c r="T302" s="14">
        <f t="shared" si="4"/>
        <v>0.69060600000000005</v>
      </c>
      <c r="U302" s="14">
        <f t="shared" si="4"/>
        <v>1.102878</v>
      </c>
    </row>
    <row r="303" spans="1:21" x14ac:dyDescent="0.4">
      <c r="A303">
        <v>2028</v>
      </c>
      <c r="B303">
        <v>0.2319</v>
      </c>
      <c r="C303">
        <v>0.29039999999999999</v>
      </c>
      <c r="D303">
        <v>0.32529999999999998</v>
      </c>
      <c r="E303">
        <v>0.39369999999999999</v>
      </c>
      <c r="F303">
        <v>0.50080000000000002</v>
      </c>
      <c r="G303">
        <v>0.66539999999999999</v>
      </c>
      <c r="H303">
        <v>0.90800000000000003</v>
      </c>
      <c r="I303">
        <v>1.1311</v>
      </c>
      <c r="J303">
        <v>1.9036999999999999</v>
      </c>
      <c r="L303">
        <v>2028</v>
      </c>
      <c r="M303" s="14">
        <f t="shared" si="5"/>
        <v>0.146097</v>
      </c>
      <c r="N303" s="14">
        <f t="shared" si="4"/>
        <v>0.182952</v>
      </c>
      <c r="O303" s="14">
        <f t="shared" si="4"/>
        <v>0.20493899999999998</v>
      </c>
      <c r="P303" s="14">
        <f t="shared" si="4"/>
        <v>0.248031</v>
      </c>
      <c r="Q303" s="14">
        <f t="shared" si="4"/>
        <v>0.31550400000000001</v>
      </c>
      <c r="R303" s="14">
        <f t="shared" si="4"/>
        <v>0.41920200000000002</v>
      </c>
      <c r="S303" s="14">
        <f t="shared" si="4"/>
        <v>0.57203999999999999</v>
      </c>
      <c r="T303" s="14">
        <f t="shared" si="4"/>
        <v>0.71259300000000003</v>
      </c>
      <c r="U303" s="14">
        <f t="shared" si="4"/>
        <v>1.1993309999999999</v>
      </c>
    </row>
    <row r="304" spans="1:21" x14ac:dyDescent="0.4">
      <c r="A304">
        <v>2029</v>
      </c>
      <c r="B304">
        <v>0.23200000000000001</v>
      </c>
      <c r="C304">
        <v>0.2944</v>
      </c>
      <c r="D304">
        <v>0.3291</v>
      </c>
      <c r="E304">
        <v>0.40079999999999999</v>
      </c>
      <c r="F304">
        <v>0.51429999999999998</v>
      </c>
      <c r="G304">
        <v>0.69169999999999998</v>
      </c>
      <c r="H304">
        <v>0.95220000000000005</v>
      </c>
      <c r="I304">
        <v>1.2037</v>
      </c>
      <c r="J304">
        <v>2.0901000000000001</v>
      </c>
      <c r="L304">
        <v>2029</v>
      </c>
      <c r="M304" s="14">
        <f t="shared" si="5"/>
        <v>0.14616000000000001</v>
      </c>
      <c r="N304" s="14">
        <f t="shared" si="4"/>
        <v>0.185472</v>
      </c>
      <c r="O304" s="14">
        <f t="shared" si="4"/>
        <v>0.20733300000000002</v>
      </c>
      <c r="P304" s="14">
        <f t="shared" si="4"/>
        <v>0.25250400000000001</v>
      </c>
      <c r="Q304" s="14">
        <f t="shared" si="4"/>
        <v>0.32400899999999999</v>
      </c>
      <c r="R304" s="14">
        <f t="shared" si="4"/>
        <v>0.43577099999999996</v>
      </c>
      <c r="S304" s="14">
        <f t="shared" si="4"/>
        <v>0.59988600000000003</v>
      </c>
      <c r="T304" s="14">
        <f t="shared" si="4"/>
        <v>0.75833099999999998</v>
      </c>
      <c r="U304" s="14">
        <f t="shared" si="4"/>
        <v>1.3167630000000001</v>
      </c>
    </row>
    <row r="305" spans="1:21" x14ac:dyDescent="0.4">
      <c r="A305">
        <v>2030</v>
      </c>
      <c r="B305">
        <v>0.23499999999999999</v>
      </c>
      <c r="C305">
        <v>0.2974</v>
      </c>
      <c r="D305">
        <v>0.3332</v>
      </c>
      <c r="E305">
        <v>0.40679999999999999</v>
      </c>
      <c r="F305">
        <v>0.5252</v>
      </c>
      <c r="G305">
        <v>0.71340000000000003</v>
      </c>
      <c r="H305">
        <v>1.0016</v>
      </c>
      <c r="I305">
        <v>1.2710999999999999</v>
      </c>
      <c r="J305">
        <v>2.2892000000000001</v>
      </c>
      <c r="L305">
        <v>2030</v>
      </c>
      <c r="M305" s="14">
        <f t="shared" si="5"/>
        <v>0.14804999999999999</v>
      </c>
      <c r="N305" s="14">
        <f t="shared" si="4"/>
        <v>0.187362</v>
      </c>
      <c r="O305" s="14">
        <f t="shared" si="4"/>
        <v>0.20991599999999999</v>
      </c>
      <c r="P305" s="14">
        <f t="shared" si="4"/>
        <v>0.25628400000000001</v>
      </c>
      <c r="Q305" s="14">
        <f t="shared" si="4"/>
        <v>0.330876</v>
      </c>
      <c r="R305" s="14">
        <f t="shared" si="4"/>
        <v>0.44944200000000001</v>
      </c>
      <c r="S305" s="14">
        <f t="shared" si="4"/>
        <v>0.63100800000000001</v>
      </c>
      <c r="T305" s="14">
        <f t="shared" si="4"/>
        <v>0.80079299999999998</v>
      </c>
      <c r="U305" s="14">
        <f t="shared" si="4"/>
        <v>1.442196</v>
      </c>
    </row>
    <row r="306" spans="1:21" x14ac:dyDescent="0.4">
      <c r="A306">
        <v>2031</v>
      </c>
      <c r="B306">
        <v>0.23880000000000001</v>
      </c>
      <c r="C306">
        <v>0.29980000000000001</v>
      </c>
      <c r="D306">
        <v>0.33679999999999999</v>
      </c>
      <c r="E306">
        <v>0.41249999999999998</v>
      </c>
      <c r="F306">
        <v>0.53400000000000003</v>
      </c>
      <c r="G306">
        <v>0.73199999999999998</v>
      </c>
      <c r="H306">
        <v>1.0370999999999999</v>
      </c>
      <c r="I306">
        <v>1.3466</v>
      </c>
      <c r="J306">
        <v>2.4676999999999998</v>
      </c>
      <c r="L306">
        <v>2031</v>
      </c>
      <c r="M306" s="14">
        <f t="shared" si="5"/>
        <v>0.15044400000000002</v>
      </c>
      <c r="N306" s="14">
        <f t="shared" si="4"/>
        <v>0.18887400000000001</v>
      </c>
      <c r="O306" s="14">
        <f t="shared" si="4"/>
        <v>0.21218399999999998</v>
      </c>
      <c r="P306" s="14">
        <f t="shared" si="4"/>
        <v>0.25987499999999997</v>
      </c>
      <c r="Q306" s="14">
        <f t="shared" si="4"/>
        <v>0.33642</v>
      </c>
      <c r="R306" s="14">
        <f t="shared" si="4"/>
        <v>0.46116000000000001</v>
      </c>
      <c r="S306" s="14">
        <f t="shared" si="4"/>
        <v>0.65337299999999998</v>
      </c>
      <c r="T306" s="14">
        <f t="shared" si="4"/>
        <v>0.84835800000000006</v>
      </c>
      <c r="U306" s="14">
        <f t="shared" si="4"/>
        <v>1.5546509999999998</v>
      </c>
    </row>
    <row r="307" spans="1:21" x14ac:dyDescent="0.4">
      <c r="A307">
        <v>2032</v>
      </c>
      <c r="B307">
        <v>0.2286</v>
      </c>
      <c r="C307">
        <v>0.28810000000000002</v>
      </c>
      <c r="D307">
        <v>0.32319999999999999</v>
      </c>
      <c r="E307">
        <v>0.39650000000000002</v>
      </c>
      <c r="F307">
        <v>0.51459999999999995</v>
      </c>
      <c r="G307">
        <v>0.70630000000000004</v>
      </c>
      <c r="H307">
        <v>1.0119</v>
      </c>
      <c r="I307">
        <v>1.3076000000000001</v>
      </c>
      <c r="J307">
        <v>2.4784999999999999</v>
      </c>
      <c r="L307">
        <v>2032</v>
      </c>
      <c r="M307" s="14">
        <f t="shared" si="5"/>
        <v>0.14401800000000001</v>
      </c>
      <c r="N307" s="14">
        <f t="shared" si="4"/>
        <v>0.18150300000000003</v>
      </c>
      <c r="O307" s="14">
        <f t="shared" si="4"/>
        <v>0.20361599999999999</v>
      </c>
      <c r="P307" s="14">
        <f t="shared" si="4"/>
        <v>0.24979500000000002</v>
      </c>
      <c r="Q307" s="14">
        <f t="shared" si="4"/>
        <v>0.32419799999999999</v>
      </c>
      <c r="R307" s="14">
        <f t="shared" si="4"/>
        <v>0.444969</v>
      </c>
      <c r="S307" s="14">
        <f t="shared" si="4"/>
        <v>0.63749699999999998</v>
      </c>
      <c r="T307" s="14">
        <f t="shared" si="4"/>
        <v>0.82378800000000008</v>
      </c>
      <c r="U307" s="14">
        <f t="shared" si="4"/>
        <v>1.561455</v>
      </c>
    </row>
    <row r="308" spans="1:21" x14ac:dyDescent="0.4">
      <c r="A308">
        <v>2033</v>
      </c>
      <c r="B308">
        <v>0.2288</v>
      </c>
      <c r="C308">
        <v>0.28720000000000001</v>
      </c>
      <c r="D308">
        <v>0.32240000000000002</v>
      </c>
      <c r="E308">
        <v>0.39560000000000001</v>
      </c>
      <c r="F308">
        <v>0.51329999999999998</v>
      </c>
      <c r="G308">
        <v>0.7056</v>
      </c>
      <c r="H308">
        <v>1.0083</v>
      </c>
      <c r="I308">
        <v>1.3092999999999999</v>
      </c>
      <c r="J308">
        <v>2.4895</v>
      </c>
      <c r="L308">
        <v>2033</v>
      </c>
      <c r="M308" s="14">
        <f t="shared" si="5"/>
        <v>0.14414399999999999</v>
      </c>
      <c r="N308" s="14">
        <f t="shared" si="4"/>
        <v>0.18093600000000001</v>
      </c>
      <c r="O308" s="14">
        <f t="shared" si="4"/>
        <v>0.20311200000000001</v>
      </c>
      <c r="P308" s="14">
        <f t="shared" si="4"/>
        <v>0.24922800000000001</v>
      </c>
      <c r="Q308" s="14">
        <f t="shared" si="4"/>
        <v>0.32337899999999997</v>
      </c>
      <c r="R308" s="14">
        <f t="shared" si="4"/>
        <v>0.44452799999999998</v>
      </c>
      <c r="S308" s="14">
        <f t="shared" si="4"/>
        <v>0.63522900000000004</v>
      </c>
      <c r="T308" s="14">
        <f t="shared" si="4"/>
        <v>0.8248589999999999</v>
      </c>
      <c r="U308" s="14">
        <f t="shared" si="4"/>
        <v>1.5683850000000001</v>
      </c>
    </row>
    <row r="309" spans="1:21" x14ac:dyDescent="0.4">
      <c r="A309">
        <v>2034</v>
      </c>
      <c r="B309">
        <v>0.22700000000000001</v>
      </c>
      <c r="C309">
        <v>0.28610000000000002</v>
      </c>
      <c r="D309">
        <v>0.32079999999999997</v>
      </c>
      <c r="E309">
        <v>0.39439999999999997</v>
      </c>
      <c r="F309">
        <v>0.51200000000000001</v>
      </c>
      <c r="G309">
        <v>0.70350000000000001</v>
      </c>
      <c r="H309">
        <v>1.0029999999999999</v>
      </c>
      <c r="I309">
        <v>1.3010999999999999</v>
      </c>
      <c r="J309">
        <v>2.4573</v>
      </c>
      <c r="L309">
        <v>2034</v>
      </c>
      <c r="M309" s="14">
        <f t="shared" si="5"/>
        <v>0.14301</v>
      </c>
      <c r="N309" s="14">
        <f t="shared" si="4"/>
        <v>0.18024300000000001</v>
      </c>
      <c r="O309" s="14">
        <f t="shared" si="4"/>
        <v>0.20210399999999998</v>
      </c>
      <c r="P309" s="14">
        <f t="shared" si="4"/>
        <v>0.248472</v>
      </c>
      <c r="Q309" s="14">
        <f t="shared" si="4"/>
        <v>0.32256000000000001</v>
      </c>
      <c r="R309" s="14">
        <f t="shared" si="4"/>
        <v>0.44320500000000002</v>
      </c>
      <c r="S309" s="14">
        <f t="shared" si="4"/>
        <v>0.63188999999999995</v>
      </c>
      <c r="T309" s="14">
        <f t="shared" si="4"/>
        <v>0.819693</v>
      </c>
      <c r="U309" s="14">
        <f t="shared" si="4"/>
        <v>1.5480990000000001</v>
      </c>
    </row>
    <row r="311" spans="1:21" x14ac:dyDescent="0.4">
      <c r="A311" s="1">
        <v>45658</v>
      </c>
      <c r="B311" t="s">
        <v>3</v>
      </c>
      <c r="C311" t="s">
        <v>2</v>
      </c>
      <c r="D311" t="s">
        <v>1</v>
      </c>
      <c r="E311" t="s">
        <v>0</v>
      </c>
      <c r="F311" t="s">
        <v>31</v>
      </c>
      <c r="G311">
        <v>1000</v>
      </c>
      <c r="H311" t="s">
        <v>30</v>
      </c>
    </row>
    <row r="313" spans="1:21" x14ac:dyDescent="0.4">
      <c r="A313">
        <v>2021</v>
      </c>
    </row>
    <row r="315" spans="1:21" x14ac:dyDescent="0.4">
      <c r="A315" t="s">
        <v>0</v>
      </c>
      <c r="B315" s="2">
        <v>0.01</v>
      </c>
      <c r="C315" s="2">
        <v>0.05</v>
      </c>
      <c r="D315" s="2">
        <v>0.1</v>
      </c>
      <c r="E315" s="2">
        <v>0.25</v>
      </c>
      <c r="F315" s="2">
        <v>0.5</v>
      </c>
      <c r="G315" s="2">
        <v>0.75</v>
      </c>
      <c r="H315" s="2">
        <v>0.9</v>
      </c>
      <c r="I315" s="2">
        <v>0.95</v>
      </c>
      <c r="J315" s="2">
        <v>0.99</v>
      </c>
    </row>
    <row r="316" spans="1:21" x14ac:dyDescent="0.4">
      <c r="A316">
        <v>1</v>
      </c>
      <c r="B316">
        <v>140.23699999999999</v>
      </c>
      <c r="C316">
        <v>175.09</v>
      </c>
      <c r="D316">
        <v>184.83199999999999</v>
      </c>
      <c r="E316">
        <v>216.71299999999999</v>
      </c>
      <c r="F316">
        <v>261.14800000000002</v>
      </c>
      <c r="G316">
        <v>317.36900000000003</v>
      </c>
      <c r="H316">
        <v>385.62900000000002</v>
      </c>
      <c r="I316">
        <v>409.50799999999998</v>
      </c>
      <c r="J316">
        <v>464.92500000000001</v>
      </c>
    </row>
    <row r="317" spans="1:21" x14ac:dyDescent="0.4">
      <c r="A317">
        <v>2</v>
      </c>
      <c r="B317">
        <v>58.938899999999997</v>
      </c>
      <c r="C317">
        <v>77.947699999999998</v>
      </c>
      <c r="D317">
        <v>80.861999999999995</v>
      </c>
      <c r="E317">
        <v>85.445099999999996</v>
      </c>
      <c r="F317">
        <v>100.4175</v>
      </c>
      <c r="G317">
        <v>112.524</v>
      </c>
      <c r="H317">
        <v>125.34699999999999</v>
      </c>
      <c r="I317">
        <v>138.49799999999999</v>
      </c>
      <c r="J317">
        <v>148.43899999999999</v>
      </c>
    </row>
    <row r="318" spans="1:21" x14ac:dyDescent="0.4">
      <c r="A318">
        <v>3</v>
      </c>
      <c r="B318">
        <v>34.198599999999999</v>
      </c>
      <c r="C318">
        <v>41.346600000000002</v>
      </c>
      <c r="D318">
        <v>43.517699999999998</v>
      </c>
      <c r="E318">
        <v>47.938099999999999</v>
      </c>
      <c r="F318">
        <v>54.8765</v>
      </c>
      <c r="G318">
        <v>60.445500000000003</v>
      </c>
      <c r="H318">
        <v>67.3245</v>
      </c>
      <c r="I318">
        <v>74.481700000000004</v>
      </c>
      <c r="J318">
        <v>84.833500000000001</v>
      </c>
    </row>
    <row r="319" spans="1:21" x14ac:dyDescent="0.4">
      <c r="A319">
        <v>4</v>
      </c>
      <c r="B319">
        <v>4.4701000000000004</v>
      </c>
      <c r="C319">
        <v>6.3288000000000002</v>
      </c>
      <c r="D319">
        <v>7.3712</v>
      </c>
      <c r="E319">
        <v>8.3369</v>
      </c>
      <c r="F319">
        <v>9.5329999999999995</v>
      </c>
      <c r="G319">
        <v>10.835800000000001</v>
      </c>
      <c r="H319">
        <v>12.5169</v>
      </c>
      <c r="I319">
        <v>14.0136</v>
      </c>
      <c r="J319">
        <v>20.605399999999999</v>
      </c>
    </row>
    <row r="320" spans="1:21" x14ac:dyDescent="0.4">
      <c r="A320">
        <v>5</v>
      </c>
      <c r="B320">
        <v>1.2938000000000001</v>
      </c>
      <c r="C320">
        <v>1.6031</v>
      </c>
      <c r="D320">
        <v>1.7337</v>
      </c>
      <c r="E320">
        <v>2.2441</v>
      </c>
      <c r="F320">
        <v>2.6907000000000001</v>
      </c>
      <c r="G320">
        <v>3.2694999999999999</v>
      </c>
      <c r="H320">
        <v>4.2092000000000001</v>
      </c>
      <c r="I320">
        <v>4.8898000000000001</v>
      </c>
      <c r="J320">
        <v>7.4995000000000003</v>
      </c>
    </row>
    <row r="321" spans="1:10" x14ac:dyDescent="0.4">
      <c r="A321">
        <v>6</v>
      </c>
      <c r="B321">
        <v>0.29170000000000001</v>
      </c>
      <c r="C321">
        <v>0.48420000000000002</v>
      </c>
      <c r="D321">
        <v>0.60240000000000005</v>
      </c>
      <c r="E321">
        <v>0.69359999999999999</v>
      </c>
      <c r="F321">
        <v>0.96650000000000003</v>
      </c>
      <c r="G321">
        <v>1.2286999999999999</v>
      </c>
      <c r="H321">
        <v>1.8233999999999999</v>
      </c>
      <c r="I321">
        <v>2.1764999999999999</v>
      </c>
      <c r="J321">
        <v>5.0518000000000001</v>
      </c>
    </row>
    <row r="322" spans="1:10" x14ac:dyDescent="0.4">
      <c r="A322">
        <v>7</v>
      </c>
      <c r="B322">
        <v>2.7799999999999998E-2</v>
      </c>
      <c r="C322">
        <v>5.8400000000000001E-2</v>
      </c>
      <c r="D322">
        <v>7.3899999999999993E-2</v>
      </c>
      <c r="E322">
        <v>0.10249999999999999</v>
      </c>
      <c r="F322">
        <v>0.15909999999999999</v>
      </c>
      <c r="G322">
        <v>0.2261</v>
      </c>
      <c r="H322">
        <v>0.31640000000000001</v>
      </c>
      <c r="I322">
        <v>0.39960000000000001</v>
      </c>
      <c r="J322">
        <v>1.3048999999999999</v>
      </c>
    </row>
    <row r="323" spans="1:10" x14ac:dyDescent="0.4">
      <c r="A323">
        <v>8</v>
      </c>
      <c r="B323">
        <v>8.2000000000000007E-3</v>
      </c>
      <c r="C323">
        <v>2.92E-2</v>
      </c>
      <c r="D323">
        <v>3.6999999999999998E-2</v>
      </c>
      <c r="E323">
        <v>5.8400000000000001E-2</v>
      </c>
      <c r="F323">
        <v>0.10920000000000001</v>
      </c>
      <c r="G323">
        <v>0.16700000000000001</v>
      </c>
      <c r="H323">
        <v>0.25750000000000001</v>
      </c>
      <c r="I323">
        <v>0.4456</v>
      </c>
      <c r="J323">
        <v>2.1858</v>
      </c>
    </row>
    <row r="324" spans="1:10" x14ac:dyDescent="0.4">
      <c r="A324">
        <v>9</v>
      </c>
      <c r="B324">
        <v>2.9999999999999997E-4</v>
      </c>
      <c r="C324">
        <v>1.4E-3</v>
      </c>
      <c r="D324">
        <v>2.0999999999999999E-3</v>
      </c>
      <c r="E324">
        <v>3.5000000000000001E-3</v>
      </c>
      <c r="F324">
        <v>8.5000000000000006E-3</v>
      </c>
      <c r="G324">
        <v>1.44E-2</v>
      </c>
      <c r="H324">
        <v>2.23E-2</v>
      </c>
      <c r="I324">
        <v>3.3399999999999999E-2</v>
      </c>
      <c r="J324">
        <v>0.2402</v>
      </c>
    </row>
    <row r="325" spans="1:10" x14ac:dyDescent="0.4">
      <c r="A325">
        <v>10</v>
      </c>
      <c r="B325">
        <v>1E-4</v>
      </c>
      <c r="C325">
        <v>5.0000000000000001E-4</v>
      </c>
      <c r="D325">
        <v>6.9999999999999999E-4</v>
      </c>
      <c r="E325">
        <v>1.5E-3</v>
      </c>
      <c r="F325">
        <v>4.3E-3</v>
      </c>
      <c r="G325">
        <v>6.8999999999999999E-3</v>
      </c>
      <c r="H325">
        <v>1.43E-2</v>
      </c>
      <c r="I325">
        <v>2.4199999999999999E-2</v>
      </c>
      <c r="J325">
        <v>0.26090000000000002</v>
      </c>
    </row>
    <row r="326" spans="1:10" x14ac:dyDescent="0.4">
      <c r="A326">
        <v>11</v>
      </c>
      <c r="B326">
        <v>0</v>
      </c>
      <c r="C326">
        <v>1E-4</v>
      </c>
      <c r="D326">
        <v>2.0000000000000001E-4</v>
      </c>
      <c r="E326">
        <v>4.0000000000000002E-4</v>
      </c>
      <c r="F326">
        <v>1.4E-3</v>
      </c>
      <c r="G326">
        <v>2.8E-3</v>
      </c>
      <c r="H326">
        <v>5.1000000000000004E-3</v>
      </c>
      <c r="I326">
        <v>8.2000000000000007E-3</v>
      </c>
      <c r="J326">
        <v>0.1988</v>
      </c>
    </row>
    <row r="327" spans="1:10" x14ac:dyDescent="0.4">
      <c r="A327">
        <v>12</v>
      </c>
      <c r="B327">
        <v>0</v>
      </c>
      <c r="C327">
        <v>0</v>
      </c>
      <c r="D327">
        <v>0</v>
      </c>
      <c r="E327">
        <v>0</v>
      </c>
      <c r="F327">
        <v>1E-4</v>
      </c>
      <c r="G327">
        <v>2.9999999999999997E-4</v>
      </c>
      <c r="H327">
        <v>5.0000000000000001E-4</v>
      </c>
      <c r="I327">
        <v>8.0000000000000004E-4</v>
      </c>
      <c r="J327">
        <v>2.8000000000000001E-2</v>
      </c>
    </row>
    <row r="328" spans="1:10" x14ac:dyDescent="0.4">
      <c r="A328">
        <v>13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2.0000000000000001E-4</v>
      </c>
      <c r="H328">
        <v>2.9999999999999997E-4</v>
      </c>
      <c r="I328">
        <v>5.0000000000000001E-4</v>
      </c>
      <c r="J328">
        <v>3.1600000000000003E-2</v>
      </c>
    </row>
    <row r="329" spans="1:10" x14ac:dyDescent="0.4">
      <c r="A329">
        <v>14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1E-4</v>
      </c>
      <c r="I329">
        <v>1E-4</v>
      </c>
      <c r="J329">
        <v>1.83E-2</v>
      </c>
    </row>
    <row r="330" spans="1:10" x14ac:dyDescent="0.4">
      <c r="A330" t="s">
        <v>29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1.2699999999999999E-2</v>
      </c>
    </row>
    <row r="332" spans="1:10" x14ac:dyDescent="0.4">
      <c r="A332">
        <v>2022</v>
      </c>
    </row>
    <row r="334" spans="1:10" x14ac:dyDescent="0.4">
      <c r="A334" t="s">
        <v>0</v>
      </c>
      <c r="B334" s="2">
        <v>0.01</v>
      </c>
      <c r="C334" s="2">
        <v>0.05</v>
      </c>
      <c r="D334" s="2">
        <v>0.1</v>
      </c>
      <c r="E334" s="2">
        <v>0.25</v>
      </c>
      <c r="F334" s="2">
        <v>0.5</v>
      </c>
      <c r="G334" s="2">
        <v>0.75</v>
      </c>
      <c r="H334" s="2">
        <v>0.9</v>
      </c>
      <c r="I334" s="2">
        <v>0.95</v>
      </c>
      <c r="J334" s="2">
        <v>0.99</v>
      </c>
    </row>
    <row r="335" spans="1:10" x14ac:dyDescent="0.4">
      <c r="A335">
        <v>1</v>
      </c>
      <c r="B335">
        <v>68.662899999999993</v>
      </c>
      <c r="C335">
        <v>70.8964</v>
      </c>
      <c r="D335">
        <v>79.197000000000003</v>
      </c>
      <c r="E335">
        <v>105.1951</v>
      </c>
      <c r="F335">
        <v>168.54089999999999</v>
      </c>
      <c r="G335">
        <v>236.69839999999999</v>
      </c>
      <c r="H335">
        <v>279.37040000000002</v>
      </c>
      <c r="I335">
        <v>306.25749999999999</v>
      </c>
      <c r="J335">
        <v>325.45209999999997</v>
      </c>
    </row>
    <row r="336" spans="1:10" x14ac:dyDescent="0.4">
      <c r="A336">
        <v>2</v>
      </c>
      <c r="B336">
        <v>88.164100000000005</v>
      </c>
      <c r="C336">
        <v>103.93810000000001</v>
      </c>
      <c r="D336">
        <v>110.7242</v>
      </c>
      <c r="E336">
        <v>128.03039999999999</v>
      </c>
      <c r="F336">
        <v>156.40029999999999</v>
      </c>
      <c r="G336">
        <v>191.51169999999999</v>
      </c>
      <c r="H336">
        <v>232.71</v>
      </c>
      <c r="I336">
        <v>253.5317</v>
      </c>
      <c r="J336">
        <v>288.55860000000001</v>
      </c>
    </row>
    <row r="337" spans="1:10" x14ac:dyDescent="0.4">
      <c r="A337">
        <v>3</v>
      </c>
      <c r="B337">
        <v>30.167999999999999</v>
      </c>
      <c r="C337">
        <v>40.662300000000002</v>
      </c>
      <c r="D337">
        <v>43.076500000000003</v>
      </c>
      <c r="E337">
        <v>46.777099999999997</v>
      </c>
      <c r="F337">
        <v>54.197099999999999</v>
      </c>
      <c r="G337">
        <v>62.771500000000003</v>
      </c>
      <c r="H337">
        <v>71.596000000000004</v>
      </c>
      <c r="I337">
        <v>78.470200000000006</v>
      </c>
      <c r="J337">
        <v>89.150199999999998</v>
      </c>
    </row>
    <row r="338" spans="1:10" x14ac:dyDescent="0.4">
      <c r="A338">
        <v>4</v>
      </c>
      <c r="B338">
        <v>15.236800000000001</v>
      </c>
      <c r="C338">
        <v>18.676500000000001</v>
      </c>
      <c r="D338">
        <v>20.604700000000001</v>
      </c>
      <c r="E338">
        <v>23.136700000000001</v>
      </c>
      <c r="F338">
        <v>26.5379</v>
      </c>
      <c r="G338">
        <v>30.7453</v>
      </c>
      <c r="H338">
        <v>35.5015</v>
      </c>
      <c r="I338">
        <v>39.960599999999999</v>
      </c>
      <c r="J338">
        <v>50.239699999999999</v>
      </c>
    </row>
    <row r="339" spans="1:10" x14ac:dyDescent="0.4">
      <c r="A339">
        <v>5</v>
      </c>
      <c r="B339">
        <v>1.9803999999999999</v>
      </c>
      <c r="C339">
        <v>2.7397999999999998</v>
      </c>
      <c r="D339">
        <v>3.2521</v>
      </c>
      <c r="E339">
        <v>3.7772000000000001</v>
      </c>
      <c r="F339">
        <v>4.4699</v>
      </c>
      <c r="G339">
        <v>5.2539999999999996</v>
      </c>
      <c r="H339">
        <v>6.4279999999999999</v>
      </c>
      <c r="I339">
        <v>7.0777000000000001</v>
      </c>
      <c r="J339">
        <v>11.8963</v>
      </c>
    </row>
    <row r="340" spans="1:10" x14ac:dyDescent="0.4">
      <c r="A340">
        <v>6</v>
      </c>
      <c r="B340">
        <v>0.54020000000000001</v>
      </c>
      <c r="C340">
        <v>0.65629999999999999</v>
      </c>
      <c r="D340">
        <v>0.74129999999999996</v>
      </c>
      <c r="E340">
        <v>0.99950000000000006</v>
      </c>
      <c r="F340">
        <v>1.2047000000000001</v>
      </c>
      <c r="G340">
        <v>1.5435000000000001</v>
      </c>
      <c r="H340">
        <v>2.0825</v>
      </c>
      <c r="I340">
        <v>2.4510000000000001</v>
      </c>
      <c r="J340">
        <v>4.4964000000000004</v>
      </c>
    </row>
    <row r="341" spans="1:10" x14ac:dyDescent="0.4">
      <c r="A341">
        <v>7</v>
      </c>
      <c r="B341">
        <v>0.13039999999999999</v>
      </c>
      <c r="C341">
        <v>0.21640000000000001</v>
      </c>
      <c r="D341">
        <v>0.251</v>
      </c>
      <c r="E341">
        <v>0.3095</v>
      </c>
      <c r="F341">
        <v>0.41959999999999997</v>
      </c>
      <c r="G341">
        <v>0.58320000000000005</v>
      </c>
      <c r="H341">
        <v>0.88770000000000004</v>
      </c>
      <c r="I341">
        <v>1.0801000000000001</v>
      </c>
      <c r="J341">
        <v>3.04</v>
      </c>
    </row>
    <row r="342" spans="1:10" x14ac:dyDescent="0.4">
      <c r="A342">
        <v>8</v>
      </c>
      <c r="B342">
        <v>1.34E-2</v>
      </c>
      <c r="C342">
        <v>2.5499999999999998E-2</v>
      </c>
      <c r="D342">
        <v>3.2500000000000001E-2</v>
      </c>
      <c r="E342">
        <v>4.5199999999999997E-2</v>
      </c>
      <c r="F342">
        <v>6.9599999999999995E-2</v>
      </c>
      <c r="G342">
        <v>0.1067</v>
      </c>
      <c r="H342">
        <v>0.16059999999999999</v>
      </c>
      <c r="I342">
        <v>0.2059</v>
      </c>
      <c r="J342">
        <v>0.78939999999999999</v>
      </c>
    </row>
    <row r="343" spans="1:10" x14ac:dyDescent="0.4">
      <c r="A343">
        <v>9</v>
      </c>
      <c r="B343">
        <v>4.0000000000000001E-3</v>
      </c>
      <c r="C343">
        <v>1.2800000000000001E-2</v>
      </c>
      <c r="D343">
        <v>1.6500000000000001E-2</v>
      </c>
      <c r="E343">
        <v>2.7E-2</v>
      </c>
      <c r="F343">
        <v>4.9000000000000002E-2</v>
      </c>
      <c r="G343">
        <v>8.0199999999999994E-2</v>
      </c>
      <c r="H343">
        <v>0.1298</v>
      </c>
      <c r="I343">
        <v>0.22020000000000001</v>
      </c>
      <c r="J343">
        <v>1.3448</v>
      </c>
    </row>
    <row r="344" spans="1:10" x14ac:dyDescent="0.4">
      <c r="A344">
        <v>10</v>
      </c>
      <c r="B344">
        <v>1E-4</v>
      </c>
      <c r="C344">
        <v>5.9999999999999995E-4</v>
      </c>
      <c r="D344">
        <v>8.9999999999999998E-4</v>
      </c>
      <c r="E344">
        <v>1.6999999999999999E-3</v>
      </c>
      <c r="F344">
        <v>3.8E-3</v>
      </c>
      <c r="G344">
        <v>6.8999999999999999E-3</v>
      </c>
      <c r="H344">
        <v>1.11E-2</v>
      </c>
      <c r="I344">
        <v>1.78E-2</v>
      </c>
      <c r="J344">
        <v>0.1472</v>
      </c>
    </row>
    <row r="345" spans="1:10" x14ac:dyDescent="0.4">
      <c r="A345">
        <v>11</v>
      </c>
      <c r="B345">
        <v>0</v>
      </c>
      <c r="C345">
        <v>2.0000000000000001E-4</v>
      </c>
      <c r="D345">
        <v>2.9999999999999997E-4</v>
      </c>
      <c r="E345">
        <v>6.9999999999999999E-4</v>
      </c>
      <c r="F345">
        <v>2E-3</v>
      </c>
      <c r="G345">
        <v>3.3E-3</v>
      </c>
      <c r="H345">
        <v>7.6E-3</v>
      </c>
      <c r="I345">
        <v>1.23E-2</v>
      </c>
      <c r="J345">
        <v>0.1605</v>
      </c>
    </row>
    <row r="346" spans="1:10" x14ac:dyDescent="0.4">
      <c r="A346">
        <v>12</v>
      </c>
      <c r="B346">
        <v>0</v>
      </c>
      <c r="C346">
        <v>0</v>
      </c>
      <c r="D346">
        <v>1E-4</v>
      </c>
      <c r="E346">
        <v>2.0000000000000001E-4</v>
      </c>
      <c r="F346">
        <v>6.9999999999999999E-4</v>
      </c>
      <c r="G346">
        <v>1.2999999999999999E-3</v>
      </c>
      <c r="H346">
        <v>2.5999999999999999E-3</v>
      </c>
      <c r="I346">
        <v>4.1999999999999997E-3</v>
      </c>
      <c r="J346">
        <v>0.12479999999999999</v>
      </c>
    </row>
    <row r="347" spans="1:10" x14ac:dyDescent="0.4">
      <c r="A347">
        <v>13</v>
      </c>
      <c r="B347">
        <v>0</v>
      </c>
      <c r="C347">
        <v>0</v>
      </c>
      <c r="D347">
        <v>0</v>
      </c>
      <c r="E347">
        <v>0</v>
      </c>
      <c r="F347">
        <v>1E-4</v>
      </c>
      <c r="G347">
        <v>1E-4</v>
      </c>
      <c r="H347">
        <v>2.9999999999999997E-4</v>
      </c>
      <c r="I347">
        <v>4.0000000000000002E-4</v>
      </c>
      <c r="J347">
        <v>1.78E-2</v>
      </c>
    </row>
    <row r="348" spans="1:10" x14ac:dyDescent="0.4">
      <c r="A348">
        <v>14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1E-4</v>
      </c>
      <c r="H348">
        <v>1E-4</v>
      </c>
      <c r="I348">
        <v>2.9999999999999997E-4</v>
      </c>
      <c r="J348">
        <v>2.01E-2</v>
      </c>
    </row>
    <row r="349" spans="1:10" x14ac:dyDescent="0.4">
      <c r="A349" t="s">
        <v>29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1E-4</v>
      </c>
      <c r="I349">
        <v>1E-4</v>
      </c>
      <c r="J349">
        <v>0.02</v>
      </c>
    </row>
    <row r="351" spans="1:10" x14ac:dyDescent="0.4">
      <c r="A351">
        <v>2023</v>
      </c>
    </row>
    <row r="353" spans="1:10" x14ac:dyDescent="0.4">
      <c r="A353" t="s">
        <v>0</v>
      </c>
      <c r="B353" s="2">
        <v>0.01</v>
      </c>
      <c r="C353" s="2">
        <v>0.05</v>
      </c>
      <c r="D353" s="2">
        <v>0.1</v>
      </c>
      <c r="E353" s="2">
        <v>0.25</v>
      </c>
      <c r="F353" s="2">
        <v>0.5</v>
      </c>
      <c r="G353" s="2">
        <v>0.75</v>
      </c>
      <c r="H353" s="2">
        <v>0.9</v>
      </c>
      <c r="I353" s="2">
        <v>0.95</v>
      </c>
      <c r="J353" s="2">
        <v>0.99</v>
      </c>
    </row>
    <row r="354" spans="1:10" x14ac:dyDescent="0.4">
      <c r="A354">
        <v>1</v>
      </c>
      <c r="B354">
        <v>68.669700000000006</v>
      </c>
      <c r="C354">
        <v>70.903400000000005</v>
      </c>
      <c r="D354">
        <v>79.215000000000003</v>
      </c>
      <c r="E354">
        <v>105.13209999999999</v>
      </c>
      <c r="F354">
        <v>168.56700000000001</v>
      </c>
      <c r="G354">
        <v>236.8441</v>
      </c>
      <c r="H354">
        <v>280.07740000000001</v>
      </c>
      <c r="I354">
        <v>306.95890000000003</v>
      </c>
      <c r="J354">
        <v>342.47890000000001</v>
      </c>
    </row>
    <row r="355" spans="1:10" x14ac:dyDescent="0.4">
      <c r="A355">
        <v>2</v>
      </c>
      <c r="B355">
        <v>39.871000000000002</v>
      </c>
      <c r="C355">
        <v>43.340299999999999</v>
      </c>
      <c r="D355">
        <v>47.581200000000003</v>
      </c>
      <c r="E355">
        <v>63.026600000000002</v>
      </c>
      <c r="F355">
        <v>101.43129999999999</v>
      </c>
      <c r="G355">
        <v>143.43199999999999</v>
      </c>
      <c r="H355">
        <v>171.1413</v>
      </c>
      <c r="I355">
        <v>185.86969999999999</v>
      </c>
      <c r="J355">
        <v>208.5718</v>
      </c>
    </row>
    <row r="356" spans="1:10" x14ac:dyDescent="0.4">
      <c r="A356">
        <v>3</v>
      </c>
      <c r="B356">
        <v>48.331400000000002</v>
      </c>
      <c r="C356">
        <v>57.678800000000003</v>
      </c>
      <c r="D356">
        <v>62.2164</v>
      </c>
      <c r="E356">
        <v>72.633700000000005</v>
      </c>
      <c r="F356">
        <v>90.639499999999998</v>
      </c>
      <c r="G356">
        <v>112.1949</v>
      </c>
      <c r="H356">
        <v>137.7868</v>
      </c>
      <c r="I356">
        <v>152.1901</v>
      </c>
      <c r="J356">
        <v>174.7122</v>
      </c>
    </row>
    <row r="357" spans="1:10" x14ac:dyDescent="0.4">
      <c r="A357">
        <v>4</v>
      </c>
      <c r="B357">
        <v>14.850300000000001</v>
      </c>
      <c r="C357">
        <v>20.596299999999999</v>
      </c>
      <c r="D357">
        <v>22.3476</v>
      </c>
      <c r="E357">
        <v>24.974799999999998</v>
      </c>
      <c r="F357">
        <v>29.466899999999999</v>
      </c>
      <c r="G357">
        <v>34.978099999999998</v>
      </c>
      <c r="H357">
        <v>40.536099999999998</v>
      </c>
      <c r="I357">
        <v>44.615400000000001</v>
      </c>
      <c r="J357">
        <v>51.6616</v>
      </c>
    </row>
    <row r="358" spans="1:10" x14ac:dyDescent="0.4">
      <c r="A358">
        <v>5</v>
      </c>
      <c r="B358">
        <v>7.0370999999999997</v>
      </c>
      <c r="C358">
        <v>9.0479000000000003</v>
      </c>
      <c r="D358">
        <v>10.305099999999999</v>
      </c>
      <c r="E358">
        <v>11.9146</v>
      </c>
      <c r="F358">
        <v>13.9366</v>
      </c>
      <c r="G358">
        <v>16.666699999999999</v>
      </c>
      <c r="H358">
        <v>19.5626</v>
      </c>
      <c r="I358">
        <v>22.424600000000002</v>
      </c>
      <c r="J358">
        <v>29.215699999999998</v>
      </c>
    </row>
    <row r="359" spans="1:10" x14ac:dyDescent="0.4">
      <c r="A359">
        <v>6</v>
      </c>
      <c r="B359">
        <v>0.88370000000000004</v>
      </c>
      <c r="C359">
        <v>1.3436999999999999</v>
      </c>
      <c r="D359">
        <v>1.6066</v>
      </c>
      <c r="E359">
        <v>1.9080999999999999</v>
      </c>
      <c r="F359">
        <v>2.2894000000000001</v>
      </c>
      <c r="G359">
        <v>2.7721</v>
      </c>
      <c r="H359">
        <v>3.4899</v>
      </c>
      <c r="I359">
        <v>3.8955000000000002</v>
      </c>
      <c r="J359">
        <v>6.8338999999999999</v>
      </c>
    </row>
    <row r="360" spans="1:10" x14ac:dyDescent="0.4">
      <c r="A360">
        <v>7</v>
      </c>
      <c r="B360">
        <v>0.2515</v>
      </c>
      <c r="C360">
        <v>0.30380000000000001</v>
      </c>
      <c r="D360">
        <v>0.36730000000000002</v>
      </c>
      <c r="E360">
        <v>0.49619999999999997</v>
      </c>
      <c r="F360">
        <v>0.61709999999999998</v>
      </c>
      <c r="G360">
        <v>0.80510000000000004</v>
      </c>
      <c r="H360">
        <v>1.1193</v>
      </c>
      <c r="I360">
        <v>1.3168</v>
      </c>
      <c r="J360">
        <v>2.6678000000000002</v>
      </c>
    </row>
    <row r="361" spans="1:10" x14ac:dyDescent="0.4">
      <c r="A361">
        <v>8</v>
      </c>
      <c r="B361">
        <v>6.0199999999999997E-2</v>
      </c>
      <c r="C361">
        <v>0.10730000000000001</v>
      </c>
      <c r="D361">
        <v>0.12</v>
      </c>
      <c r="E361">
        <v>0.1573</v>
      </c>
      <c r="F361">
        <v>0.21820000000000001</v>
      </c>
      <c r="G361">
        <v>0.30370000000000003</v>
      </c>
      <c r="H361">
        <v>0.48220000000000002</v>
      </c>
      <c r="I361">
        <v>0.57750000000000001</v>
      </c>
      <c r="J361">
        <v>1.7727999999999999</v>
      </c>
    </row>
    <row r="362" spans="1:10" x14ac:dyDescent="0.4">
      <c r="A362">
        <v>9</v>
      </c>
      <c r="B362">
        <v>7.1000000000000004E-3</v>
      </c>
      <c r="C362">
        <v>1.2699999999999999E-2</v>
      </c>
      <c r="D362">
        <v>1.6400000000000001E-2</v>
      </c>
      <c r="E362">
        <v>2.3199999999999998E-2</v>
      </c>
      <c r="F362">
        <v>3.5799999999999998E-2</v>
      </c>
      <c r="G362">
        <v>5.5599999999999997E-2</v>
      </c>
      <c r="H362">
        <v>8.6400000000000005E-2</v>
      </c>
      <c r="I362">
        <v>0.11169999999999999</v>
      </c>
      <c r="J362">
        <v>0.48249999999999998</v>
      </c>
    </row>
    <row r="363" spans="1:10" x14ac:dyDescent="0.4">
      <c r="A363">
        <v>10</v>
      </c>
      <c r="B363">
        <v>2.0999999999999999E-3</v>
      </c>
      <c r="C363">
        <v>6.1999999999999998E-3</v>
      </c>
      <c r="D363">
        <v>8.3000000000000001E-3</v>
      </c>
      <c r="E363">
        <v>1.41E-2</v>
      </c>
      <c r="F363">
        <v>2.5000000000000001E-2</v>
      </c>
      <c r="G363">
        <v>4.24E-2</v>
      </c>
      <c r="H363">
        <v>7.1400000000000005E-2</v>
      </c>
      <c r="I363">
        <v>0.1159</v>
      </c>
      <c r="J363">
        <v>0.83730000000000004</v>
      </c>
    </row>
    <row r="364" spans="1:10" x14ac:dyDescent="0.4">
      <c r="A364">
        <v>11</v>
      </c>
      <c r="B364">
        <v>1E-4</v>
      </c>
      <c r="C364">
        <v>2.9999999999999997E-4</v>
      </c>
      <c r="D364">
        <v>4.0000000000000002E-4</v>
      </c>
      <c r="E364">
        <v>8.9999999999999998E-4</v>
      </c>
      <c r="F364">
        <v>1.9E-3</v>
      </c>
      <c r="G364">
        <v>3.7000000000000002E-3</v>
      </c>
      <c r="H364">
        <v>6.1000000000000004E-3</v>
      </c>
      <c r="I364">
        <v>9.7999999999999997E-3</v>
      </c>
      <c r="J364">
        <v>9.01E-2</v>
      </c>
    </row>
    <row r="365" spans="1:10" x14ac:dyDescent="0.4">
      <c r="A365">
        <v>12</v>
      </c>
      <c r="B365">
        <v>0</v>
      </c>
      <c r="C365">
        <v>1E-4</v>
      </c>
      <c r="D365">
        <v>2.0000000000000001E-4</v>
      </c>
      <c r="E365">
        <v>4.0000000000000002E-4</v>
      </c>
      <c r="F365">
        <v>1E-3</v>
      </c>
      <c r="G365">
        <v>1.8E-3</v>
      </c>
      <c r="H365">
        <v>4.1999999999999997E-3</v>
      </c>
      <c r="I365">
        <v>6.7000000000000002E-3</v>
      </c>
      <c r="J365">
        <v>9.8900000000000002E-2</v>
      </c>
    </row>
    <row r="366" spans="1:10" x14ac:dyDescent="0.4">
      <c r="A366">
        <v>13</v>
      </c>
      <c r="B366">
        <v>0</v>
      </c>
      <c r="C366">
        <v>0</v>
      </c>
      <c r="D366">
        <v>0</v>
      </c>
      <c r="E366">
        <v>1E-4</v>
      </c>
      <c r="F366">
        <v>2.9999999999999997E-4</v>
      </c>
      <c r="G366">
        <v>6.9999999999999999E-4</v>
      </c>
      <c r="H366">
        <v>1.4E-3</v>
      </c>
      <c r="I366">
        <v>2.3E-3</v>
      </c>
      <c r="J366">
        <v>7.5999999999999998E-2</v>
      </c>
    </row>
    <row r="367" spans="1:10" x14ac:dyDescent="0.4">
      <c r="A367">
        <v>14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1E-4</v>
      </c>
      <c r="H367">
        <v>2.0000000000000001E-4</v>
      </c>
      <c r="I367">
        <v>2.0000000000000001E-4</v>
      </c>
      <c r="J367">
        <v>1.09E-2</v>
      </c>
    </row>
    <row r="368" spans="1:10" x14ac:dyDescent="0.4">
      <c r="A368" t="s">
        <v>29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1E-4</v>
      </c>
      <c r="H368">
        <v>1E-4</v>
      </c>
      <c r="I368">
        <v>2.0000000000000001E-4</v>
      </c>
      <c r="J368">
        <v>2.4E-2</v>
      </c>
    </row>
    <row r="370" spans="1:10" x14ac:dyDescent="0.4">
      <c r="A370">
        <v>2024</v>
      </c>
    </row>
    <row r="372" spans="1:10" x14ac:dyDescent="0.4">
      <c r="A372" t="s">
        <v>0</v>
      </c>
      <c r="B372" s="2">
        <v>0.01</v>
      </c>
      <c r="C372" s="2">
        <v>0.05</v>
      </c>
      <c r="D372" s="2">
        <v>0.1</v>
      </c>
      <c r="E372" s="2">
        <v>0.25</v>
      </c>
      <c r="F372" s="2">
        <v>0.5</v>
      </c>
      <c r="G372" s="2">
        <v>0.75</v>
      </c>
      <c r="H372" s="2">
        <v>0.9</v>
      </c>
      <c r="I372" s="2">
        <v>0.95</v>
      </c>
      <c r="J372" s="2">
        <v>0.99</v>
      </c>
    </row>
    <row r="373" spans="1:10" x14ac:dyDescent="0.4">
      <c r="A373">
        <v>1</v>
      </c>
      <c r="B373">
        <v>68.643600000000006</v>
      </c>
      <c r="C373">
        <v>70.575199999999995</v>
      </c>
      <c r="D373">
        <v>79.055199999999999</v>
      </c>
      <c r="E373">
        <v>104.75879999999999</v>
      </c>
      <c r="F373">
        <v>168.5874</v>
      </c>
      <c r="G373">
        <v>236.69640000000001</v>
      </c>
      <c r="H373">
        <v>280.78579999999999</v>
      </c>
      <c r="I373">
        <v>307.37439999999998</v>
      </c>
      <c r="J373">
        <v>354.7226</v>
      </c>
    </row>
    <row r="374" spans="1:10" x14ac:dyDescent="0.4">
      <c r="A374">
        <v>2</v>
      </c>
      <c r="B374">
        <v>40.045099999999998</v>
      </c>
      <c r="C374">
        <v>43.621699999999997</v>
      </c>
      <c r="D374">
        <v>47.883000000000003</v>
      </c>
      <c r="E374">
        <v>63.362200000000001</v>
      </c>
      <c r="F374">
        <v>102.1598</v>
      </c>
      <c r="G374">
        <v>144.2518</v>
      </c>
      <c r="H374">
        <v>172.27330000000001</v>
      </c>
      <c r="I374">
        <v>187.2208</v>
      </c>
      <c r="J374">
        <v>214.52279999999999</v>
      </c>
    </row>
    <row r="375" spans="1:10" x14ac:dyDescent="0.4">
      <c r="A375">
        <v>3</v>
      </c>
      <c r="B375">
        <v>21.982500000000002</v>
      </c>
      <c r="C375">
        <v>24.725899999999999</v>
      </c>
      <c r="D375">
        <v>27.259</v>
      </c>
      <c r="E375">
        <v>36.2729</v>
      </c>
      <c r="F375">
        <v>58.671100000000003</v>
      </c>
      <c r="G375">
        <v>83.9636</v>
      </c>
      <c r="H375">
        <v>101.9862</v>
      </c>
      <c r="I375">
        <v>111.12130000000001</v>
      </c>
      <c r="J375">
        <v>128.3571</v>
      </c>
    </row>
    <row r="376" spans="1:10" x14ac:dyDescent="0.4">
      <c r="A376">
        <v>4</v>
      </c>
      <c r="B376">
        <v>23.855499999999999</v>
      </c>
      <c r="C376">
        <v>29.361000000000001</v>
      </c>
      <c r="D376">
        <v>32.373399999999997</v>
      </c>
      <c r="E376">
        <v>38.752699999999997</v>
      </c>
      <c r="F376">
        <v>50.099800000000002</v>
      </c>
      <c r="G376">
        <v>63.279400000000003</v>
      </c>
      <c r="H376">
        <v>79.294600000000003</v>
      </c>
      <c r="I376">
        <v>88.8797</v>
      </c>
      <c r="J376">
        <v>103.6902</v>
      </c>
    </row>
    <row r="377" spans="1:10" x14ac:dyDescent="0.4">
      <c r="A377">
        <v>5</v>
      </c>
      <c r="B377">
        <v>6.9489999999999998</v>
      </c>
      <c r="C377">
        <v>9.7520000000000007</v>
      </c>
      <c r="D377">
        <v>11.062099999999999</v>
      </c>
      <c r="E377">
        <v>12.974399999999999</v>
      </c>
      <c r="F377">
        <v>15.756399999999999</v>
      </c>
      <c r="G377">
        <v>19.0669</v>
      </c>
      <c r="H377">
        <v>22.699200000000001</v>
      </c>
      <c r="I377">
        <v>25.130299999999998</v>
      </c>
      <c r="J377">
        <v>29.755700000000001</v>
      </c>
    </row>
    <row r="378" spans="1:10" x14ac:dyDescent="0.4">
      <c r="A378">
        <v>6</v>
      </c>
      <c r="B378">
        <v>3.1745000000000001</v>
      </c>
      <c r="C378">
        <v>4.2996999999999996</v>
      </c>
      <c r="D378">
        <v>4.9382999999999999</v>
      </c>
      <c r="E378">
        <v>5.9664000000000001</v>
      </c>
      <c r="F378">
        <v>7.2465999999999999</v>
      </c>
      <c r="G378">
        <v>8.8511000000000006</v>
      </c>
      <c r="H378">
        <v>10.661300000000001</v>
      </c>
      <c r="I378">
        <v>12.333600000000001</v>
      </c>
      <c r="J378">
        <v>16.615200000000002</v>
      </c>
    </row>
    <row r="379" spans="1:10" x14ac:dyDescent="0.4">
      <c r="A379">
        <v>7</v>
      </c>
      <c r="B379">
        <v>0.37709999999999999</v>
      </c>
      <c r="C379">
        <v>0.63219999999999998</v>
      </c>
      <c r="D379">
        <v>0.76929999999999998</v>
      </c>
      <c r="E379">
        <v>0.94750000000000001</v>
      </c>
      <c r="F379">
        <v>1.1642999999999999</v>
      </c>
      <c r="G379">
        <v>1.4579</v>
      </c>
      <c r="H379">
        <v>1.8852</v>
      </c>
      <c r="I379">
        <v>2.1526999999999998</v>
      </c>
      <c r="J379">
        <v>3.8540999999999999</v>
      </c>
    </row>
    <row r="380" spans="1:10" x14ac:dyDescent="0.4">
      <c r="A380">
        <v>8</v>
      </c>
      <c r="B380">
        <v>0.1123</v>
      </c>
      <c r="C380">
        <v>0.14119999999999999</v>
      </c>
      <c r="D380">
        <v>0.1779</v>
      </c>
      <c r="E380">
        <v>0.24299999999999999</v>
      </c>
      <c r="F380">
        <v>0.31669999999999998</v>
      </c>
      <c r="G380">
        <v>0.41839999999999999</v>
      </c>
      <c r="H380">
        <v>0.59299999999999997</v>
      </c>
      <c r="I380">
        <v>0.71609999999999996</v>
      </c>
      <c r="J380">
        <v>1.5287999999999999</v>
      </c>
    </row>
    <row r="381" spans="1:10" x14ac:dyDescent="0.4">
      <c r="A381">
        <v>9</v>
      </c>
      <c r="B381">
        <v>2.81E-2</v>
      </c>
      <c r="C381">
        <v>5.11E-2</v>
      </c>
      <c r="D381">
        <v>5.74E-2</v>
      </c>
      <c r="E381">
        <v>7.8200000000000006E-2</v>
      </c>
      <c r="F381">
        <v>0.1128</v>
      </c>
      <c r="G381">
        <v>0.1565</v>
      </c>
      <c r="H381">
        <v>0.25979999999999998</v>
      </c>
      <c r="I381">
        <v>0.3115</v>
      </c>
      <c r="J381">
        <v>1.0073000000000001</v>
      </c>
    </row>
    <row r="382" spans="1:10" x14ac:dyDescent="0.4">
      <c r="A382">
        <v>10</v>
      </c>
      <c r="B382">
        <v>3.2000000000000002E-3</v>
      </c>
      <c r="C382">
        <v>6.1999999999999998E-3</v>
      </c>
      <c r="D382">
        <v>8.0000000000000002E-3</v>
      </c>
      <c r="E382">
        <v>1.17E-2</v>
      </c>
      <c r="F382">
        <v>1.7999999999999999E-2</v>
      </c>
      <c r="G382">
        <v>2.87E-2</v>
      </c>
      <c r="H382">
        <v>4.58E-2</v>
      </c>
      <c r="I382">
        <v>0.06</v>
      </c>
      <c r="J382">
        <v>0.29559999999999997</v>
      </c>
    </row>
    <row r="383" spans="1:10" x14ac:dyDescent="0.4">
      <c r="A383">
        <v>11</v>
      </c>
      <c r="B383">
        <v>1.1000000000000001E-3</v>
      </c>
      <c r="C383">
        <v>3.0999999999999999E-3</v>
      </c>
      <c r="D383">
        <v>4.1999999999999997E-3</v>
      </c>
      <c r="E383">
        <v>7.3000000000000001E-3</v>
      </c>
      <c r="F383">
        <v>1.2699999999999999E-2</v>
      </c>
      <c r="G383">
        <v>2.1999999999999999E-2</v>
      </c>
      <c r="H383">
        <v>3.9199999999999999E-2</v>
      </c>
      <c r="I383">
        <v>0.06</v>
      </c>
      <c r="J383">
        <v>0.48370000000000002</v>
      </c>
    </row>
    <row r="384" spans="1:10" x14ac:dyDescent="0.4">
      <c r="A384">
        <v>12</v>
      </c>
      <c r="B384">
        <v>0</v>
      </c>
      <c r="C384">
        <v>1E-4</v>
      </c>
      <c r="D384">
        <v>2.0000000000000001E-4</v>
      </c>
      <c r="E384">
        <v>4.0000000000000002E-4</v>
      </c>
      <c r="F384">
        <v>1E-3</v>
      </c>
      <c r="G384">
        <v>1.9E-3</v>
      </c>
      <c r="H384">
        <v>3.3999999999999998E-3</v>
      </c>
      <c r="I384">
        <v>5.3E-3</v>
      </c>
      <c r="J384">
        <v>5.16E-2</v>
      </c>
    </row>
    <row r="385" spans="1:10" x14ac:dyDescent="0.4">
      <c r="A385">
        <v>13</v>
      </c>
      <c r="B385">
        <v>0</v>
      </c>
      <c r="C385">
        <v>1E-4</v>
      </c>
      <c r="D385">
        <v>1E-4</v>
      </c>
      <c r="E385">
        <v>2.0000000000000001E-4</v>
      </c>
      <c r="F385">
        <v>5.0000000000000001E-4</v>
      </c>
      <c r="G385">
        <v>8.9999999999999998E-4</v>
      </c>
      <c r="H385">
        <v>2.3E-3</v>
      </c>
      <c r="I385">
        <v>3.7000000000000002E-3</v>
      </c>
      <c r="J385">
        <v>5.8000000000000003E-2</v>
      </c>
    </row>
    <row r="386" spans="1:10" x14ac:dyDescent="0.4">
      <c r="A386">
        <v>14</v>
      </c>
      <c r="B386">
        <v>0</v>
      </c>
      <c r="C386">
        <v>0</v>
      </c>
      <c r="D386">
        <v>0</v>
      </c>
      <c r="E386">
        <v>1E-4</v>
      </c>
      <c r="F386">
        <v>2.0000000000000001E-4</v>
      </c>
      <c r="G386">
        <v>4.0000000000000002E-4</v>
      </c>
      <c r="H386">
        <v>8.0000000000000004E-4</v>
      </c>
      <c r="I386">
        <v>1.2999999999999999E-3</v>
      </c>
      <c r="J386">
        <v>4.7100000000000003E-2</v>
      </c>
    </row>
    <row r="387" spans="1:10" x14ac:dyDescent="0.4">
      <c r="A387" t="s">
        <v>29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1E-4</v>
      </c>
      <c r="H387">
        <v>1E-4</v>
      </c>
      <c r="I387">
        <v>2.0000000000000001E-4</v>
      </c>
      <c r="J387">
        <v>2.0799999999999999E-2</v>
      </c>
    </row>
    <row r="389" spans="1:10" x14ac:dyDescent="0.4">
      <c r="A389">
        <v>2025</v>
      </c>
    </row>
    <row r="391" spans="1:10" x14ac:dyDescent="0.4">
      <c r="A391" t="s">
        <v>0</v>
      </c>
      <c r="B391" s="2">
        <v>0.01</v>
      </c>
      <c r="C391" s="2">
        <v>0.05</v>
      </c>
      <c r="D391" s="2">
        <v>0.1</v>
      </c>
      <c r="E391" s="2">
        <v>0.25</v>
      </c>
      <c r="F391" s="2">
        <v>0.5</v>
      </c>
      <c r="G391" s="2">
        <v>0.75</v>
      </c>
      <c r="H391" s="2">
        <v>0.9</v>
      </c>
      <c r="I391" s="2">
        <v>0.95</v>
      </c>
      <c r="J391" s="2">
        <v>0.99</v>
      </c>
    </row>
    <row r="392" spans="1:10" x14ac:dyDescent="0.4">
      <c r="A392">
        <v>1</v>
      </c>
      <c r="B392">
        <v>68.657899999999998</v>
      </c>
      <c r="C392">
        <v>70.639399999999995</v>
      </c>
      <c r="D392">
        <v>79.060599999999994</v>
      </c>
      <c r="E392">
        <v>104.7533</v>
      </c>
      <c r="F392">
        <v>168.5908</v>
      </c>
      <c r="G392">
        <v>237.011</v>
      </c>
      <c r="H392">
        <v>280.95389999999998</v>
      </c>
      <c r="I392">
        <v>307.8879</v>
      </c>
      <c r="J392">
        <v>352.36709999999999</v>
      </c>
    </row>
    <row r="393" spans="1:10" x14ac:dyDescent="0.4">
      <c r="A393">
        <v>2</v>
      </c>
      <c r="B393">
        <v>39.057600000000001</v>
      </c>
      <c r="C393">
        <v>42.5916</v>
      </c>
      <c r="D393">
        <v>46.602800000000002</v>
      </c>
      <c r="E393">
        <v>61.844200000000001</v>
      </c>
      <c r="F393">
        <v>99.921300000000002</v>
      </c>
      <c r="G393">
        <v>141.45070000000001</v>
      </c>
      <c r="H393">
        <v>169.3509</v>
      </c>
      <c r="I393">
        <v>183.83029999999999</v>
      </c>
      <c r="J393">
        <v>215.6037</v>
      </c>
    </row>
    <row r="394" spans="1:10" x14ac:dyDescent="0.4">
      <c r="A394">
        <v>3</v>
      </c>
      <c r="B394">
        <v>20.375499999999999</v>
      </c>
      <c r="C394">
        <v>23.373899999999999</v>
      </c>
      <c r="D394">
        <v>25.927299999999999</v>
      </c>
      <c r="E394">
        <v>34.488399999999999</v>
      </c>
      <c r="F394">
        <v>56.347900000000003</v>
      </c>
      <c r="G394">
        <v>80.953400000000002</v>
      </c>
      <c r="H394">
        <v>99.142700000000005</v>
      </c>
      <c r="I394">
        <v>108.0926</v>
      </c>
      <c r="J394">
        <v>127.5367</v>
      </c>
    </row>
    <row r="395" spans="1:10" x14ac:dyDescent="0.4">
      <c r="A395">
        <v>4</v>
      </c>
      <c r="B395">
        <v>9.6207999999999991</v>
      </c>
      <c r="C395">
        <v>11.8134</v>
      </c>
      <c r="D395">
        <v>13.388299999999999</v>
      </c>
      <c r="E395">
        <v>18.231999999999999</v>
      </c>
      <c r="F395">
        <v>30.2227</v>
      </c>
      <c r="G395">
        <v>44.603000000000002</v>
      </c>
      <c r="H395">
        <v>56.237200000000001</v>
      </c>
      <c r="I395">
        <v>62.008499999999998</v>
      </c>
      <c r="J395">
        <v>74.212199999999996</v>
      </c>
    </row>
    <row r="396" spans="1:10" x14ac:dyDescent="0.4">
      <c r="A396">
        <v>5</v>
      </c>
      <c r="B396">
        <v>9.7520000000000007</v>
      </c>
      <c r="C396">
        <v>12.946199999999999</v>
      </c>
      <c r="D396">
        <v>14.893800000000001</v>
      </c>
      <c r="E396">
        <v>18.856000000000002</v>
      </c>
      <c r="F396">
        <v>25.372699999999998</v>
      </c>
      <c r="G396">
        <v>33.255800000000001</v>
      </c>
      <c r="H396">
        <v>42.902099999999997</v>
      </c>
      <c r="I396">
        <v>49.021299999999997</v>
      </c>
      <c r="J396">
        <v>58.897100000000002</v>
      </c>
    </row>
    <row r="397" spans="1:10" x14ac:dyDescent="0.4">
      <c r="A397">
        <v>6</v>
      </c>
      <c r="B397">
        <v>2.8498999999999999</v>
      </c>
      <c r="C397">
        <v>4.1029999999999998</v>
      </c>
      <c r="D397">
        <v>4.9062999999999999</v>
      </c>
      <c r="E397">
        <v>6.2095000000000002</v>
      </c>
      <c r="F397">
        <v>7.8672000000000004</v>
      </c>
      <c r="G397">
        <v>9.8036999999999992</v>
      </c>
      <c r="H397">
        <v>12.0184</v>
      </c>
      <c r="I397">
        <v>13.4892</v>
      </c>
      <c r="J397">
        <v>16.323699999999999</v>
      </c>
    </row>
    <row r="398" spans="1:10" x14ac:dyDescent="0.4">
      <c r="A398">
        <v>7</v>
      </c>
      <c r="B398">
        <v>1.3140000000000001</v>
      </c>
      <c r="C398">
        <v>1.8683000000000001</v>
      </c>
      <c r="D398">
        <v>2.2122999999999999</v>
      </c>
      <c r="E398">
        <v>2.8441000000000001</v>
      </c>
      <c r="F398">
        <v>3.6223999999999998</v>
      </c>
      <c r="G398">
        <v>4.5430999999999999</v>
      </c>
      <c r="H398">
        <v>5.6570999999999998</v>
      </c>
      <c r="I398">
        <v>6.5788000000000002</v>
      </c>
      <c r="J398">
        <v>9.0061</v>
      </c>
    </row>
    <row r="399" spans="1:10" x14ac:dyDescent="0.4">
      <c r="A399">
        <v>8</v>
      </c>
      <c r="B399">
        <v>0.155</v>
      </c>
      <c r="C399">
        <v>0.27439999999999998</v>
      </c>
      <c r="D399">
        <v>0.35039999999999999</v>
      </c>
      <c r="E399">
        <v>0.45590000000000003</v>
      </c>
      <c r="F399">
        <v>0.58340000000000003</v>
      </c>
      <c r="G399">
        <v>0.75570000000000004</v>
      </c>
      <c r="H399">
        <v>1.0007999999999999</v>
      </c>
      <c r="I399">
        <v>1.1818</v>
      </c>
      <c r="J399">
        <v>2.1002000000000001</v>
      </c>
    </row>
    <row r="400" spans="1:10" x14ac:dyDescent="0.4">
      <c r="A400">
        <v>9</v>
      </c>
      <c r="B400">
        <v>4.7699999999999999E-2</v>
      </c>
      <c r="C400">
        <v>6.5100000000000005E-2</v>
      </c>
      <c r="D400">
        <v>8.2100000000000006E-2</v>
      </c>
      <c r="E400">
        <v>0.1187</v>
      </c>
      <c r="F400">
        <v>0.16120000000000001</v>
      </c>
      <c r="G400">
        <v>0.21790000000000001</v>
      </c>
      <c r="H400">
        <v>0.3115</v>
      </c>
      <c r="I400">
        <v>0.3886</v>
      </c>
      <c r="J400">
        <v>0.84350000000000003</v>
      </c>
    </row>
    <row r="401" spans="1:10" x14ac:dyDescent="0.4">
      <c r="A401">
        <v>10</v>
      </c>
      <c r="B401">
        <v>1.3100000000000001E-2</v>
      </c>
      <c r="C401">
        <v>2.29E-2</v>
      </c>
      <c r="D401">
        <v>2.7400000000000001E-2</v>
      </c>
      <c r="E401">
        <v>3.8699999999999998E-2</v>
      </c>
      <c r="F401">
        <v>5.7500000000000002E-2</v>
      </c>
      <c r="G401">
        <v>8.14E-2</v>
      </c>
      <c r="H401">
        <v>0.1386</v>
      </c>
      <c r="I401">
        <v>0.1701</v>
      </c>
      <c r="J401">
        <v>0.55579999999999996</v>
      </c>
    </row>
    <row r="402" spans="1:10" x14ac:dyDescent="0.4">
      <c r="A402">
        <v>11</v>
      </c>
      <c r="B402">
        <v>1.5E-3</v>
      </c>
      <c r="C402">
        <v>3.0000000000000001E-3</v>
      </c>
      <c r="D402">
        <v>3.8E-3</v>
      </c>
      <c r="E402">
        <v>5.8999999999999999E-3</v>
      </c>
      <c r="F402">
        <v>9.1999999999999998E-3</v>
      </c>
      <c r="G402">
        <v>1.49E-2</v>
      </c>
      <c r="H402">
        <v>2.4500000000000001E-2</v>
      </c>
      <c r="I402">
        <v>3.2099999999999997E-2</v>
      </c>
      <c r="J402">
        <v>0.16600000000000001</v>
      </c>
    </row>
    <row r="403" spans="1:10" x14ac:dyDescent="0.4">
      <c r="A403">
        <v>12</v>
      </c>
      <c r="B403">
        <v>5.9999999999999995E-4</v>
      </c>
      <c r="C403">
        <v>1.5E-3</v>
      </c>
      <c r="D403">
        <v>2.0999999999999999E-3</v>
      </c>
      <c r="E403">
        <v>3.7000000000000002E-3</v>
      </c>
      <c r="F403">
        <v>6.6E-3</v>
      </c>
      <c r="G403">
        <v>1.15E-2</v>
      </c>
      <c r="H403">
        <v>2.1600000000000001E-2</v>
      </c>
      <c r="I403">
        <v>3.1800000000000002E-2</v>
      </c>
      <c r="J403">
        <v>0.27229999999999999</v>
      </c>
    </row>
    <row r="404" spans="1:10" x14ac:dyDescent="0.4">
      <c r="A404">
        <v>13</v>
      </c>
      <c r="B404">
        <v>0</v>
      </c>
      <c r="C404">
        <v>1E-4</v>
      </c>
      <c r="D404">
        <v>1E-4</v>
      </c>
      <c r="E404">
        <v>2.0000000000000001E-4</v>
      </c>
      <c r="F404">
        <v>5.0000000000000001E-4</v>
      </c>
      <c r="G404">
        <v>1E-3</v>
      </c>
      <c r="H404">
        <v>1.9E-3</v>
      </c>
      <c r="I404">
        <v>2.8E-3</v>
      </c>
      <c r="J404">
        <v>2.9100000000000001E-2</v>
      </c>
    </row>
    <row r="405" spans="1:10" x14ac:dyDescent="0.4">
      <c r="A405">
        <v>14</v>
      </c>
      <c r="B405">
        <v>0</v>
      </c>
      <c r="C405">
        <v>0</v>
      </c>
      <c r="D405">
        <v>0</v>
      </c>
      <c r="E405">
        <v>1E-4</v>
      </c>
      <c r="F405">
        <v>2.9999999999999997E-4</v>
      </c>
      <c r="G405">
        <v>5.0000000000000001E-4</v>
      </c>
      <c r="H405">
        <v>1.2999999999999999E-3</v>
      </c>
      <c r="I405">
        <v>2E-3</v>
      </c>
      <c r="J405">
        <v>3.3000000000000002E-2</v>
      </c>
    </row>
    <row r="406" spans="1:10" x14ac:dyDescent="0.4">
      <c r="A406" t="s">
        <v>29</v>
      </c>
      <c r="B406">
        <v>0</v>
      </c>
      <c r="C406">
        <v>0</v>
      </c>
      <c r="D406">
        <v>0</v>
      </c>
      <c r="E406">
        <v>0</v>
      </c>
      <c r="F406">
        <v>1E-4</v>
      </c>
      <c r="G406">
        <v>2.0000000000000001E-4</v>
      </c>
      <c r="H406">
        <v>5.0000000000000001E-4</v>
      </c>
      <c r="I406">
        <v>8.0000000000000004E-4</v>
      </c>
      <c r="J406">
        <v>4.02E-2</v>
      </c>
    </row>
    <row r="408" spans="1:10" x14ac:dyDescent="0.4">
      <c r="A408">
        <v>2026</v>
      </c>
    </row>
    <row r="410" spans="1:10" x14ac:dyDescent="0.4">
      <c r="A410" t="s">
        <v>0</v>
      </c>
      <c r="B410" s="2">
        <v>0.01</v>
      </c>
      <c r="C410" s="2">
        <v>0.05</v>
      </c>
      <c r="D410" s="2">
        <v>0.1</v>
      </c>
      <c r="E410" s="2">
        <v>0.25</v>
      </c>
      <c r="F410" s="2">
        <v>0.5</v>
      </c>
      <c r="G410" s="2">
        <v>0.75</v>
      </c>
      <c r="H410" s="2">
        <v>0.9</v>
      </c>
      <c r="I410" s="2">
        <v>0.95</v>
      </c>
      <c r="J410" s="2">
        <v>0.99</v>
      </c>
    </row>
    <row r="411" spans="1:10" x14ac:dyDescent="0.4">
      <c r="A411">
        <v>1</v>
      </c>
      <c r="B411">
        <v>68.658000000000001</v>
      </c>
      <c r="C411">
        <v>70.751000000000005</v>
      </c>
      <c r="D411">
        <v>79.139399999999995</v>
      </c>
      <c r="E411">
        <v>105.07089999999999</v>
      </c>
      <c r="F411">
        <v>168.6232</v>
      </c>
      <c r="G411">
        <v>237.17949999999999</v>
      </c>
      <c r="H411">
        <v>281.26940000000002</v>
      </c>
      <c r="I411">
        <v>307.93700000000001</v>
      </c>
      <c r="J411">
        <v>358.07530000000003</v>
      </c>
    </row>
    <row r="412" spans="1:10" x14ac:dyDescent="0.4">
      <c r="A412">
        <v>2</v>
      </c>
      <c r="B412">
        <v>39.306699999999999</v>
      </c>
      <c r="C412">
        <v>42.993400000000001</v>
      </c>
      <c r="D412">
        <v>46.995699999999999</v>
      </c>
      <c r="E412">
        <v>62.3628</v>
      </c>
      <c r="F412">
        <v>100.8018</v>
      </c>
      <c r="G412">
        <v>142.6799</v>
      </c>
      <c r="H412">
        <v>170.7877</v>
      </c>
      <c r="I412">
        <v>185.32140000000001</v>
      </c>
      <c r="J412">
        <v>215.73320000000001</v>
      </c>
    </row>
    <row r="413" spans="1:10" x14ac:dyDescent="0.4">
      <c r="A413">
        <v>3</v>
      </c>
      <c r="B413">
        <v>18.587199999999999</v>
      </c>
      <c r="C413">
        <v>22.1126</v>
      </c>
      <c r="D413">
        <v>24.6296</v>
      </c>
      <c r="E413">
        <v>32.9467</v>
      </c>
      <c r="F413">
        <v>54.025199999999998</v>
      </c>
      <c r="G413">
        <v>78.036100000000005</v>
      </c>
      <c r="H413">
        <v>96.215100000000007</v>
      </c>
      <c r="I413">
        <v>105.2771</v>
      </c>
      <c r="J413">
        <v>127.4615</v>
      </c>
    </row>
    <row r="414" spans="1:10" x14ac:dyDescent="0.4">
      <c r="A414">
        <v>4</v>
      </c>
      <c r="B414">
        <v>7.3551000000000002</v>
      </c>
      <c r="C414">
        <v>9.9528999999999996</v>
      </c>
      <c r="D414">
        <v>11.677300000000001</v>
      </c>
      <c r="E414">
        <v>16.171099999999999</v>
      </c>
      <c r="F414">
        <v>27.3751</v>
      </c>
      <c r="G414">
        <v>40.982300000000002</v>
      </c>
      <c r="H414">
        <v>52.805900000000001</v>
      </c>
      <c r="I414">
        <v>58.597700000000003</v>
      </c>
      <c r="J414">
        <v>72.062600000000003</v>
      </c>
    </row>
    <row r="415" spans="1:10" x14ac:dyDescent="0.4">
      <c r="A415">
        <v>5</v>
      </c>
      <c r="B415">
        <v>3.0939000000000001</v>
      </c>
      <c r="C415">
        <v>4.6375000000000002</v>
      </c>
      <c r="D415">
        <v>5.6634000000000002</v>
      </c>
      <c r="E415">
        <v>8.2174999999999994</v>
      </c>
      <c r="F415">
        <v>14.084300000000001</v>
      </c>
      <c r="G415">
        <v>21.870200000000001</v>
      </c>
      <c r="H415">
        <v>29.043800000000001</v>
      </c>
      <c r="I415">
        <v>32.828600000000002</v>
      </c>
      <c r="J415">
        <v>41.023499999999999</v>
      </c>
    </row>
    <row r="416" spans="1:10" x14ac:dyDescent="0.4">
      <c r="A416">
        <v>6</v>
      </c>
      <c r="B416">
        <v>3.0575000000000001</v>
      </c>
      <c r="C416">
        <v>4.8472999999999997</v>
      </c>
      <c r="D416">
        <v>6.0067000000000004</v>
      </c>
      <c r="E416">
        <v>8.3246000000000002</v>
      </c>
      <c r="F416">
        <v>11.8446</v>
      </c>
      <c r="G416">
        <v>16.426600000000001</v>
      </c>
      <c r="H416">
        <v>21.872399999999999</v>
      </c>
      <c r="I416">
        <v>25.465299999999999</v>
      </c>
      <c r="J416">
        <v>31.759799999999998</v>
      </c>
    </row>
    <row r="417" spans="1:10" x14ac:dyDescent="0.4">
      <c r="A417">
        <v>7</v>
      </c>
      <c r="B417">
        <v>0.94810000000000005</v>
      </c>
      <c r="C417">
        <v>1.5486</v>
      </c>
      <c r="D417">
        <v>1.9595</v>
      </c>
      <c r="E417">
        <v>2.7483</v>
      </c>
      <c r="F417">
        <v>3.7155</v>
      </c>
      <c r="G417">
        <v>4.8555999999999999</v>
      </c>
      <c r="H417">
        <v>6.1409000000000002</v>
      </c>
      <c r="I417">
        <v>7.0350999999999999</v>
      </c>
      <c r="J417">
        <v>8.7736000000000001</v>
      </c>
    </row>
    <row r="418" spans="1:10" x14ac:dyDescent="0.4">
      <c r="A418">
        <v>8</v>
      </c>
      <c r="B418">
        <v>0.44890000000000002</v>
      </c>
      <c r="C418">
        <v>0.72799999999999998</v>
      </c>
      <c r="D418">
        <v>0.9153</v>
      </c>
      <c r="E418">
        <v>1.276</v>
      </c>
      <c r="F418">
        <v>1.7339</v>
      </c>
      <c r="G418">
        <v>2.2789000000000001</v>
      </c>
      <c r="H418">
        <v>2.9319999999999999</v>
      </c>
      <c r="I418">
        <v>3.4397000000000002</v>
      </c>
      <c r="J418">
        <v>4.7487000000000004</v>
      </c>
    </row>
    <row r="419" spans="1:10" x14ac:dyDescent="0.4">
      <c r="A419">
        <v>9</v>
      </c>
      <c r="B419">
        <v>5.8500000000000003E-2</v>
      </c>
      <c r="C419">
        <v>0.1091</v>
      </c>
      <c r="D419">
        <v>0.14710000000000001</v>
      </c>
      <c r="E419">
        <v>0.20880000000000001</v>
      </c>
      <c r="F419">
        <v>0.28460000000000002</v>
      </c>
      <c r="G419">
        <v>0.38400000000000001</v>
      </c>
      <c r="H419">
        <v>0.52059999999999995</v>
      </c>
      <c r="I419">
        <v>0.63570000000000004</v>
      </c>
      <c r="J419">
        <v>1.1103000000000001</v>
      </c>
    </row>
    <row r="420" spans="1:10" x14ac:dyDescent="0.4">
      <c r="A420">
        <v>10</v>
      </c>
      <c r="B420">
        <v>1.78E-2</v>
      </c>
      <c r="C420">
        <v>2.8000000000000001E-2</v>
      </c>
      <c r="D420">
        <v>3.6299999999999999E-2</v>
      </c>
      <c r="E420">
        <v>5.5599999999999997E-2</v>
      </c>
      <c r="F420">
        <v>7.9799999999999996E-2</v>
      </c>
      <c r="G420">
        <v>0.1119</v>
      </c>
      <c r="H420">
        <v>0.16220000000000001</v>
      </c>
      <c r="I420">
        <v>0.20730000000000001</v>
      </c>
      <c r="J420">
        <v>0.44840000000000002</v>
      </c>
    </row>
    <row r="421" spans="1:10" x14ac:dyDescent="0.4">
      <c r="A421">
        <v>11</v>
      </c>
      <c r="B421">
        <v>5.4000000000000003E-3</v>
      </c>
      <c r="C421">
        <v>9.4999999999999998E-3</v>
      </c>
      <c r="D421">
        <v>1.2500000000000001E-2</v>
      </c>
      <c r="E421">
        <v>1.8599999999999998E-2</v>
      </c>
      <c r="F421">
        <v>2.86E-2</v>
      </c>
      <c r="G421">
        <v>4.2099999999999999E-2</v>
      </c>
      <c r="H421">
        <v>7.2400000000000006E-2</v>
      </c>
      <c r="I421">
        <v>9.1399999999999995E-2</v>
      </c>
      <c r="J421">
        <v>0.30049999999999999</v>
      </c>
    </row>
    <row r="422" spans="1:10" x14ac:dyDescent="0.4">
      <c r="A422">
        <v>12</v>
      </c>
      <c r="B422">
        <v>5.9999999999999995E-4</v>
      </c>
      <c r="C422">
        <v>1.2999999999999999E-3</v>
      </c>
      <c r="D422">
        <v>1.8E-3</v>
      </c>
      <c r="E422">
        <v>2.8999999999999998E-3</v>
      </c>
      <c r="F422">
        <v>4.5999999999999999E-3</v>
      </c>
      <c r="G422">
        <v>7.7000000000000002E-3</v>
      </c>
      <c r="H422">
        <v>1.29E-2</v>
      </c>
      <c r="I422">
        <v>1.7100000000000001E-2</v>
      </c>
      <c r="J422">
        <v>8.9700000000000002E-2</v>
      </c>
    </row>
    <row r="423" spans="1:10" x14ac:dyDescent="0.4">
      <c r="A423">
        <v>13</v>
      </c>
      <c r="B423">
        <v>2.9999999999999997E-4</v>
      </c>
      <c r="C423">
        <v>6.9999999999999999E-4</v>
      </c>
      <c r="D423">
        <v>1E-3</v>
      </c>
      <c r="E423">
        <v>1.8E-3</v>
      </c>
      <c r="F423">
        <v>3.3E-3</v>
      </c>
      <c r="G423">
        <v>5.8999999999999999E-3</v>
      </c>
      <c r="H423">
        <v>1.15E-2</v>
      </c>
      <c r="I423">
        <v>1.6799999999999999E-2</v>
      </c>
      <c r="J423">
        <v>0.1479</v>
      </c>
    </row>
    <row r="424" spans="1:10" x14ac:dyDescent="0.4">
      <c r="A424">
        <v>14</v>
      </c>
      <c r="B424">
        <v>0</v>
      </c>
      <c r="C424">
        <v>0</v>
      </c>
      <c r="D424">
        <v>1E-4</v>
      </c>
      <c r="E424">
        <v>1E-4</v>
      </c>
      <c r="F424">
        <v>2.9999999999999997E-4</v>
      </c>
      <c r="G424">
        <v>5.0000000000000001E-4</v>
      </c>
      <c r="H424">
        <v>1E-3</v>
      </c>
      <c r="I424">
        <v>1.5E-3</v>
      </c>
      <c r="J424">
        <v>1.5800000000000002E-2</v>
      </c>
    </row>
    <row r="425" spans="1:10" x14ac:dyDescent="0.4">
      <c r="A425" t="s">
        <v>29</v>
      </c>
      <c r="B425">
        <v>0</v>
      </c>
      <c r="C425">
        <v>0</v>
      </c>
      <c r="D425">
        <v>0</v>
      </c>
      <c r="E425">
        <v>1E-4</v>
      </c>
      <c r="F425">
        <v>2.0000000000000001E-4</v>
      </c>
      <c r="G425">
        <v>4.0000000000000002E-4</v>
      </c>
      <c r="H425">
        <v>8.9999999999999998E-4</v>
      </c>
      <c r="I425">
        <v>1.5E-3</v>
      </c>
      <c r="J425">
        <v>0.04</v>
      </c>
    </row>
    <row r="427" spans="1:10" x14ac:dyDescent="0.4">
      <c r="A427">
        <v>2027</v>
      </c>
    </row>
    <row r="429" spans="1:10" x14ac:dyDescent="0.4">
      <c r="A429" t="s">
        <v>0</v>
      </c>
      <c r="B429" s="2">
        <v>0.01</v>
      </c>
      <c r="C429" s="2">
        <v>0.05</v>
      </c>
      <c r="D429" s="2">
        <v>0.1</v>
      </c>
      <c r="E429" s="2">
        <v>0.25</v>
      </c>
      <c r="F429" s="2">
        <v>0.5</v>
      </c>
      <c r="G429" s="2">
        <v>0.75</v>
      </c>
      <c r="H429" s="2">
        <v>0.9</v>
      </c>
      <c r="I429" s="2">
        <v>0.95</v>
      </c>
      <c r="J429" s="2">
        <v>0.99</v>
      </c>
    </row>
    <row r="430" spans="1:10" x14ac:dyDescent="0.4">
      <c r="A430">
        <v>1</v>
      </c>
      <c r="B430">
        <v>68.662000000000006</v>
      </c>
      <c r="C430">
        <v>70.922300000000007</v>
      </c>
      <c r="D430">
        <v>79.182599999999994</v>
      </c>
      <c r="E430">
        <v>105.0825</v>
      </c>
      <c r="F430">
        <v>168.5309</v>
      </c>
      <c r="G430">
        <v>236.48609999999999</v>
      </c>
      <c r="H430">
        <v>280.61700000000002</v>
      </c>
      <c r="I430">
        <v>307.55040000000002</v>
      </c>
      <c r="J430">
        <v>341.44389999999999</v>
      </c>
    </row>
    <row r="431" spans="1:10" x14ac:dyDescent="0.4">
      <c r="A431">
        <v>2</v>
      </c>
      <c r="B431">
        <v>39.099299999999999</v>
      </c>
      <c r="C431">
        <v>42.816699999999997</v>
      </c>
      <c r="D431">
        <v>46.874499999999998</v>
      </c>
      <c r="E431">
        <v>62.262599999999999</v>
      </c>
      <c r="F431">
        <v>100.5539</v>
      </c>
      <c r="G431">
        <v>142.26050000000001</v>
      </c>
      <c r="H431">
        <v>170.44839999999999</v>
      </c>
      <c r="I431">
        <v>185.4479</v>
      </c>
      <c r="J431">
        <v>216.43629999999999</v>
      </c>
    </row>
    <row r="432" spans="1:10" x14ac:dyDescent="0.4">
      <c r="A432">
        <v>3</v>
      </c>
      <c r="B432">
        <v>17.468299999999999</v>
      </c>
      <c r="C432">
        <v>21.636399999999998</v>
      </c>
      <c r="D432">
        <v>24.283100000000001</v>
      </c>
      <c r="E432">
        <v>32.662300000000002</v>
      </c>
      <c r="F432">
        <v>53.777999999999999</v>
      </c>
      <c r="G432">
        <v>77.7607</v>
      </c>
      <c r="H432">
        <v>96.368099999999998</v>
      </c>
      <c r="I432">
        <v>105.2666</v>
      </c>
      <c r="J432">
        <v>126.5406</v>
      </c>
    </row>
    <row r="433" spans="1:10" x14ac:dyDescent="0.4">
      <c r="A433">
        <v>4</v>
      </c>
      <c r="B433">
        <v>5.6101000000000001</v>
      </c>
      <c r="C433">
        <v>8.6721000000000004</v>
      </c>
      <c r="D433">
        <v>10.5288</v>
      </c>
      <c r="E433">
        <v>14.963100000000001</v>
      </c>
      <c r="F433">
        <v>25.576799999999999</v>
      </c>
      <c r="G433">
        <v>38.8977</v>
      </c>
      <c r="H433">
        <v>50.632899999999999</v>
      </c>
      <c r="I433">
        <v>56.800199999999997</v>
      </c>
      <c r="J433">
        <v>71.470299999999995</v>
      </c>
    </row>
    <row r="434" spans="1:10" x14ac:dyDescent="0.4">
      <c r="A434">
        <v>5</v>
      </c>
      <c r="B434">
        <v>1.9100999999999999</v>
      </c>
      <c r="C434">
        <v>3.5095000000000001</v>
      </c>
      <c r="D434">
        <v>4.5789</v>
      </c>
      <c r="E434">
        <v>7.0252999999999997</v>
      </c>
      <c r="F434">
        <v>12.397600000000001</v>
      </c>
      <c r="G434">
        <v>19.8262</v>
      </c>
      <c r="H434">
        <v>26.9815</v>
      </c>
      <c r="I434">
        <v>30.802499999999998</v>
      </c>
      <c r="J434">
        <v>39.874000000000002</v>
      </c>
    </row>
    <row r="435" spans="1:10" x14ac:dyDescent="0.4">
      <c r="A435">
        <v>6</v>
      </c>
      <c r="B435">
        <v>0.77869999999999995</v>
      </c>
      <c r="C435">
        <v>1.5925</v>
      </c>
      <c r="D435">
        <v>2.1861999999999999</v>
      </c>
      <c r="E435">
        <v>3.5137</v>
      </c>
      <c r="F435">
        <v>6.2927999999999997</v>
      </c>
      <c r="G435">
        <v>10.4148</v>
      </c>
      <c r="H435">
        <v>14.586</v>
      </c>
      <c r="I435">
        <v>16.999600000000001</v>
      </c>
      <c r="J435">
        <v>22.256799999999998</v>
      </c>
    </row>
    <row r="436" spans="1:10" x14ac:dyDescent="0.4">
      <c r="A436">
        <v>7</v>
      </c>
      <c r="B436">
        <v>0.76700000000000002</v>
      </c>
      <c r="C436">
        <v>1.633</v>
      </c>
      <c r="D436">
        <v>2.2652999999999999</v>
      </c>
      <c r="E436">
        <v>3.5228000000000002</v>
      </c>
      <c r="F436">
        <v>5.4314</v>
      </c>
      <c r="G436">
        <v>8.0030000000000001</v>
      </c>
      <c r="H436">
        <v>11.0412</v>
      </c>
      <c r="I436">
        <v>13.134499999999999</v>
      </c>
      <c r="J436">
        <v>17.1282</v>
      </c>
    </row>
    <row r="437" spans="1:10" x14ac:dyDescent="0.4">
      <c r="A437">
        <v>8</v>
      </c>
      <c r="B437">
        <v>0.25009999999999999</v>
      </c>
      <c r="C437">
        <v>0.54249999999999998</v>
      </c>
      <c r="D437">
        <v>0.74919999999999998</v>
      </c>
      <c r="E437">
        <v>1.1753</v>
      </c>
      <c r="F437">
        <v>1.7339</v>
      </c>
      <c r="G437">
        <v>2.4028</v>
      </c>
      <c r="H437">
        <v>3.1406999999999998</v>
      </c>
      <c r="I437">
        <v>3.6659000000000002</v>
      </c>
      <c r="J437">
        <v>4.7251000000000003</v>
      </c>
    </row>
    <row r="438" spans="1:10" x14ac:dyDescent="0.4">
      <c r="A438">
        <v>9</v>
      </c>
      <c r="B438">
        <v>0.12470000000000001</v>
      </c>
      <c r="C438">
        <v>0.26500000000000001</v>
      </c>
      <c r="D438">
        <v>0.36159999999999998</v>
      </c>
      <c r="E438">
        <v>0.55830000000000002</v>
      </c>
      <c r="F438">
        <v>0.82489999999999997</v>
      </c>
      <c r="G438">
        <v>1.1459999999999999</v>
      </c>
      <c r="H438">
        <v>1.5206</v>
      </c>
      <c r="I438">
        <v>1.8037000000000001</v>
      </c>
      <c r="J438">
        <v>2.5139</v>
      </c>
    </row>
    <row r="439" spans="1:10" x14ac:dyDescent="0.4">
      <c r="A439">
        <v>10</v>
      </c>
      <c r="B439">
        <v>1.8499999999999999E-2</v>
      </c>
      <c r="C439">
        <v>4.1399999999999999E-2</v>
      </c>
      <c r="D439">
        <v>5.8700000000000002E-2</v>
      </c>
      <c r="E439">
        <v>9.3299999999999994E-2</v>
      </c>
      <c r="F439">
        <v>0.13789999999999999</v>
      </c>
      <c r="G439">
        <v>0.19539999999999999</v>
      </c>
      <c r="H439">
        <v>0.27239999999999998</v>
      </c>
      <c r="I439">
        <v>0.33910000000000001</v>
      </c>
      <c r="J439">
        <v>0.57909999999999995</v>
      </c>
    </row>
    <row r="440" spans="1:10" x14ac:dyDescent="0.4">
      <c r="A440">
        <v>11</v>
      </c>
      <c r="B440">
        <v>5.5999999999999999E-3</v>
      </c>
      <c r="C440">
        <v>1.12E-2</v>
      </c>
      <c r="D440">
        <v>1.55E-2</v>
      </c>
      <c r="E440">
        <v>2.53E-2</v>
      </c>
      <c r="F440">
        <v>3.9100000000000003E-2</v>
      </c>
      <c r="G440">
        <v>5.7200000000000001E-2</v>
      </c>
      <c r="H440">
        <v>8.4199999999999997E-2</v>
      </c>
      <c r="I440">
        <v>0.11070000000000001</v>
      </c>
      <c r="J440">
        <v>0.2354</v>
      </c>
    </row>
    <row r="441" spans="1:10" x14ac:dyDescent="0.4">
      <c r="A441">
        <v>12</v>
      </c>
      <c r="B441">
        <v>1.8E-3</v>
      </c>
      <c r="C441">
        <v>3.8E-3</v>
      </c>
      <c r="D441">
        <v>5.4000000000000003E-3</v>
      </c>
      <c r="E441">
        <v>8.6999999999999994E-3</v>
      </c>
      <c r="F441">
        <v>1.41E-2</v>
      </c>
      <c r="G441">
        <v>2.18E-2</v>
      </c>
      <c r="H441">
        <v>3.7400000000000003E-2</v>
      </c>
      <c r="I441">
        <v>4.9099999999999998E-2</v>
      </c>
      <c r="J441">
        <v>0.15770000000000001</v>
      </c>
    </row>
    <row r="442" spans="1:10" x14ac:dyDescent="0.4">
      <c r="A442">
        <v>13</v>
      </c>
      <c r="B442">
        <v>2.0000000000000001E-4</v>
      </c>
      <c r="C442">
        <v>5.0000000000000001E-4</v>
      </c>
      <c r="D442">
        <v>8.0000000000000004E-4</v>
      </c>
      <c r="E442">
        <v>1.4E-3</v>
      </c>
      <c r="F442">
        <v>2.3E-3</v>
      </c>
      <c r="G442">
        <v>3.8999999999999998E-3</v>
      </c>
      <c r="H442">
        <v>6.7000000000000002E-3</v>
      </c>
      <c r="I442">
        <v>9.1000000000000004E-3</v>
      </c>
      <c r="J442">
        <v>4.7300000000000002E-2</v>
      </c>
    </row>
    <row r="443" spans="1:10" x14ac:dyDescent="0.4">
      <c r="A443">
        <v>14</v>
      </c>
      <c r="B443">
        <v>1E-4</v>
      </c>
      <c r="C443">
        <v>2.9999999999999997E-4</v>
      </c>
      <c r="D443">
        <v>5.0000000000000001E-4</v>
      </c>
      <c r="E443">
        <v>8.9999999999999998E-4</v>
      </c>
      <c r="F443">
        <v>1.6000000000000001E-3</v>
      </c>
      <c r="G443">
        <v>3.0000000000000001E-3</v>
      </c>
      <c r="H443">
        <v>6.0000000000000001E-3</v>
      </c>
      <c r="I443">
        <v>8.8999999999999999E-3</v>
      </c>
      <c r="J443">
        <v>7.8899999999999998E-2</v>
      </c>
    </row>
    <row r="444" spans="1:10" x14ac:dyDescent="0.4">
      <c r="A444" t="s">
        <v>29</v>
      </c>
      <c r="B444">
        <v>0</v>
      </c>
      <c r="C444">
        <v>0</v>
      </c>
      <c r="D444">
        <v>0</v>
      </c>
      <c r="E444">
        <v>1E-4</v>
      </c>
      <c r="F444">
        <v>2.0000000000000001E-4</v>
      </c>
      <c r="G444">
        <v>5.0000000000000001E-4</v>
      </c>
      <c r="H444">
        <v>1E-3</v>
      </c>
      <c r="I444">
        <v>1.6000000000000001E-3</v>
      </c>
      <c r="J444">
        <v>3.0300000000000001E-2</v>
      </c>
    </row>
    <row r="446" spans="1:10" x14ac:dyDescent="0.4">
      <c r="A446">
        <v>2028</v>
      </c>
    </row>
    <row r="448" spans="1:10" x14ac:dyDescent="0.4">
      <c r="A448" t="s">
        <v>0</v>
      </c>
      <c r="B448" s="2">
        <v>0.01</v>
      </c>
      <c r="C448" s="2">
        <v>0.05</v>
      </c>
      <c r="D448" s="2">
        <v>0.1</v>
      </c>
      <c r="E448" s="2">
        <v>0.25</v>
      </c>
      <c r="F448" s="2">
        <v>0.5</v>
      </c>
      <c r="G448" s="2">
        <v>0.75</v>
      </c>
      <c r="H448" s="2">
        <v>0.9</v>
      </c>
      <c r="I448" s="2">
        <v>0.95</v>
      </c>
      <c r="J448" s="2">
        <v>0.99</v>
      </c>
    </row>
    <row r="449" spans="1:10" x14ac:dyDescent="0.4">
      <c r="A449">
        <v>1</v>
      </c>
      <c r="B449">
        <v>68.661799999999999</v>
      </c>
      <c r="C449">
        <v>70.799499999999995</v>
      </c>
      <c r="D449">
        <v>79.167900000000003</v>
      </c>
      <c r="E449">
        <v>105.3074</v>
      </c>
      <c r="F449">
        <v>168.58940000000001</v>
      </c>
      <c r="G449">
        <v>236.7003</v>
      </c>
      <c r="H449">
        <v>279.14179999999999</v>
      </c>
      <c r="I449">
        <v>306.45569999999998</v>
      </c>
      <c r="J449">
        <v>337.28429999999997</v>
      </c>
    </row>
    <row r="450" spans="1:10" x14ac:dyDescent="0.4">
      <c r="A450">
        <v>2</v>
      </c>
      <c r="B450">
        <v>38.822699999999998</v>
      </c>
      <c r="C450">
        <v>42.683100000000003</v>
      </c>
      <c r="D450">
        <v>46.773099999999999</v>
      </c>
      <c r="E450">
        <v>62.0276</v>
      </c>
      <c r="F450">
        <v>99.908299999999997</v>
      </c>
      <c r="G450">
        <v>141.46180000000001</v>
      </c>
      <c r="H450">
        <v>169.73249999999999</v>
      </c>
      <c r="I450">
        <v>184.41460000000001</v>
      </c>
      <c r="J450">
        <v>211.6301</v>
      </c>
    </row>
    <row r="451" spans="1:10" x14ac:dyDescent="0.4">
      <c r="A451">
        <v>3</v>
      </c>
      <c r="B451">
        <v>16.026299999999999</v>
      </c>
      <c r="C451">
        <v>21.022500000000001</v>
      </c>
      <c r="D451">
        <v>23.791899999999998</v>
      </c>
      <c r="E451">
        <v>32.073</v>
      </c>
      <c r="F451">
        <v>52.912100000000002</v>
      </c>
      <c r="G451">
        <v>76.920199999999994</v>
      </c>
      <c r="H451">
        <v>95.505700000000004</v>
      </c>
      <c r="I451">
        <v>104.8669</v>
      </c>
      <c r="J451">
        <v>126.7195</v>
      </c>
    </row>
    <row r="452" spans="1:10" x14ac:dyDescent="0.4">
      <c r="A452">
        <v>4</v>
      </c>
      <c r="B452">
        <v>4.2912999999999997</v>
      </c>
      <c r="C452">
        <v>7.8540000000000001</v>
      </c>
      <c r="D452">
        <v>9.8931000000000004</v>
      </c>
      <c r="E452">
        <v>14.4527</v>
      </c>
      <c r="F452">
        <v>24.8903</v>
      </c>
      <c r="G452">
        <v>38.189300000000003</v>
      </c>
      <c r="H452">
        <v>50.235199999999999</v>
      </c>
      <c r="I452">
        <v>56.365299999999998</v>
      </c>
      <c r="J452">
        <v>71.058099999999996</v>
      </c>
    </row>
    <row r="453" spans="1:10" x14ac:dyDescent="0.4">
      <c r="A453">
        <v>5</v>
      </c>
      <c r="B453">
        <v>1.1238999999999999</v>
      </c>
      <c r="C453">
        <v>2.7469999999999999</v>
      </c>
      <c r="D453">
        <v>3.8544</v>
      </c>
      <c r="E453">
        <v>6.2988</v>
      </c>
      <c r="F453">
        <v>11.338800000000001</v>
      </c>
      <c r="G453">
        <v>18.5349</v>
      </c>
      <c r="H453">
        <v>25.5838</v>
      </c>
      <c r="I453">
        <v>29.700900000000001</v>
      </c>
      <c r="J453">
        <v>39.497199999999999</v>
      </c>
    </row>
    <row r="454" spans="1:10" x14ac:dyDescent="0.4">
      <c r="A454">
        <v>6</v>
      </c>
      <c r="B454">
        <v>0.35970000000000002</v>
      </c>
      <c r="C454">
        <v>1.0717000000000001</v>
      </c>
      <c r="D454">
        <v>1.6203000000000001</v>
      </c>
      <c r="E454">
        <v>2.8816999999999999</v>
      </c>
      <c r="F454">
        <v>5.4151999999999996</v>
      </c>
      <c r="G454">
        <v>9.3375000000000004</v>
      </c>
      <c r="H454">
        <v>13.412000000000001</v>
      </c>
      <c r="I454">
        <v>15.846500000000001</v>
      </c>
      <c r="J454">
        <v>21.544599999999999</v>
      </c>
    </row>
    <row r="455" spans="1:10" x14ac:dyDescent="0.4">
      <c r="A455">
        <v>7</v>
      </c>
      <c r="B455">
        <v>0.15379999999999999</v>
      </c>
      <c r="C455">
        <v>0.49380000000000002</v>
      </c>
      <c r="D455">
        <v>0.78449999999999998</v>
      </c>
      <c r="E455">
        <v>1.4545999999999999</v>
      </c>
      <c r="F455">
        <v>2.7704</v>
      </c>
      <c r="G455">
        <v>4.8974000000000002</v>
      </c>
      <c r="H455">
        <v>7.2480000000000002</v>
      </c>
      <c r="I455">
        <v>8.6893999999999991</v>
      </c>
      <c r="J455">
        <v>11.9832</v>
      </c>
    </row>
    <row r="456" spans="1:10" x14ac:dyDescent="0.4">
      <c r="A456">
        <v>8</v>
      </c>
      <c r="B456">
        <v>0.1522</v>
      </c>
      <c r="C456">
        <v>0.51139999999999997</v>
      </c>
      <c r="D456">
        <v>0.81279999999999997</v>
      </c>
      <c r="E456">
        <v>1.4564999999999999</v>
      </c>
      <c r="F456">
        <v>2.4727000000000001</v>
      </c>
      <c r="G456">
        <v>3.8853</v>
      </c>
      <c r="H456">
        <v>5.5650000000000004</v>
      </c>
      <c r="I456">
        <v>6.7567000000000004</v>
      </c>
      <c r="J456">
        <v>9.2200000000000006</v>
      </c>
    </row>
    <row r="457" spans="1:10" x14ac:dyDescent="0.4">
      <c r="A457">
        <v>9</v>
      </c>
      <c r="B457">
        <v>5.3600000000000002E-2</v>
      </c>
      <c r="C457">
        <v>0.17649999999999999</v>
      </c>
      <c r="D457">
        <v>0.27579999999999999</v>
      </c>
      <c r="E457">
        <v>0.49249999999999999</v>
      </c>
      <c r="F457">
        <v>0.80349999999999999</v>
      </c>
      <c r="G457">
        <v>1.1904999999999999</v>
      </c>
      <c r="H457">
        <v>1.6154999999999999</v>
      </c>
      <c r="I457">
        <v>1.9214</v>
      </c>
      <c r="J457">
        <v>2.5676000000000001</v>
      </c>
    </row>
    <row r="458" spans="1:10" x14ac:dyDescent="0.4">
      <c r="A458">
        <v>10</v>
      </c>
      <c r="B458">
        <v>2.8000000000000001E-2</v>
      </c>
      <c r="C458">
        <v>8.9099999999999999E-2</v>
      </c>
      <c r="D458">
        <v>0.13700000000000001</v>
      </c>
      <c r="E458">
        <v>0.24010000000000001</v>
      </c>
      <c r="F458">
        <v>0.38990000000000002</v>
      </c>
      <c r="G458">
        <v>0.57620000000000005</v>
      </c>
      <c r="H458">
        <v>0.7923</v>
      </c>
      <c r="I458">
        <v>0.95620000000000005</v>
      </c>
      <c r="J458">
        <v>1.3483000000000001</v>
      </c>
    </row>
    <row r="459" spans="1:10" x14ac:dyDescent="0.4">
      <c r="A459">
        <v>11</v>
      </c>
      <c r="B459">
        <v>4.5999999999999999E-3</v>
      </c>
      <c r="C459">
        <v>1.44E-2</v>
      </c>
      <c r="D459">
        <v>2.2700000000000001E-2</v>
      </c>
      <c r="E459">
        <v>4.0800000000000003E-2</v>
      </c>
      <c r="F459">
        <v>6.6199999999999995E-2</v>
      </c>
      <c r="G459">
        <v>9.9199999999999997E-2</v>
      </c>
      <c r="H459">
        <v>0.14249999999999999</v>
      </c>
      <c r="I459">
        <v>0.18</v>
      </c>
      <c r="J459">
        <v>0.30320000000000003</v>
      </c>
    </row>
    <row r="460" spans="1:10" x14ac:dyDescent="0.4">
      <c r="A460">
        <v>12</v>
      </c>
      <c r="B460">
        <v>1.4E-3</v>
      </c>
      <c r="C460">
        <v>4.1000000000000003E-3</v>
      </c>
      <c r="D460">
        <v>6.1999999999999998E-3</v>
      </c>
      <c r="E460">
        <v>1.12E-2</v>
      </c>
      <c r="F460">
        <v>1.89E-2</v>
      </c>
      <c r="G460">
        <v>2.92E-2</v>
      </c>
      <c r="H460">
        <v>4.3900000000000002E-2</v>
      </c>
      <c r="I460">
        <v>5.8799999999999998E-2</v>
      </c>
      <c r="J460">
        <v>0.12280000000000001</v>
      </c>
    </row>
    <row r="461" spans="1:10" x14ac:dyDescent="0.4">
      <c r="A461">
        <v>13</v>
      </c>
      <c r="B461">
        <v>5.0000000000000001E-4</v>
      </c>
      <c r="C461">
        <v>1.4E-3</v>
      </c>
      <c r="D461">
        <v>2.2000000000000001E-3</v>
      </c>
      <c r="E461">
        <v>4.0000000000000001E-3</v>
      </c>
      <c r="F461">
        <v>6.8999999999999999E-3</v>
      </c>
      <c r="G461">
        <v>1.12E-2</v>
      </c>
      <c r="H461">
        <v>1.9099999999999999E-2</v>
      </c>
      <c r="I461">
        <v>2.6200000000000001E-2</v>
      </c>
      <c r="J461">
        <v>8.2199999999999995E-2</v>
      </c>
    </row>
    <row r="462" spans="1:10" x14ac:dyDescent="0.4">
      <c r="A462">
        <v>14</v>
      </c>
      <c r="B462">
        <v>1E-4</v>
      </c>
      <c r="C462">
        <v>2.0000000000000001E-4</v>
      </c>
      <c r="D462">
        <v>2.9999999999999997E-4</v>
      </c>
      <c r="E462">
        <v>5.9999999999999995E-4</v>
      </c>
      <c r="F462">
        <v>1.1000000000000001E-3</v>
      </c>
      <c r="G462">
        <v>2E-3</v>
      </c>
      <c r="H462">
        <v>3.5000000000000001E-3</v>
      </c>
      <c r="I462">
        <v>4.7999999999999996E-3</v>
      </c>
      <c r="J462">
        <v>2.4799999999999999E-2</v>
      </c>
    </row>
    <row r="463" spans="1:10" x14ac:dyDescent="0.4">
      <c r="A463" t="s">
        <v>29</v>
      </c>
      <c r="B463">
        <v>0</v>
      </c>
      <c r="C463">
        <v>1E-4</v>
      </c>
      <c r="D463">
        <v>2.0000000000000001E-4</v>
      </c>
      <c r="E463">
        <v>4.0000000000000002E-4</v>
      </c>
      <c r="F463">
        <v>8.9999999999999998E-4</v>
      </c>
      <c r="G463">
        <v>1.8E-3</v>
      </c>
      <c r="H463">
        <v>3.5999999999999999E-3</v>
      </c>
      <c r="I463">
        <v>5.4999999999999997E-3</v>
      </c>
      <c r="J463">
        <v>5.7500000000000002E-2</v>
      </c>
    </row>
    <row r="465" spans="1:10" x14ac:dyDescent="0.4">
      <c r="A465">
        <v>2029</v>
      </c>
    </row>
    <row r="467" spans="1:10" x14ac:dyDescent="0.4">
      <c r="A467" t="s">
        <v>0</v>
      </c>
      <c r="B467" s="2">
        <v>0.01</v>
      </c>
      <c r="C467" s="2">
        <v>0.05</v>
      </c>
      <c r="D467" s="2">
        <v>0.1</v>
      </c>
      <c r="E467" s="2">
        <v>0.25</v>
      </c>
      <c r="F467" s="2">
        <v>0.5</v>
      </c>
      <c r="G467" s="2">
        <v>0.75</v>
      </c>
      <c r="H467" s="2">
        <v>0.9</v>
      </c>
      <c r="I467" s="2">
        <v>0.95</v>
      </c>
      <c r="J467" s="2">
        <v>0.99</v>
      </c>
    </row>
    <row r="468" spans="1:10" x14ac:dyDescent="0.4">
      <c r="A468">
        <v>1</v>
      </c>
      <c r="B468">
        <v>68.654300000000006</v>
      </c>
      <c r="C468">
        <v>70.874799999999993</v>
      </c>
      <c r="D468">
        <v>79.156099999999995</v>
      </c>
      <c r="E468">
        <v>105.0351</v>
      </c>
      <c r="F468">
        <v>168.46799999999999</v>
      </c>
      <c r="G468">
        <v>236.53380000000001</v>
      </c>
      <c r="H468">
        <v>279.88490000000002</v>
      </c>
      <c r="I468">
        <v>307.23739999999998</v>
      </c>
      <c r="J468">
        <v>341.71570000000003</v>
      </c>
    </row>
    <row r="469" spans="1:10" x14ac:dyDescent="0.4">
      <c r="A469">
        <v>2</v>
      </c>
      <c r="B469">
        <v>38.227400000000003</v>
      </c>
      <c r="C469">
        <v>42.166800000000002</v>
      </c>
      <c r="D469">
        <v>46.291600000000003</v>
      </c>
      <c r="E469">
        <v>61.442599999999999</v>
      </c>
      <c r="F469">
        <v>99.099400000000003</v>
      </c>
      <c r="G469">
        <v>140.01140000000001</v>
      </c>
      <c r="H469">
        <v>167.78020000000001</v>
      </c>
      <c r="I469">
        <v>182.6164</v>
      </c>
      <c r="J469">
        <v>209.16210000000001</v>
      </c>
    </row>
    <row r="470" spans="1:10" x14ac:dyDescent="0.4">
      <c r="A470">
        <v>3</v>
      </c>
      <c r="B470">
        <v>15.1294</v>
      </c>
      <c r="C470">
        <v>20.592300000000002</v>
      </c>
      <c r="D470">
        <v>23.415800000000001</v>
      </c>
      <c r="E470">
        <v>31.6372</v>
      </c>
      <c r="F470">
        <v>52.287100000000002</v>
      </c>
      <c r="G470">
        <v>75.779600000000002</v>
      </c>
      <c r="H470">
        <v>94.830100000000002</v>
      </c>
      <c r="I470">
        <v>104.0694</v>
      </c>
      <c r="J470">
        <v>124.1561</v>
      </c>
    </row>
    <row r="471" spans="1:10" x14ac:dyDescent="0.4">
      <c r="A471">
        <v>4</v>
      </c>
      <c r="B471">
        <v>3.6903999999999999</v>
      </c>
      <c r="C471">
        <v>7.5434000000000001</v>
      </c>
      <c r="D471">
        <v>9.6973000000000003</v>
      </c>
      <c r="E471">
        <v>14.2517</v>
      </c>
      <c r="F471">
        <v>24.689399999999999</v>
      </c>
      <c r="G471">
        <v>37.979999999999997</v>
      </c>
      <c r="H471">
        <v>50.176299999999998</v>
      </c>
      <c r="I471">
        <v>56.4422</v>
      </c>
      <c r="J471">
        <v>71.310199999999995</v>
      </c>
    </row>
    <row r="472" spans="1:10" x14ac:dyDescent="0.4">
      <c r="A472">
        <v>5</v>
      </c>
      <c r="B472">
        <v>0.77500000000000002</v>
      </c>
      <c r="C472">
        <v>2.4579</v>
      </c>
      <c r="D472">
        <v>3.6356000000000002</v>
      </c>
      <c r="E472">
        <v>6.1307999999999998</v>
      </c>
      <c r="F472">
        <v>11.1435</v>
      </c>
      <c r="G472">
        <v>18.421800000000001</v>
      </c>
      <c r="H472">
        <v>25.6968</v>
      </c>
      <c r="I472">
        <v>29.7651</v>
      </c>
      <c r="J472">
        <v>39.4604</v>
      </c>
    </row>
    <row r="473" spans="1:10" x14ac:dyDescent="0.4">
      <c r="A473">
        <v>6</v>
      </c>
      <c r="B473">
        <v>0.19489999999999999</v>
      </c>
      <c r="C473">
        <v>0.82179999999999997</v>
      </c>
      <c r="D473">
        <v>1.3572</v>
      </c>
      <c r="E473">
        <v>2.6074999999999999</v>
      </c>
      <c r="F473">
        <v>5.0170000000000003</v>
      </c>
      <c r="G473">
        <v>8.8198000000000008</v>
      </c>
      <c r="H473">
        <v>12.895</v>
      </c>
      <c r="I473">
        <v>15.453900000000001</v>
      </c>
      <c r="J473">
        <v>21.555700000000002</v>
      </c>
    </row>
    <row r="474" spans="1:10" x14ac:dyDescent="0.4">
      <c r="A474">
        <v>7</v>
      </c>
      <c r="B474">
        <v>6.3700000000000007E-2</v>
      </c>
      <c r="C474">
        <v>0.32279999999999998</v>
      </c>
      <c r="D474">
        <v>0.57740000000000002</v>
      </c>
      <c r="E474">
        <v>1.1967000000000001</v>
      </c>
      <c r="F474">
        <v>2.4266999999999999</v>
      </c>
      <c r="G474">
        <v>4.4654999999999996</v>
      </c>
      <c r="H474">
        <v>6.7568999999999999</v>
      </c>
      <c r="I474">
        <v>8.2532999999999994</v>
      </c>
      <c r="J474">
        <v>11.7402</v>
      </c>
    </row>
    <row r="475" spans="1:10" x14ac:dyDescent="0.4">
      <c r="A475">
        <v>8</v>
      </c>
      <c r="B475">
        <v>2.8500000000000001E-2</v>
      </c>
      <c r="C475">
        <v>0.1545</v>
      </c>
      <c r="D475">
        <v>0.2858</v>
      </c>
      <c r="E475">
        <v>0.61629999999999996</v>
      </c>
      <c r="F475">
        <v>1.2609999999999999</v>
      </c>
      <c r="G475">
        <v>2.3733</v>
      </c>
      <c r="H475">
        <v>3.6846999999999999</v>
      </c>
      <c r="I475">
        <v>4.548</v>
      </c>
      <c r="J475">
        <v>6.5475000000000003</v>
      </c>
    </row>
    <row r="476" spans="1:10" x14ac:dyDescent="0.4">
      <c r="A476">
        <v>9</v>
      </c>
      <c r="B476">
        <v>2.92E-2</v>
      </c>
      <c r="C476">
        <v>0.16239999999999999</v>
      </c>
      <c r="D476">
        <v>0.29680000000000001</v>
      </c>
      <c r="E476">
        <v>0.62029999999999996</v>
      </c>
      <c r="F476">
        <v>1.1594</v>
      </c>
      <c r="G476">
        <v>1.9336</v>
      </c>
      <c r="H476">
        <v>2.8822000000000001</v>
      </c>
      <c r="I476">
        <v>3.5703999999999998</v>
      </c>
      <c r="J476">
        <v>5.0625999999999998</v>
      </c>
    </row>
    <row r="477" spans="1:10" x14ac:dyDescent="0.4">
      <c r="A477">
        <v>10</v>
      </c>
      <c r="B477">
        <v>1.06E-2</v>
      </c>
      <c r="C477">
        <v>5.7299999999999997E-2</v>
      </c>
      <c r="D477">
        <v>0.1027</v>
      </c>
      <c r="E477">
        <v>0.2127</v>
      </c>
      <c r="F477">
        <v>0.3831</v>
      </c>
      <c r="G477">
        <v>0.60350000000000004</v>
      </c>
      <c r="H477">
        <v>0.85219999999999996</v>
      </c>
      <c r="I477">
        <v>1.0333000000000001</v>
      </c>
      <c r="J477">
        <v>1.4281999999999999</v>
      </c>
    </row>
    <row r="478" spans="1:10" x14ac:dyDescent="0.4">
      <c r="A478">
        <v>11</v>
      </c>
      <c r="B478">
        <v>5.8999999999999999E-3</v>
      </c>
      <c r="C478">
        <v>2.9700000000000001E-2</v>
      </c>
      <c r="D478">
        <v>5.2299999999999999E-2</v>
      </c>
      <c r="E478">
        <v>0.1056</v>
      </c>
      <c r="F478">
        <v>0.1883</v>
      </c>
      <c r="G478">
        <v>0.2949</v>
      </c>
      <c r="H478">
        <v>0.42070000000000002</v>
      </c>
      <c r="I478">
        <v>0.51500000000000001</v>
      </c>
      <c r="J478">
        <v>0.74180000000000001</v>
      </c>
    </row>
    <row r="479" spans="1:10" x14ac:dyDescent="0.4">
      <c r="A479">
        <v>12</v>
      </c>
      <c r="B479">
        <v>1E-3</v>
      </c>
      <c r="C479">
        <v>5.0000000000000001E-3</v>
      </c>
      <c r="D479">
        <v>8.8000000000000005E-3</v>
      </c>
      <c r="E479">
        <v>1.8100000000000002E-2</v>
      </c>
      <c r="F479">
        <v>3.2300000000000002E-2</v>
      </c>
      <c r="G479">
        <v>5.1299999999999998E-2</v>
      </c>
      <c r="H479">
        <v>7.5700000000000003E-2</v>
      </c>
      <c r="I479">
        <v>9.7000000000000003E-2</v>
      </c>
      <c r="J479">
        <v>0.16250000000000001</v>
      </c>
    </row>
    <row r="480" spans="1:10" x14ac:dyDescent="0.4">
      <c r="A480">
        <v>13</v>
      </c>
      <c r="B480">
        <v>2.9999999999999997E-4</v>
      </c>
      <c r="C480">
        <v>1.5E-3</v>
      </c>
      <c r="D480">
        <v>2.5000000000000001E-3</v>
      </c>
      <c r="E480">
        <v>5.1000000000000004E-3</v>
      </c>
      <c r="F480">
        <v>9.2999999999999992E-3</v>
      </c>
      <c r="G480">
        <v>1.52E-2</v>
      </c>
      <c r="H480">
        <v>2.3300000000000001E-2</v>
      </c>
      <c r="I480">
        <v>3.1399999999999997E-2</v>
      </c>
      <c r="J480">
        <v>6.4699999999999994E-2</v>
      </c>
    </row>
    <row r="481" spans="1:10" x14ac:dyDescent="0.4">
      <c r="A481">
        <v>14</v>
      </c>
      <c r="B481">
        <v>1E-4</v>
      </c>
      <c r="C481">
        <v>5.0000000000000001E-4</v>
      </c>
      <c r="D481">
        <v>8.9999999999999998E-4</v>
      </c>
      <c r="E481">
        <v>1.8E-3</v>
      </c>
      <c r="F481">
        <v>3.3999999999999998E-3</v>
      </c>
      <c r="G481">
        <v>5.7999999999999996E-3</v>
      </c>
      <c r="H481">
        <v>0.01</v>
      </c>
      <c r="I481">
        <v>1.41E-2</v>
      </c>
      <c r="J481">
        <v>4.2500000000000003E-2</v>
      </c>
    </row>
    <row r="482" spans="1:10" x14ac:dyDescent="0.4">
      <c r="A482" t="s">
        <v>29</v>
      </c>
      <c r="B482">
        <v>0</v>
      </c>
      <c r="C482">
        <v>1E-4</v>
      </c>
      <c r="D482">
        <v>2.0000000000000001E-4</v>
      </c>
      <c r="E482">
        <v>5.0000000000000001E-4</v>
      </c>
      <c r="F482">
        <v>1E-3</v>
      </c>
      <c r="G482">
        <v>1.9E-3</v>
      </c>
      <c r="H482">
        <v>3.7000000000000002E-3</v>
      </c>
      <c r="I482">
        <v>5.4999999999999997E-3</v>
      </c>
      <c r="J482">
        <v>4.3299999999999998E-2</v>
      </c>
    </row>
    <row r="484" spans="1:10" x14ac:dyDescent="0.4">
      <c r="A484">
        <v>2030</v>
      </c>
    </row>
    <row r="486" spans="1:10" x14ac:dyDescent="0.4">
      <c r="A486" t="s">
        <v>0</v>
      </c>
      <c r="B486" s="2">
        <v>0.01</v>
      </c>
      <c r="C486" s="2">
        <v>0.05</v>
      </c>
      <c r="D486" s="2">
        <v>0.1</v>
      </c>
      <c r="E486" s="2">
        <v>0.25</v>
      </c>
      <c r="F486" s="2">
        <v>0.5</v>
      </c>
      <c r="G486" s="2">
        <v>0.75</v>
      </c>
      <c r="H486" s="2">
        <v>0.9</v>
      </c>
      <c r="I486" s="2">
        <v>0.95</v>
      </c>
      <c r="J486" s="2">
        <v>0.99</v>
      </c>
    </row>
    <row r="487" spans="1:10" x14ac:dyDescent="0.4">
      <c r="A487">
        <v>1</v>
      </c>
      <c r="B487">
        <v>68.665800000000004</v>
      </c>
      <c r="C487">
        <v>70.812399999999997</v>
      </c>
      <c r="D487">
        <v>79.1143</v>
      </c>
      <c r="E487">
        <v>104.8463</v>
      </c>
      <c r="F487">
        <v>168.5275</v>
      </c>
      <c r="G487">
        <v>236.56870000000001</v>
      </c>
      <c r="H487">
        <v>280.00130000000001</v>
      </c>
      <c r="I487">
        <v>306.67450000000002</v>
      </c>
      <c r="J487">
        <v>327.81569999999999</v>
      </c>
    </row>
    <row r="488" spans="1:10" x14ac:dyDescent="0.4">
      <c r="A488">
        <v>2</v>
      </c>
      <c r="B488">
        <v>37.9358</v>
      </c>
      <c r="C488">
        <v>42.069400000000002</v>
      </c>
      <c r="D488">
        <v>46.093699999999998</v>
      </c>
      <c r="E488">
        <v>61.131500000000003</v>
      </c>
      <c r="F488">
        <v>98.7089</v>
      </c>
      <c r="G488">
        <v>139.81229999999999</v>
      </c>
      <c r="H488">
        <v>167.8535</v>
      </c>
      <c r="I488">
        <v>182.33109999999999</v>
      </c>
      <c r="J488">
        <v>210.18260000000001</v>
      </c>
    </row>
    <row r="489" spans="1:10" x14ac:dyDescent="0.4">
      <c r="A489">
        <v>3</v>
      </c>
      <c r="B489">
        <v>14.209300000000001</v>
      </c>
      <c r="C489">
        <v>20.035799999999998</v>
      </c>
      <c r="D489">
        <v>22.942399999999999</v>
      </c>
      <c r="E489">
        <v>31.109200000000001</v>
      </c>
      <c r="F489">
        <v>51.419400000000003</v>
      </c>
      <c r="G489">
        <v>74.593900000000005</v>
      </c>
      <c r="H489">
        <v>93.539199999999994</v>
      </c>
      <c r="I489">
        <v>102.9751</v>
      </c>
      <c r="J489">
        <v>123.2657</v>
      </c>
    </row>
    <row r="490" spans="1:10" x14ac:dyDescent="0.4">
      <c r="A490">
        <v>4</v>
      </c>
      <c r="B490">
        <v>3.1484999999999999</v>
      </c>
      <c r="C490">
        <v>7.1264000000000003</v>
      </c>
      <c r="D490">
        <v>9.3003999999999998</v>
      </c>
      <c r="E490">
        <v>13.902200000000001</v>
      </c>
      <c r="F490">
        <v>24.096399999999999</v>
      </c>
      <c r="G490">
        <v>37.239699999999999</v>
      </c>
      <c r="H490">
        <v>49.578699999999998</v>
      </c>
      <c r="I490">
        <v>55.8035</v>
      </c>
      <c r="J490">
        <v>70.068799999999996</v>
      </c>
    </row>
    <row r="491" spans="1:10" x14ac:dyDescent="0.4">
      <c r="A491">
        <v>5</v>
      </c>
      <c r="B491">
        <v>0.59150000000000003</v>
      </c>
      <c r="C491">
        <v>2.2483</v>
      </c>
      <c r="D491">
        <v>3.4192999999999998</v>
      </c>
      <c r="E491">
        <v>5.9424000000000001</v>
      </c>
      <c r="F491">
        <v>10.962</v>
      </c>
      <c r="G491">
        <v>18.2347</v>
      </c>
      <c r="H491">
        <v>25.5823</v>
      </c>
      <c r="I491">
        <v>29.705300000000001</v>
      </c>
      <c r="J491">
        <v>39.4129</v>
      </c>
    </row>
    <row r="492" spans="1:10" x14ac:dyDescent="0.4">
      <c r="A492">
        <v>6</v>
      </c>
      <c r="B492">
        <v>0.1168</v>
      </c>
      <c r="C492">
        <v>0.69069999999999998</v>
      </c>
      <c r="D492">
        <v>1.2262</v>
      </c>
      <c r="E492">
        <v>2.4882</v>
      </c>
      <c r="F492">
        <v>4.8728999999999996</v>
      </c>
      <c r="G492">
        <v>8.7462</v>
      </c>
      <c r="H492">
        <v>12.871600000000001</v>
      </c>
      <c r="I492">
        <v>15.4497</v>
      </c>
      <c r="J492">
        <v>21.4939</v>
      </c>
    </row>
    <row r="493" spans="1:10" x14ac:dyDescent="0.4">
      <c r="A493">
        <v>7</v>
      </c>
      <c r="B493">
        <v>2.8299999999999999E-2</v>
      </c>
      <c r="C493">
        <v>0.23319999999999999</v>
      </c>
      <c r="D493">
        <v>0.4632</v>
      </c>
      <c r="E493">
        <v>1.0622</v>
      </c>
      <c r="F493">
        <v>2.2219000000000002</v>
      </c>
      <c r="G493">
        <v>4.1966000000000001</v>
      </c>
      <c r="H493">
        <v>6.4898999999999996</v>
      </c>
      <c r="I493">
        <v>8.0050000000000008</v>
      </c>
      <c r="J493">
        <v>11.6921</v>
      </c>
    </row>
    <row r="494" spans="1:10" x14ac:dyDescent="0.4">
      <c r="A494">
        <v>8</v>
      </c>
      <c r="B494">
        <v>0.01</v>
      </c>
      <c r="C494">
        <v>9.5899999999999999E-2</v>
      </c>
      <c r="D494">
        <v>0.2014</v>
      </c>
      <c r="E494">
        <v>0.49249999999999999</v>
      </c>
      <c r="F494">
        <v>1.0934999999999999</v>
      </c>
      <c r="G494">
        <v>2.1486000000000001</v>
      </c>
      <c r="H494">
        <v>3.4188000000000001</v>
      </c>
      <c r="I494">
        <v>4.3040000000000003</v>
      </c>
      <c r="J494">
        <v>6.3883999999999999</v>
      </c>
    </row>
    <row r="495" spans="1:10" x14ac:dyDescent="0.4">
      <c r="A495">
        <v>9</v>
      </c>
      <c r="B495">
        <v>4.5999999999999999E-3</v>
      </c>
      <c r="C495">
        <v>4.7199999999999999E-2</v>
      </c>
      <c r="D495">
        <v>0.1019</v>
      </c>
      <c r="E495">
        <v>0.25890000000000002</v>
      </c>
      <c r="F495">
        <v>0.57869999999999999</v>
      </c>
      <c r="G495">
        <v>1.1608000000000001</v>
      </c>
      <c r="H495">
        <v>1.8866000000000001</v>
      </c>
      <c r="I495">
        <v>2.3965000000000001</v>
      </c>
      <c r="J495">
        <v>3.5973999999999999</v>
      </c>
    </row>
    <row r="496" spans="1:10" x14ac:dyDescent="0.4">
      <c r="A496">
        <v>10</v>
      </c>
      <c r="B496">
        <v>5.0000000000000001E-3</v>
      </c>
      <c r="C496">
        <v>5.0999999999999997E-2</v>
      </c>
      <c r="D496">
        <v>0.107</v>
      </c>
      <c r="E496">
        <v>0.26390000000000002</v>
      </c>
      <c r="F496">
        <v>0.54390000000000005</v>
      </c>
      <c r="G496">
        <v>0.96870000000000001</v>
      </c>
      <c r="H496">
        <v>1.5022</v>
      </c>
      <c r="I496">
        <v>1.9046000000000001</v>
      </c>
      <c r="J496">
        <v>2.7934999999999999</v>
      </c>
    </row>
    <row r="497" spans="1:10" x14ac:dyDescent="0.4">
      <c r="A497">
        <v>11</v>
      </c>
      <c r="B497">
        <v>1.9E-3</v>
      </c>
      <c r="C497">
        <v>1.8499999999999999E-2</v>
      </c>
      <c r="D497">
        <v>3.8100000000000002E-2</v>
      </c>
      <c r="E497">
        <v>9.1700000000000004E-2</v>
      </c>
      <c r="F497">
        <v>0.1822</v>
      </c>
      <c r="G497">
        <v>0.30649999999999999</v>
      </c>
      <c r="H497">
        <v>0.45119999999999999</v>
      </c>
      <c r="I497">
        <v>0.55840000000000001</v>
      </c>
      <c r="J497">
        <v>0.79749999999999999</v>
      </c>
    </row>
    <row r="498" spans="1:10" x14ac:dyDescent="0.4">
      <c r="A498">
        <v>12</v>
      </c>
      <c r="B498">
        <v>1.1000000000000001E-3</v>
      </c>
      <c r="C498">
        <v>9.9000000000000008E-3</v>
      </c>
      <c r="D498">
        <v>1.9699999999999999E-2</v>
      </c>
      <c r="E498">
        <v>4.6199999999999998E-2</v>
      </c>
      <c r="F498">
        <v>9.0499999999999997E-2</v>
      </c>
      <c r="G498">
        <v>0.15110000000000001</v>
      </c>
      <c r="H498">
        <v>0.2243</v>
      </c>
      <c r="I498">
        <v>0.27879999999999999</v>
      </c>
      <c r="J498">
        <v>0.40849999999999997</v>
      </c>
    </row>
    <row r="499" spans="1:10" x14ac:dyDescent="0.4">
      <c r="A499">
        <v>13</v>
      </c>
      <c r="B499">
        <v>2.0000000000000001E-4</v>
      </c>
      <c r="C499">
        <v>1.6999999999999999E-3</v>
      </c>
      <c r="D499">
        <v>3.3999999999999998E-3</v>
      </c>
      <c r="E499">
        <v>8.0000000000000002E-3</v>
      </c>
      <c r="F499">
        <v>1.5699999999999999E-2</v>
      </c>
      <c r="G499">
        <v>2.6499999999999999E-2</v>
      </c>
      <c r="H499">
        <v>4.0399999999999998E-2</v>
      </c>
      <c r="I499">
        <v>5.2299999999999999E-2</v>
      </c>
      <c r="J499">
        <v>8.77E-2</v>
      </c>
    </row>
    <row r="500" spans="1:10" x14ac:dyDescent="0.4">
      <c r="A500">
        <v>14</v>
      </c>
      <c r="B500">
        <v>1E-4</v>
      </c>
      <c r="C500">
        <v>5.0000000000000001E-4</v>
      </c>
      <c r="D500">
        <v>1E-3</v>
      </c>
      <c r="E500">
        <v>2.3E-3</v>
      </c>
      <c r="F500">
        <v>4.4999999999999997E-3</v>
      </c>
      <c r="G500">
        <v>7.7999999999999996E-3</v>
      </c>
      <c r="H500">
        <v>1.24E-2</v>
      </c>
      <c r="I500">
        <v>1.6799999999999999E-2</v>
      </c>
      <c r="J500">
        <v>3.4200000000000001E-2</v>
      </c>
    </row>
    <row r="501" spans="1:10" x14ac:dyDescent="0.4">
      <c r="A501" t="s">
        <v>29</v>
      </c>
      <c r="B501">
        <v>0</v>
      </c>
      <c r="C501">
        <v>2.0000000000000001E-4</v>
      </c>
      <c r="D501">
        <v>5.0000000000000001E-4</v>
      </c>
      <c r="E501">
        <v>1.1000000000000001E-3</v>
      </c>
      <c r="F501">
        <v>2.2000000000000001E-3</v>
      </c>
      <c r="G501">
        <v>4.0000000000000001E-3</v>
      </c>
      <c r="H501">
        <v>7.1000000000000004E-3</v>
      </c>
      <c r="I501">
        <v>1.0500000000000001E-2</v>
      </c>
      <c r="J501">
        <v>4.4200000000000003E-2</v>
      </c>
    </row>
    <row r="503" spans="1:10" x14ac:dyDescent="0.4">
      <c r="A503">
        <v>2031</v>
      </c>
    </row>
    <row r="505" spans="1:10" x14ac:dyDescent="0.4">
      <c r="A505" t="s">
        <v>0</v>
      </c>
      <c r="B505" s="2">
        <v>0.01</v>
      </c>
      <c r="C505" s="2">
        <v>0.05</v>
      </c>
      <c r="D505" s="2">
        <v>0.1</v>
      </c>
      <c r="E505" s="2">
        <v>0.25</v>
      </c>
      <c r="F505" s="2">
        <v>0.5</v>
      </c>
      <c r="G505" s="2">
        <v>0.75</v>
      </c>
      <c r="H505" s="2">
        <v>0.9</v>
      </c>
      <c r="I505" s="2">
        <v>0.95</v>
      </c>
      <c r="J505" s="2">
        <v>0.99</v>
      </c>
    </row>
    <row r="506" spans="1:10" x14ac:dyDescent="0.4">
      <c r="A506">
        <v>1</v>
      </c>
      <c r="B506">
        <v>68.645600000000002</v>
      </c>
      <c r="C506">
        <v>70.723799999999997</v>
      </c>
      <c r="D506">
        <v>79.150499999999994</v>
      </c>
      <c r="E506">
        <v>104.8477</v>
      </c>
      <c r="F506">
        <v>168.542</v>
      </c>
      <c r="G506">
        <v>236.30459999999999</v>
      </c>
      <c r="H506">
        <v>279.40839999999997</v>
      </c>
      <c r="I506">
        <v>306.24430000000001</v>
      </c>
      <c r="J506">
        <v>327.5265</v>
      </c>
    </row>
    <row r="507" spans="1:10" x14ac:dyDescent="0.4">
      <c r="A507">
        <v>2</v>
      </c>
      <c r="B507">
        <v>37.7637</v>
      </c>
      <c r="C507">
        <v>41.978499999999997</v>
      </c>
      <c r="D507">
        <v>45.938499999999998</v>
      </c>
      <c r="E507">
        <v>60.942799999999998</v>
      </c>
      <c r="F507">
        <v>98.627799999999993</v>
      </c>
      <c r="G507">
        <v>139.76939999999999</v>
      </c>
      <c r="H507">
        <v>167.83430000000001</v>
      </c>
      <c r="I507">
        <v>182.22749999999999</v>
      </c>
      <c r="J507">
        <v>206.92019999999999</v>
      </c>
    </row>
    <row r="508" spans="1:10" x14ac:dyDescent="0.4">
      <c r="A508">
        <v>3</v>
      </c>
      <c r="B508">
        <v>13.424899999999999</v>
      </c>
      <c r="C508">
        <v>19.549700000000001</v>
      </c>
      <c r="D508">
        <v>22.6432</v>
      </c>
      <c r="E508">
        <v>30.727499999999999</v>
      </c>
      <c r="F508">
        <v>50.9636</v>
      </c>
      <c r="G508">
        <v>74.301100000000005</v>
      </c>
      <c r="H508">
        <v>93.283299999999997</v>
      </c>
      <c r="I508">
        <v>102.5676</v>
      </c>
      <c r="J508">
        <v>123.1524</v>
      </c>
    </row>
    <row r="509" spans="1:10" x14ac:dyDescent="0.4">
      <c r="A509">
        <v>4</v>
      </c>
      <c r="B509">
        <v>2.6032000000000002</v>
      </c>
      <c r="C509">
        <v>6.6825999999999999</v>
      </c>
      <c r="D509">
        <v>8.89</v>
      </c>
      <c r="E509">
        <v>13.5726</v>
      </c>
      <c r="F509">
        <v>23.589500000000001</v>
      </c>
      <c r="G509">
        <v>36.5396</v>
      </c>
      <c r="H509">
        <v>48.797800000000002</v>
      </c>
      <c r="I509">
        <v>55.133600000000001</v>
      </c>
      <c r="J509">
        <v>69.2898</v>
      </c>
    </row>
    <row r="510" spans="1:10" x14ac:dyDescent="0.4">
      <c r="A510">
        <v>5</v>
      </c>
      <c r="B510">
        <v>0.44519999999999998</v>
      </c>
      <c r="C510">
        <v>1.9932000000000001</v>
      </c>
      <c r="D510">
        <v>3.1877</v>
      </c>
      <c r="E510">
        <v>5.6944999999999997</v>
      </c>
      <c r="F510">
        <v>10.588200000000001</v>
      </c>
      <c r="G510">
        <v>17.854700000000001</v>
      </c>
      <c r="H510">
        <v>25.151499999999999</v>
      </c>
      <c r="I510">
        <v>29.295000000000002</v>
      </c>
      <c r="J510">
        <v>38.815899999999999</v>
      </c>
    </row>
    <row r="511" spans="1:10" x14ac:dyDescent="0.4">
      <c r="A511">
        <v>6</v>
      </c>
      <c r="B511">
        <v>7.4700000000000003E-2</v>
      </c>
      <c r="C511">
        <v>0.60189999999999999</v>
      </c>
      <c r="D511">
        <v>1.1094999999999999</v>
      </c>
      <c r="E511">
        <v>2.3603000000000001</v>
      </c>
      <c r="F511">
        <v>4.7601000000000004</v>
      </c>
      <c r="G511">
        <v>8.6109000000000009</v>
      </c>
      <c r="H511">
        <v>12.765599999999999</v>
      </c>
      <c r="I511">
        <v>15.380100000000001</v>
      </c>
      <c r="J511">
        <v>21.525600000000001</v>
      </c>
    </row>
    <row r="512" spans="1:10" x14ac:dyDescent="0.4">
      <c r="A512">
        <v>7</v>
      </c>
      <c r="B512">
        <v>1.4999999999999999E-2</v>
      </c>
      <c r="C512">
        <v>0.1862</v>
      </c>
      <c r="D512">
        <v>0.39989999999999998</v>
      </c>
      <c r="E512">
        <v>0.98819999999999997</v>
      </c>
      <c r="F512">
        <v>2.1400999999999999</v>
      </c>
      <c r="G512">
        <v>4.1279000000000003</v>
      </c>
      <c r="H512">
        <v>6.4447000000000001</v>
      </c>
      <c r="I512">
        <v>7.9877000000000002</v>
      </c>
      <c r="J512">
        <v>11.7677</v>
      </c>
    </row>
    <row r="513" spans="1:10" x14ac:dyDescent="0.4">
      <c r="A513">
        <v>8</v>
      </c>
      <c r="B513">
        <v>4.0000000000000001E-3</v>
      </c>
      <c r="C513">
        <v>6.4899999999999999E-2</v>
      </c>
      <c r="D513">
        <v>0.1542</v>
      </c>
      <c r="E513">
        <v>0.42649999999999999</v>
      </c>
      <c r="F513">
        <v>0.99519999999999997</v>
      </c>
      <c r="G513">
        <v>2.0041000000000002</v>
      </c>
      <c r="H513">
        <v>3.2730999999999999</v>
      </c>
      <c r="I513">
        <v>4.1771000000000003</v>
      </c>
      <c r="J513">
        <v>6.3680000000000003</v>
      </c>
    </row>
    <row r="514" spans="1:10" x14ac:dyDescent="0.4">
      <c r="A514">
        <v>9</v>
      </c>
      <c r="B514">
        <v>1.4E-3</v>
      </c>
      <c r="C514">
        <v>2.7699999999999999E-2</v>
      </c>
      <c r="D514">
        <v>6.93E-2</v>
      </c>
      <c r="E514">
        <v>0.20349999999999999</v>
      </c>
      <c r="F514">
        <v>0.4985</v>
      </c>
      <c r="G514">
        <v>1.0403</v>
      </c>
      <c r="H514">
        <v>1.7452000000000001</v>
      </c>
      <c r="I514">
        <v>2.2538</v>
      </c>
      <c r="J514">
        <v>3.5028999999999999</v>
      </c>
    </row>
    <row r="515" spans="1:10" x14ac:dyDescent="0.4">
      <c r="A515">
        <v>10</v>
      </c>
      <c r="B515">
        <v>8.0000000000000004E-4</v>
      </c>
      <c r="C515">
        <v>1.43E-2</v>
      </c>
      <c r="D515">
        <v>3.6200000000000003E-2</v>
      </c>
      <c r="E515">
        <v>0.109</v>
      </c>
      <c r="F515">
        <v>0.26740000000000003</v>
      </c>
      <c r="G515">
        <v>0.56999999999999995</v>
      </c>
      <c r="H515">
        <v>0.97140000000000004</v>
      </c>
      <c r="I515">
        <v>1.2661</v>
      </c>
      <c r="J515">
        <v>1.9837</v>
      </c>
    </row>
    <row r="516" spans="1:10" x14ac:dyDescent="0.4">
      <c r="A516">
        <v>11</v>
      </c>
      <c r="B516">
        <v>8.9999999999999998E-4</v>
      </c>
      <c r="C516">
        <v>1.55E-2</v>
      </c>
      <c r="D516">
        <v>3.8100000000000002E-2</v>
      </c>
      <c r="E516">
        <v>0.1118</v>
      </c>
      <c r="F516">
        <v>0.25569999999999998</v>
      </c>
      <c r="G516">
        <v>0.48730000000000001</v>
      </c>
      <c r="H516">
        <v>0.78620000000000001</v>
      </c>
      <c r="I516">
        <v>1.0165</v>
      </c>
      <c r="J516">
        <v>1.5521</v>
      </c>
    </row>
    <row r="517" spans="1:10" x14ac:dyDescent="0.4">
      <c r="A517">
        <v>12</v>
      </c>
      <c r="B517">
        <v>4.0000000000000002E-4</v>
      </c>
      <c r="C517">
        <v>5.7000000000000002E-3</v>
      </c>
      <c r="D517">
        <v>1.3899999999999999E-2</v>
      </c>
      <c r="E517">
        <v>3.9300000000000002E-2</v>
      </c>
      <c r="F517">
        <v>8.6400000000000005E-2</v>
      </c>
      <c r="G517">
        <v>0.15579999999999999</v>
      </c>
      <c r="H517">
        <v>0.2392</v>
      </c>
      <c r="I517">
        <v>0.3024</v>
      </c>
      <c r="J517">
        <v>0.4486</v>
      </c>
    </row>
    <row r="518" spans="1:10" x14ac:dyDescent="0.4">
      <c r="A518">
        <v>13</v>
      </c>
      <c r="B518">
        <v>2.0000000000000001E-4</v>
      </c>
      <c r="C518">
        <v>3.0999999999999999E-3</v>
      </c>
      <c r="D518">
        <v>7.1999999999999998E-3</v>
      </c>
      <c r="E518">
        <v>0.02</v>
      </c>
      <c r="F518">
        <v>4.3400000000000001E-2</v>
      </c>
      <c r="G518">
        <v>7.7399999999999997E-2</v>
      </c>
      <c r="H518">
        <v>0.1191</v>
      </c>
      <c r="I518">
        <v>0.15060000000000001</v>
      </c>
      <c r="J518">
        <v>0.2288</v>
      </c>
    </row>
    <row r="519" spans="1:10" x14ac:dyDescent="0.4">
      <c r="A519">
        <v>14</v>
      </c>
      <c r="B519">
        <v>0</v>
      </c>
      <c r="C519">
        <v>5.9999999999999995E-4</v>
      </c>
      <c r="D519">
        <v>1.2999999999999999E-3</v>
      </c>
      <c r="E519">
        <v>3.5000000000000001E-3</v>
      </c>
      <c r="F519">
        <v>7.6E-3</v>
      </c>
      <c r="G519">
        <v>1.3599999999999999E-2</v>
      </c>
      <c r="H519">
        <v>2.1499999999999998E-2</v>
      </c>
      <c r="I519">
        <v>2.8199999999999999E-2</v>
      </c>
      <c r="J519">
        <v>4.7699999999999999E-2</v>
      </c>
    </row>
    <row r="520" spans="1:10" x14ac:dyDescent="0.4">
      <c r="A520" t="s">
        <v>29</v>
      </c>
      <c r="B520">
        <v>0</v>
      </c>
      <c r="C520">
        <v>2.9999999999999997E-4</v>
      </c>
      <c r="D520">
        <v>5.9999999999999995E-4</v>
      </c>
      <c r="E520">
        <v>1.5E-3</v>
      </c>
      <c r="F520">
        <v>3.3E-3</v>
      </c>
      <c r="G520">
        <v>6.1000000000000004E-3</v>
      </c>
      <c r="H520">
        <v>1.03E-2</v>
      </c>
      <c r="I520">
        <v>1.4500000000000001E-2</v>
      </c>
      <c r="J520">
        <v>3.8699999999999998E-2</v>
      </c>
    </row>
    <row r="522" spans="1:10" x14ac:dyDescent="0.4">
      <c r="A522">
        <v>2032</v>
      </c>
    </row>
    <row r="524" spans="1:10" x14ac:dyDescent="0.4">
      <c r="A524" t="s">
        <v>0</v>
      </c>
      <c r="B524" s="2">
        <v>0.01</v>
      </c>
      <c r="C524" s="2">
        <v>0.05</v>
      </c>
      <c r="D524" s="2">
        <v>0.1</v>
      </c>
      <c r="E524" s="2">
        <v>0.25</v>
      </c>
      <c r="F524" s="2">
        <v>0.5</v>
      </c>
      <c r="G524" s="2">
        <v>0.75</v>
      </c>
      <c r="H524" s="2">
        <v>0.9</v>
      </c>
      <c r="I524" s="2">
        <v>0.95</v>
      </c>
      <c r="J524" s="2">
        <v>0.99</v>
      </c>
    </row>
    <row r="525" spans="1:10" x14ac:dyDescent="0.4">
      <c r="A525">
        <v>1</v>
      </c>
      <c r="B525">
        <v>68.658000000000001</v>
      </c>
      <c r="C525">
        <v>70.573400000000007</v>
      </c>
      <c r="D525">
        <v>78.949100000000001</v>
      </c>
      <c r="E525">
        <v>104.94329999999999</v>
      </c>
      <c r="F525">
        <v>168.55869999999999</v>
      </c>
      <c r="G525">
        <v>236.68219999999999</v>
      </c>
      <c r="H525">
        <v>279.09449999999998</v>
      </c>
      <c r="I525">
        <v>306.78120000000001</v>
      </c>
      <c r="J525">
        <v>329.84519999999998</v>
      </c>
    </row>
    <row r="526" spans="1:10" x14ac:dyDescent="0.4">
      <c r="A526">
        <v>2</v>
      </c>
      <c r="B526">
        <v>37.493200000000002</v>
      </c>
      <c r="C526">
        <v>41.875900000000001</v>
      </c>
      <c r="D526">
        <v>45.939399999999999</v>
      </c>
      <c r="E526">
        <v>60.966700000000003</v>
      </c>
      <c r="F526">
        <v>98.564700000000002</v>
      </c>
      <c r="G526">
        <v>139.23830000000001</v>
      </c>
      <c r="H526">
        <v>167.22989999999999</v>
      </c>
      <c r="I526">
        <v>181.79640000000001</v>
      </c>
      <c r="J526">
        <v>206.81790000000001</v>
      </c>
    </row>
    <row r="527" spans="1:10" x14ac:dyDescent="0.4">
      <c r="A527">
        <v>3</v>
      </c>
      <c r="B527">
        <v>12.4011</v>
      </c>
      <c r="C527">
        <v>19.320499999999999</v>
      </c>
      <c r="D527">
        <v>22.398399999999999</v>
      </c>
      <c r="E527">
        <v>30.5322</v>
      </c>
      <c r="F527">
        <v>50.6798</v>
      </c>
      <c r="G527">
        <v>74.032200000000003</v>
      </c>
      <c r="H527">
        <v>93.089399999999998</v>
      </c>
      <c r="I527">
        <v>102.3403</v>
      </c>
      <c r="J527">
        <v>121.3227</v>
      </c>
    </row>
    <row r="528" spans="1:10" x14ac:dyDescent="0.4">
      <c r="A528">
        <v>4</v>
      </c>
      <c r="B528">
        <v>2.1663999999999999</v>
      </c>
      <c r="C528">
        <v>6.2362000000000002</v>
      </c>
      <c r="D528">
        <v>8.5881000000000007</v>
      </c>
      <c r="E528">
        <v>13.2669</v>
      </c>
      <c r="F528">
        <v>23.2407</v>
      </c>
      <c r="G528">
        <v>36.250100000000003</v>
      </c>
      <c r="H528">
        <v>48.604500000000002</v>
      </c>
      <c r="I528">
        <v>54.846499999999999</v>
      </c>
      <c r="J528">
        <v>69.082599999999999</v>
      </c>
    </row>
    <row r="529" spans="1:10" x14ac:dyDescent="0.4">
      <c r="A529">
        <v>5</v>
      </c>
      <c r="B529">
        <v>0.30080000000000001</v>
      </c>
      <c r="C529">
        <v>1.7836000000000001</v>
      </c>
      <c r="D529">
        <v>2.9672000000000001</v>
      </c>
      <c r="E529">
        <v>5.4894999999999996</v>
      </c>
      <c r="F529">
        <v>10.312200000000001</v>
      </c>
      <c r="G529">
        <v>17.418299999999999</v>
      </c>
      <c r="H529">
        <v>24.769400000000001</v>
      </c>
      <c r="I529">
        <v>28.871700000000001</v>
      </c>
      <c r="J529">
        <v>38.352800000000002</v>
      </c>
    </row>
    <row r="530" spans="1:10" x14ac:dyDescent="0.4">
      <c r="A530">
        <v>6</v>
      </c>
      <c r="B530">
        <v>4.58E-2</v>
      </c>
      <c r="C530">
        <v>0.50219999999999998</v>
      </c>
      <c r="D530">
        <v>1.0043</v>
      </c>
      <c r="E530">
        <v>2.2342</v>
      </c>
      <c r="F530">
        <v>4.5810000000000004</v>
      </c>
      <c r="G530">
        <v>8.3781999999999996</v>
      </c>
      <c r="H530">
        <v>12.502800000000001</v>
      </c>
      <c r="I530">
        <v>15.0915</v>
      </c>
      <c r="J530">
        <v>21.155000000000001</v>
      </c>
    </row>
    <row r="531" spans="1:10" x14ac:dyDescent="0.4">
      <c r="A531">
        <v>7</v>
      </c>
      <c r="B531">
        <v>7.7000000000000002E-3</v>
      </c>
      <c r="C531">
        <v>0.1525</v>
      </c>
      <c r="D531">
        <v>0.34720000000000001</v>
      </c>
      <c r="E531">
        <v>0.92520000000000002</v>
      </c>
      <c r="F531">
        <v>2.0775999999999999</v>
      </c>
      <c r="G531">
        <v>4.0658000000000003</v>
      </c>
      <c r="H531">
        <v>6.3852000000000002</v>
      </c>
      <c r="I531">
        <v>7.9467999999999996</v>
      </c>
      <c r="J531">
        <v>11.682499999999999</v>
      </c>
    </row>
    <row r="532" spans="1:10" x14ac:dyDescent="0.4">
      <c r="A532">
        <v>8</v>
      </c>
      <c r="B532">
        <v>1.9E-3</v>
      </c>
      <c r="C532">
        <v>4.8800000000000003E-2</v>
      </c>
      <c r="D532">
        <v>0.12920000000000001</v>
      </c>
      <c r="E532">
        <v>0.39169999999999999</v>
      </c>
      <c r="F532">
        <v>0.95209999999999995</v>
      </c>
      <c r="G532">
        <v>1.9641</v>
      </c>
      <c r="H532">
        <v>3.2425000000000002</v>
      </c>
      <c r="I532">
        <v>4.1384999999999996</v>
      </c>
      <c r="J532">
        <v>6.3773</v>
      </c>
    </row>
    <row r="533" spans="1:10" x14ac:dyDescent="0.4">
      <c r="A533">
        <v>9</v>
      </c>
      <c r="B533">
        <v>5.9999999999999995E-4</v>
      </c>
      <c r="C533">
        <v>1.78E-2</v>
      </c>
      <c r="D533">
        <v>5.1200000000000002E-2</v>
      </c>
      <c r="E533">
        <v>0.17299999999999999</v>
      </c>
      <c r="F533">
        <v>0.45050000000000001</v>
      </c>
      <c r="G533">
        <v>0.96689999999999998</v>
      </c>
      <c r="H533">
        <v>1.6629</v>
      </c>
      <c r="I533">
        <v>2.1835</v>
      </c>
      <c r="J533">
        <v>3.4843000000000002</v>
      </c>
    </row>
    <row r="534" spans="1:10" x14ac:dyDescent="0.4">
      <c r="A534">
        <v>10</v>
      </c>
      <c r="B534">
        <v>2.9999999999999997E-4</v>
      </c>
      <c r="C534">
        <v>7.7999999999999996E-3</v>
      </c>
      <c r="D534">
        <v>2.3599999999999999E-2</v>
      </c>
      <c r="E534">
        <v>8.3799999999999999E-2</v>
      </c>
      <c r="F534">
        <v>0.22850000000000001</v>
      </c>
      <c r="G534">
        <v>0.50839999999999996</v>
      </c>
      <c r="H534">
        <v>0.8931</v>
      </c>
      <c r="I534">
        <v>1.1870000000000001</v>
      </c>
      <c r="J534">
        <v>1.9312</v>
      </c>
    </row>
    <row r="535" spans="1:10" x14ac:dyDescent="0.4">
      <c r="A535">
        <v>11</v>
      </c>
      <c r="B535">
        <v>1E-4</v>
      </c>
      <c r="C535">
        <v>4.1999999999999997E-3</v>
      </c>
      <c r="D535">
        <v>1.26E-2</v>
      </c>
      <c r="E535">
        <v>4.5600000000000002E-2</v>
      </c>
      <c r="F535">
        <v>0.1244</v>
      </c>
      <c r="G535">
        <v>0.28179999999999999</v>
      </c>
      <c r="H535">
        <v>0.50349999999999995</v>
      </c>
      <c r="I535">
        <v>0.67230000000000001</v>
      </c>
      <c r="J535">
        <v>1.0959000000000001</v>
      </c>
    </row>
    <row r="536" spans="1:10" x14ac:dyDescent="0.4">
      <c r="A536">
        <v>12</v>
      </c>
      <c r="B536">
        <v>2.0000000000000001E-4</v>
      </c>
      <c r="C536">
        <v>4.5999999999999999E-3</v>
      </c>
      <c r="D536">
        <v>1.3599999999999999E-2</v>
      </c>
      <c r="E536">
        <v>4.7E-2</v>
      </c>
      <c r="F536">
        <v>0.1205</v>
      </c>
      <c r="G536">
        <v>0.24529999999999999</v>
      </c>
      <c r="H536">
        <v>0.41289999999999999</v>
      </c>
      <c r="I536">
        <v>0.54430000000000001</v>
      </c>
      <c r="J536">
        <v>0.86299999999999999</v>
      </c>
    </row>
    <row r="537" spans="1:10" x14ac:dyDescent="0.4">
      <c r="A537">
        <v>13</v>
      </c>
      <c r="B537">
        <v>1E-4</v>
      </c>
      <c r="C537">
        <v>1.6999999999999999E-3</v>
      </c>
      <c r="D537">
        <v>5.0000000000000001E-3</v>
      </c>
      <c r="E537">
        <v>1.67E-2</v>
      </c>
      <c r="F537">
        <v>4.0899999999999999E-2</v>
      </c>
      <c r="G537">
        <v>7.9100000000000004E-2</v>
      </c>
      <c r="H537">
        <v>0.127</v>
      </c>
      <c r="I537">
        <v>0.16370000000000001</v>
      </c>
      <c r="J537">
        <v>0.25069999999999998</v>
      </c>
    </row>
    <row r="538" spans="1:10" x14ac:dyDescent="0.4">
      <c r="A538">
        <v>14</v>
      </c>
      <c r="B538">
        <v>0</v>
      </c>
      <c r="C538">
        <v>1E-3</v>
      </c>
      <c r="D538">
        <v>2.5999999999999999E-3</v>
      </c>
      <c r="E538">
        <v>8.6E-3</v>
      </c>
      <c r="F538">
        <v>2.07E-2</v>
      </c>
      <c r="G538">
        <v>3.95E-2</v>
      </c>
      <c r="H538">
        <v>6.3399999999999998E-2</v>
      </c>
      <c r="I538">
        <v>8.1600000000000006E-2</v>
      </c>
      <c r="J538">
        <v>0.127</v>
      </c>
    </row>
    <row r="539" spans="1:10" x14ac:dyDescent="0.4">
      <c r="A539" t="s">
        <v>29</v>
      </c>
      <c r="B539">
        <v>0</v>
      </c>
      <c r="C539">
        <v>2.9999999999999997E-4</v>
      </c>
      <c r="D539">
        <v>6.9999999999999999E-4</v>
      </c>
      <c r="E539">
        <v>2.2000000000000001E-3</v>
      </c>
      <c r="F539">
        <v>5.3E-3</v>
      </c>
      <c r="G539">
        <v>1.0200000000000001E-2</v>
      </c>
      <c r="H539">
        <v>1.7000000000000001E-2</v>
      </c>
      <c r="I539">
        <v>2.29E-2</v>
      </c>
      <c r="J539">
        <v>4.4900000000000002E-2</v>
      </c>
    </row>
    <row r="541" spans="1:10" x14ac:dyDescent="0.4">
      <c r="A541">
        <v>2033</v>
      </c>
    </row>
    <row r="543" spans="1:10" x14ac:dyDescent="0.4">
      <c r="A543" t="s">
        <v>0</v>
      </c>
      <c r="B543" s="2">
        <v>0.01</v>
      </c>
      <c r="C543" s="2">
        <v>0.05</v>
      </c>
      <c r="D543" s="2">
        <v>0.1</v>
      </c>
      <c r="E543" s="2">
        <v>0.25</v>
      </c>
      <c r="F543" s="2">
        <v>0.5</v>
      </c>
      <c r="G543" s="2">
        <v>0.75</v>
      </c>
      <c r="H543" s="2">
        <v>0.9</v>
      </c>
      <c r="I543" s="2">
        <v>0.95</v>
      </c>
      <c r="J543" s="2">
        <v>0.99</v>
      </c>
    </row>
    <row r="544" spans="1:10" x14ac:dyDescent="0.4">
      <c r="A544">
        <v>1</v>
      </c>
      <c r="B544">
        <v>68.631600000000006</v>
      </c>
      <c r="C544">
        <v>70.505499999999998</v>
      </c>
      <c r="D544">
        <v>78.856300000000005</v>
      </c>
      <c r="E544">
        <v>104.7714</v>
      </c>
      <c r="F544">
        <v>168.5301</v>
      </c>
      <c r="G544">
        <v>236.93639999999999</v>
      </c>
      <c r="H544">
        <v>280.255</v>
      </c>
      <c r="I544">
        <v>307.17700000000002</v>
      </c>
      <c r="J544">
        <v>328.59620000000001</v>
      </c>
    </row>
    <row r="545" spans="1:10" x14ac:dyDescent="0.4">
      <c r="A545">
        <v>2</v>
      </c>
      <c r="B545">
        <v>37.683799999999998</v>
      </c>
      <c r="C545">
        <v>41.8812</v>
      </c>
      <c r="D545">
        <v>45.811500000000002</v>
      </c>
      <c r="E545">
        <v>61.066699999999997</v>
      </c>
      <c r="F545">
        <v>98.798100000000005</v>
      </c>
      <c r="G545">
        <v>139.74250000000001</v>
      </c>
      <c r="H545">
        <v>167.71850000000001</v>
      </c>
      <c r="I545">
        <v>182.26779999999999</v>
      </c>
      <c r="J545">
        <v>206.99270000000001</v>
      </c>
    </row>
    <row r="546" spans="1:10" x14ac:dyDescent="0.4">
      <c r="A546">
        <v>3</v>
      </c>
      <c r="B546">
        <v>12.4998</v>
      </c>
      <c r="C546">
        <v>19.507300000000001</v>
      </c>
      <c r="D546">
        <v>22.6203</v>
      </c>
      <c r="E546">
        <v>30.8276</v>
      </c>
      <c r="F546">
        <v>51.036099999999998</v>
      </c>
      <c r="G546">
        <v>74.325500000000005</v>
      </c>
      <c r="H546">
        <v>93.465699999999998</v>
      </c>
      <c r="I546">
        <v>102.9025</v>
      </c>
      <c r="J546">
        <v>122.5004</v>
      </c>
    </row>
    <row r="547" spans="1:10" x14ac:dyDescent="0.4">
      <c r="A547">
        <v>4</v>
      </c>
      <c r="B547">
        <v>1.9809000000000001</v>
      </c>
      <c r="C547">
        <v>6.2716000000000003</v>
      </c>
      <c r="D547">
        <v>8.7053999999999991</v>
      </c>
      <c r="E547">
        <v>13.3911</v>
      </c>
      <c r="F547">
        <v>23.371099999999998</v>
      </c>
      <c r="G547">
        <v>36.648099999999999</v>
      </c>
      <c r="H547">
        <v>49.007100000000001</v>
      </c>
      <c r="I547">
        <v>55.267099999999999</v>
      </c>
      <c r="J547">
        <v>68.601200000000006</v>
      </c>
    </row>
    <row r="548" spans="1:10" x14ac:dyDescent="0.4">
      <c r="A548">
        <v>5</v>
      </c>
      <c r="B548">
        <v>0.248</v>
      </c>
      <c r="C548">
        <v>1.6969000000000001</v>
      </c>
      <c r="D548">
        <v>2.8973</v>
      </c>
      <c r="E548">
        <v>5.4936999999999996</v>
      </c>
      <c r="F548">
        <v>10.3491</v>
      </c>
      <c r="G548">
        <v>17.5273</v>
      </c>
      <c r="H548">
        <v>24.853899999999999</v>
      </c>
      <c r="I548">
        <v>29.027000000000001</v>
      </c>
      <c r="J548">
        <v>38.501899999999999</v>
      </c>
    </row>
    <row r="549" spans="1:10" x14ac:dyDescent="0.4">
      <c r="A549">
        <v>6</v>
      </c>
      <c r="B549">
        <v>3.1800000000000002E-2</v>
      </c>
      <c r="C549">
        <v>0.4577</v>
      </c>
      <c r="D549">
        <v>0.9587</v>
      </c>
      <c r="E549">
        <v>2.1928000000000001</v>
      </c>
      <c r="F549">
        <v>4.5377000000000001</v>
      </c>
      <c r="G549">
        <v>8.2963000000000005</v>
      </c>
      <c r="H549">
        <v>12.5001</v>
      </c>
      <c r="I549">
        <v>15.0807</v>
      </c>
      <c r="J549">
        <v>21.0246</v>
      </c>
    </row>
    <row r="550" spans="1:10" x14ac:dyDescent="0.4">
      <c r="A550">
        <v>7</v>
      </c>
      <c r="B550">
        <v>5.0000000000000001E-3</v>
      </c>
      <c r="C550">
        <v>0.13</v>
      </c>
      <c r="D550">
        <v>0.3221</v>
      </c>
      <c r="E550">
        <v>0.89149999999999996</v>
      </c>
      <c r="F550">
        <v>2.0383</v>
      </c>
      <c r="G550">
        <v>3.9929999999999999</v>
      </c>
      <c r="H550">
        <v>6.3136999999999999</v>
      </c>
      <c r="I550">
        <v>7.8704999999999998</v>
      </c>
      <c r="J550">
        <v>11.5694</v>
      </c>
    </row>
    <row r="551" spans="1:10" x14ac:dyDescent="0.4">
      <c r="A551">
        <v>8</v>
      </c>
      <c r="B551">
        <v>1E-3</v>
      </c>
      <c r="C551">
        <v>4.07E-2</v>
      </c>
      <c r="D551">
        <v>0.1142</v>
      </c>
      <c r="E551">
        <v>0.37290000000000001</v>
      </c>
      <c r="F551">
        <v>0.93559999999999999</v>
      </c>
      <c r="G551">
        <v>1.9623999999999999</v>
      </c>
      <c r="H551">
        <v>3.2513999999999998</v>
      </c>
      <c r="I551">
        <v>4.1673</v>
      </c>
      <c r="J551">
        <v>6.4375</v>
      </c>
    </row>
    <row r="552" spans="1:10" x14ac:dyDescent="0.4">
      <c r="A552">
        <v>9</v>
      </c>
      <c r="B552">
        <v>2.9999999999999997E-4</v>
      </c>
      <c r="C552">
        <v>1.3599999999999999E-2</v>
      </c>
      <c r="D552">
        <v>4.3200000000000002E-2</v>
      </c>
      <c r="E552">
        <v>0.1608</v>
      </c>
      <c r="F552">
        <v>0.43640000000000001</v>
      </c>
      <c r="G552">
        <v>0.96350000000000002</v>
      </c>
      <c r="H552">
        <v>1.6708000000000001</v>
      </c>
      <c r="I552">
        <v>2.1937000000000002</v>
      </c>
      <c r="J552">
        <v>3.5324</v>
      </c>
    </row>
    <row r="553" spans="1:10" x14ac:dyDescent="0.4">
      <c r="A553">
        <v>10</v>
      </c>
      <c r="B553">
        <v>1E-4</v>
      </c>
      <c r="C553">
        <v>5.1999999999999998E-3</v>
      </c>
      <c r="D553">
        <v>1.77E-2</v>
      </c>
      <c r="E553">
        <v>7.1900000000000006E-2</v>
      </c>
      <c r="F553">
        <v>0.20899999999999999</v>
      </c>
      <c r="G553">
        <v>0.47849999999999998</v>
      </c>
      <c r="H553">
        <v>0.86509999999999998</v>
      </c>
      <c r="I553">
        <v>1.1626000000000001</v>
      </c>
      <c r="J553">
        <v>1.9429000000000001</v>
      </c>
    </row>
    <row r="554" spans="1:10" x14ac:dyDescent="0.4">
      <c r="A554">
        <v>11</v>
      </c>
      <c r="B554">
        <v>0</v>
      </c>
      <c r="C554">
        <v>2.3999999999999998E-3</v>
      </c>
      <c r="D554">
        <v>8.3999999999999995E-3</v>
      </c>
      <c r="E554">
        <v>3.5799999999999998E-2</v>
      </c>
      <c r="F554">
        <v>0.10780000000000001</v>
      </c>
      <c r="G554">
        <v>0.25340000000000001</v>
      </c>
      <c r="H554">
        <v>0.46679999999999999</v>
      </c>
      <c r="I554">
        <v>0.63649999999999995</v>
      </c>
      <c r="J554">
        <v>1.0789</v>
      </c>
    </row>
    <row r="555" spans="1:10" x14ac:dyDescent="0.4">
      <c r="A555">
        <v>12</v>
      </c>
      <c r="B555">
        <v>0</v>
      </c>
      <c r="C555">
        <v>1.2999999999999999E-3</v>
      </c>
      <c r="D555">
        <v>4.5999999999999999E-3</v>
      </c>
      <c r="E555">
        <v>1.9699999999999999E-2</v>
      </c>
      <c r="F555">
        <v>5.91E-2</v>
      </c>
      <c r="G555">
        <v>0.1421</v>
      </c>
      <c r="H555">
        <v>0.26450000000000001</v>
      </c>
      <c r="I555">
        <v>0.36259999999999998</v>
      </c>
      <c r="J555">
        <v>0.61099999999999999</v>
      </c>
    </row>
    <row r="556" spans="1:10" x14ac:dyDescent="0.4">
      <c r="A556">
        <v>13</v>
      </c>
      <c r="B556">
        <v>0</v>
      </c>
      <c r="C556">
        <v>1.4E-3</v>
      </c>
      <c r="D556">
        <v>5.0000000000000001E-3</v>
      </c>
      <c r="E556">
        <v>2.0299999999999999E-2</v>
      </c>
      <c r="F556">
        <v>5.7700000000000001E-2</v>
      </c>
      <c r="G556">
        <v>0.12540000000000001</v>
      </c>
      <c r="H556">
        <v>0.2203</v>
      </c>
      <c r="I556">
        <v>0.29409999999999997</v>
      </c>
      <c r="J556">
        <v>0.48409999999999997</v>
      </c>
    </row>
    <row r="557" spans="1:10" x14ac:dyDescent="0.4">
      <c r="A557">
        <v>14</v>
      </c>
      <c r="B557">
        <v>0</v>
      </c>
      <c r="C557">
        <v>5.9999999999999995E-4</v>
      </c>
      <c r="D557">
        <v>1.9E-3</v>
      </c>
      <c r="E557">
        <v>7.3000000000000001E-3</v>
      </c>
      <c r="F557">
        <v>1.9699999999999999E-2</v>
      </c>
      <c r="G557">
        <v>4.0800000000000003E-2</v>
      </c>
      <c r="H557">
        <v>6.8099999999999994E-2</v>
      </c>
      <c r="I557">
        <v>8.9499999999999996E-2</v>
      </c>
      <c r="J557">
        <v>0.14099999999999999</v>
      </c>
    </row>
    <row r="558" spans="1:10" x14ac:dyDescent="0.4">
      <c r="A558" t="s">
        <v>29</v>
      </c>
      <c r="B558">
        <v>0</v>
      </c>
      <c r="C558">
        <v>4.0000000000000002E-4</v>
      </c>
      <c r="D558">
        <v>1.2999999999999999E-3</v>
      </c>
      <c r="E558">
        <v>4.7999999999999996E-3</v>
      </c>
      <c r="F558">
        <v>1.2699999999999999E-2</v>
      </c>
      <c r="G558">
        <v>2.5899999999999999E-2</v>
      </c>
      <c r="H558">
        <v>4.3200000000000002E-2</v>
      </c>
      <c r="I558">
        <v>5.7000000000000002E-2</v>
      </c>
      <c r="J558">
        <v>9.4700000000000006E-2</v>
      </c>
    </row>
    <row r="560" spans="1:10" x14ac:dyDescent="0.4">
      <c r="A560">
        <v>2034</v>
      </c>
    </row>
    <row r="562" spans="1:10" x14ac:dyDescent="0.4">
      <c r="A562" t="s">
        <v>0</v>
      </c>
      <c r="B562" s="2">
        <v>0.01</v>
      </c>
      <c r="C562" s="2">
        <v>0.05</v>
      </c>
      <c r="D562" s="2">
        <v>0.1</v>
      </c>
      <c r="E562" s="2">
        <v>0.25</v>
      </c>
      <c r="F562" s="2">
        <v>0.5</v>
      </c>
      <c r="G562" s="2">
        <v>0.75</v>
      </c>
      <c r="H562" s="2">
        <v>0.9</v>
      </c>
      <c r="I562" s="2">
        <v>0.95</v>
      </c>
      <c r="J562" s="2">
        <v>0.99</v>
      </c>
    </row>
    <row r="563" spans="1:10" x14ac:dyDescent="0.4">
      <c r="A563">
        <v>1</v>
      </c>
      <c r="B563">
        <v>68.659300000000002</v>
      </c>
      <c r="C563">
        <v>70.656700000000001</v>
      </c>
      <c r="D563">
        <v>79.067599999999999</v>
      </c>
      <c r="E563">
        <v>104.85590000000001</v>
      </c>
      <c r="F563">
        <v>168.44229999999999</v>
      </c>
      <c r="G563">
        <v>236.7124</v>
      </c>
      <c r="H563">
        <v>280.27280000000002</v>
      </c>
      <c r="I563">
        <v>306.47280000000001</v>
      </c>
      <c r="J563">
        <v>327.53949999999998</v>
      </c>
    </row>
    <row r="564" spans="1:10" x14ac:dyDescent="0.4">
      <c r="A564">
        <v>2</v>
      </c>
      <c r="B564">
        <v>37.430399999999999</v>
      </c>
      <c r="C564">
        <v>41.858899999999998</v>
      </c>
      <c r="D564">
        <v>45.791600000000003</v>
      </c>
      <c r="E564">
        <v>60.871400000000001</v>
      </c>
      <c r="F564">
        <v>98.778000000000006</v>
      </c>
      <c r="G564">
        <v>140.0685</v>
      </c>
      <c r="H564">
        <v>168.1635</v>
      </c>
      <c r="I564">
        <v>182.5539</v>
      </c>
      <c r="J564">
        <v>207.7029</v>
      </c>
    </row>
    <row r="565" spans="1:10" x14ac:dyDescent="0.4">
      <c r="A565">
        <v>3</v>
      </c>
      <c r="B565">
        <v>12.356299999999999</v>
      </c>
      <c r="C565">
        <v>19.555800000000001</v>
      </c>
      <c r="D565">
        <v>22.660900000000002</v>
      </c>
      <c r="E565">
        <v>30.870200000000001</v>
      </c>
      <c r="F565">
        <v>51.321199999999997</v>
      </c>
      <c r="G565">
        <v>74.600499999999997</v>
      </c>
      <c r="H565">
        <v>93.771500000000003</v>
      </c>
      <c r="I565">
        <v>103.2</v>
      </c>
      <c r="J565">
        <v>122.8117</v>
      </c>
    </row>
    <row r="566" spans="1:10" x14ac:dyDescent="0.4">
      <c r="A566">
        <v>4</v>
      </c>
      <c r="B566">
        <v>1.9592000000000001</v>
      </c>
      <c r="C566">
        <v>6.3498999999999999</v>
      </c>
      <c r="D566">
        <v>8.7797000000000001</v>
      </c>
      <c r="E566">
        <v>13.5335</v>
      </c>
      <c r="F566">
        <v>23.5794</v>
      </c>
      <c r="G566">
        <v>36.762300000000003</v>
      </c>
      <c r="H566">
        <v>49.208300000000001</v>
      </c>
      <c r="I566">
        <v>55.7196</v>
      </c>
      <c r="J566">
        <v>69.388800000000003</v>
      </c>
    </row>
    <row r="567" spans="1:10" x14ac:dyDescent="0.4">
      <c r="A567">
        <v>5</v>
      </c>
      <c r="B567">
        <v>0.22539999999999999</v>
      </c>
      <c r="C567">
        <v>1.7023999999999999</v>
      </c>
      <c r="D567">
        <v>2.9535999999999998</v>
      </c>
      <c r="E567">
        <v>5.5369999999999999</v>
      </c>
      <c r="F567">
        <v>10.4239</v>
      </c>
      <c r="G567">
        <v>17.7544</v>
      </c>
      <c r="H567">
        <v>25.065799999999999</v>
      </c>
      <c r="I567">
        <v>29.2807</v>
      </c>
      <c r="J567">
        <v>38.275100000000002</v>
      </c>
    </row>
    <row r="568" spans="1:10" x14ac:dyDescent="0.4">
      <c r="A568">
        <v>6</v>
      </c>
      <c r="B568">
        <v>2.5000000000000001E-2</v>
      </c>
      <c r="C568">
        <v>0.43330000000000002</v>
      </c>
      <c r="D568">
        <v>0.93169999999999997</v>
      </c>
      <c r="E568">
        <v>2.1937000000000002</v>
      </c>
      <c r="F568">
        <v>4.5659999999999998</v>
      </c>
      <c r="G568">
        <v>8.3678000000000008</v>
      </c>
      <c r="H568">
        <v>12.5366</v>
      </c>
      <c r="I568">
        <v>15.1319</v>
      </c>
      <c r="J568">
        <v>21.177099999999999</v>
      </c>
    </row>
    <row r="569" spans="1:10" x14ac:dyDescent="0.4">
      <c r="A569">
        <v>7</v>
      </c>
      <c r="B569">
        <v>3.2000000000000002E-3</v>
      </c>
      <c r="C569">
        <v>0.1179</v>
      </c>
      <c r="D569">
        <v>0.30470000000000003</v>
      </c>
      <c r="E569">
        <v>0.87260000000000004</v>
      </c>
      <c r="F569">
        <v>2.0251000000000001</v>
      </c>
      <c r="G569">
        <v>3.9748999999999999</v>
      </c>
      <c r="H569">
        <v>6.3251999999999997</v>
      </c>
      <c r="I569">
        <v>7.8674999999999997</v>
      </c>
      <c r="J569">
        <v>11.5322</v>
      </c>
    </row>
    <row r="570" spans="1:10" x14ac:dyDescent="0.4">
      <c r="A570">
        <v>8</v>
      </c>
      <c r="B570">
        <v>8.0000000000000004E-4</v>
      </c>
      <c r="C570">
        <v>3.4500000000000003E-2</v>
      </c>
      <c r="D570">
        <v>0.1047</v>
      </c>
      <c r="E570">
        <v>0.3594</v>
      </c>
      <c r="F570">
        <v>0.92190000000000005</v>
      </c>
      <c r="G570">
        <v>1.9293</v>
      </c>
      <c r="H570">
        <v>3.2248999999999999</v>
      </c>
      <c r="I570">
        <v>4.1412000000000004</v>
      </c>
      <c r="J570">
        <v>6.3632999999999997</v>
      </c>
    </row>
    <row r="571" spans="1:10" x14ac:dyDescent="0.4">
      <c r="A571">
        <v>9</v>
      </c>
      <c r="B571">
        <v>2.0000000000000001E-4</v>
      </c>
      <c r="C571">
        <v>1.11E-2</v>
      </c>
      <c r="D571">
        <v>3.8600000000000002E-2</v>
      </c>
      <c r="E571">
        <v>0.1535</v>
      </c>
      <c r="F571">
        <v>0.43059999999999998</v>
      </c>
      <c r="G571">
        <v>0.96419999999999995</v>
      </c>
      <c r="H571">
        <v>1.6741999999999999</v>
      </c>
      <c r="I571">
        <v>2.2006999999999999</v>
      </c>
      <c r="J571">
        <v>3.5398000000000001</v>
      </c>
    </row>
    <row r="572" spans="1:10" x14ac:dyDescent="0.4">
      <c r="A572">
        <v>10</v>
      </c>
      <c r="B572">
        <v>0</v>
      </c>
      <c r="C572">
        <v>4.0000000000000001E-3</v>
      </c>
      <c r="D572">
        <v>1.4999999999999999E-2</v>
      </c>
      <c r="E572">
        <v>6.7199999999999996E-2</v>
      </c>
      <c r="F572">
        <v>0.20330000000000001</v>
      </c>
      <c r="G572">
        <v>0.47770000000000001</v>
      </c>
      <c r="H572">
        <v>0.86470000000000002</v>
      </c>
      <c r="I572">
        <v>1.1701999999999999</v>
      </c>
      <c r="J572">
        <v>1.9474</v>
      </c>
    </row>
    <row r="573" spans="1:10" x14ac:dyDescent="0.4">
      <c r="A573">
        <v>11</v>
      </c>
      <c r="B573">
        <v>0</v>
      </c>
      <c r="C573">
        <v>1.6000000000000001E-3</v>
      </c>
      <c r="D573">
        <v>6.4000000000000003E-3</v>
      </c>
      <c r="E573">
        <v>3.04E-2</v>
      </c>
      <c r="F573">
        <v>9.8500000000000004E-2</v>
      </c>
      <c r="G573">
        <v>0.23910000000000001</v>
      </c>
      <c r="H573">
        <v>0.45250000000000001</v>
      </c>
      <c r="I573">
        <v>0.62019999999999997</v>
      </c>
      <c r="J573">
        <v>1.0768</v>
      </c>
    </row>
    <row r="574" spans="1:10" x14ac:dyDescent="0.4">
      <c r="A574">
        <v>12</v>
      </c>
      <c r="B574">
        <v>0</v>
      </c>
      <c r="C574">
        <v>8.0000000000000004E-4</v>
      </c>
      <c r="D574">
        <v>3.0999999999999999E-3</v>
      </c>
      <c r="E574">
        <v>1.5299999999999999E-2</v>
      </c>
      <c r="F574">
        <v>5.1200000000000002E-2</v>
      </c>
      <c r="G574">
        <v>0.12759999999999999</v>
      </c>
      <c r="H574">
        <v>0.246</v>
      </c>
      <c r="I574">
        <v>0.34279999999999999</v>
      </c>
      <c r="J574">
        <v>0.59660000000000002</v>
      </c>
    </row>
    <row r="575" spans="1:10" x14ac:dyDescent="0.4">
      <c r="A575">
        <v>13</v>
      </c>
      <c r="B575">
        <v>0</v>
      </c>
      <c r="C575">
        <v>4.0000000000000002E-4</v>
      </c>
      <c r="D575">
        <v>1.6999999999999999E-3</v>
      </c>
      <c r="E575">
        <v>8.6E-3</v>
      </c>
      <c r="F575">
        <v>2.8299999999999999E-2</v>
      </c>
      <c r="G575">
        <v>7.1999999999999995E-2</v>
      </c>
      <c r="H575">
        <v>0.13969999999999999</v>
      </c>
      <c r="I575">
        <v>0.19570000000000001</v>
      </c>
      <c r="J575">
        <v>0.34179999999999999</v>
      </c>
    </row>
    <row r="576" spans="1:10" x14ac:dyDescent="0.4">
      <c r="A576">
        <v>14</v>
      </c>
      <c r="B576">
        <v>0</v>
      </c>
      <c r="C576">
        <v>5.0000000000000001E-4</v>
      </c>
      <c r="D576">
        <v>1.8E-3</v>
      </c>
      <c r="E576">
        <v>8.8999999999999999E-3</v>
      </c>
      <c r="F576">
        <v>2.7900000000000001E-2</v>
      </c>
      <c r="G576">
        <v>6.4399999999999999E-2</v>
      </c>
      <c r="H576">
        <v>0.1174</v>
      </c>
      <c r="I576">
        <v>0.1603</v>
      </c>
      <c r="J576">
        <v>0.27239999999999998</v>
      </c>
    </row>
    <row r="577" spans="1:10" x14ac:dyDescent="0.4">
      <c r="A577" t="s">
        <v>29</v>
      </c>
      <c r="B577">
        <v>0</v>
      </c>
      <c r="C577">
        <v>2.9999999999999997E-4</v>
      </c>
      <c r="D577">
        <v>1.1999999999999999E-3</v>
      </c>
      <c r="E577">
        <v>5.3E-3</v>
      </c>
      <c r="F577">
        <v>1.5900000000000001E-2</v>
      </c>
      <c r="G577">
        <v>3.4700000000000002E-2</v>
      </c>
      <c r="H577">
        <v>0.06</v>
      </c>
      <c r="I577">
        <v>8.0100000000000005E-2</v>
      </c>
      <c r="J577">
        <v>0.12889999999999999</v>
      </c>
    </row>
    <row r="579" spans="1:10" x14ac:dyDescent="0.4">
      <c r="A579" t="s">
        <v>21</v>
      </c>
      <c r="B579" t="s">
        <v>10</v>
      </c>
      <c r="C579" t="s">
        <v>3</v>
      </c>
      <c r="D579" t="s">
        <v>6</v>
      </c>
      <c r="E579" t="s">
        <v>23</v>
      </c>
      <c r="F579" t="s">
        <v>20</v>
      </c>
      <c r="G579">
        <v>3.66</v>
      </c>
      <c r="H579" t="s">
        <v>28</v>
      </c>
      <c r="I579" t="s">
        <v>27</v>
      </c>
    </row>
    <row r="581" spans="1:10" x14ac:dyDescent="0.4">
      <c r="A581" t="s">
        <v>22</v>
      </c>
      <c r="B581" t="s">
        <v>21</v>
      </c>
    </row>
    <row r="583" spans="1:10" x14ac:dyDescent="0.4">
      <c r="A583">
        <v>2021</v>
      </c>
      <c r="B583">
        <v>5.8209999999999998E-2</v>
      </c>
    </row>
    <row r="584" spans="1:10" x14ac:dyDescent="0.4">
      <c r="A584">
        <v>2022</v>
      </c>
      <c r="B584">
        <v>0.66879999999999995</v>
      </c>
    </row>
    <row r="585" spans="1:10" x14ac:dyDescent="0.4">
      <c r="A585">
        <v>2023</v>
      </c>
      <c r="B585">
        <v>0.94228999999999996</v>
      </c>
    </row>
    <row r="586" spans="1:10" x14ac:dyDescent="0.4">
      <c r="A586">
        <v>2024</v>
      </c>
      <c r="B586">
        <v>0.91768000000000005</v>
      </c>
    </row>
    <row r="587" spans="1:10" x14ac:dyDescent="0.4">
      <c r="A587">
        <v>2025</v>
      </c>
      <c r="B587">
        <v>0.84860999999999998</v>
      </c>
    </row>
    <row r="588" spans="1:10" x14ac:dyDescent="0.4">
      <c r="A588">
        <v>2026</v>
      </c>
      <c r="B588">
        <v>0.77056999999999998</v>
      </c>
    </row>
    <row r="589" spans="1:10" x14ac:dyDescent="0.4">
      <c r="A589">
        <v>2027</v>
      </c>
      <c r="B589">
        <v>0.70940000000000003</v>
      </c>
    </row>
    <row r="590" spans="1:10" x14ac:dyDescent="0.4">
      <c r="A590">
        <v>2028</v>
      </c>
      <c r="B590">
        <v>0.67095000000000005</v>
      </c>
    </row>
    <row r="591" spans="1:10" x14ac:dyDescent="0.4">
      <c r="A591">
        <v>2029</v>
      </c>
      <c r="B591">
        <v>0.64449999999999996</v>
      </c>
    </row>
    <row r="592" spans="1:10" x14ac:dyDescent="0.4">
      <c r="A592">
        <v>2030</v>
      </c>
      <c r="B592">
        <v>0.62251999999999996</v>
      </c>
    </row>
    <row r="593" spans="1:8" x14ac:dyDescent="0.4">
      <c r="A593">
        <v>2031</v>
      </c>
      <c r="B593">
        <v>0.60619999999999996</v>
      </c>
    </row>
    <row r="594" spans="1:8" x14ac:dyDescent="0.4">
      <c r="A594">
        <v>2032</v>
      </c>
      <c r="B594">
        <v>0.59907999999999995</v>
      </c>
    </row>
    <row r="595" spans="1:8" x14ac:dyDescent="0.4">
      <c r="A595">
        <v>2033</v>
      </c>
      <c r="B595">
        <v>0.60043000000000002</v>
      </c>
    </row>
    <row r="596" spans="1:8" x14ac:dyDescent="0.4">
      <c r="A596">
        <v>2034</v>
      </c>
      <c r="B596">
        <v>0.60440000000000005</v>
      </c>
    </row>
    <row r="598" spans="1:8" x14ac:dyDescent="0.4">
      <c r="A598" t="s">
        <v>21</v>
      </c>
      <c r="B598" t="s">
        <v>20</v>
      </c>
      <c r="C598" t="s">
        <v>19</v>
      </c>
      <c r="D598" t="s">
        <v>1</v>
      </c>
      <c r="E598" t="s">
        <v>18</v>
      </c>
      <c r="F598" t="s">
        <v>17</v>
      </c>
      <c r="G598" t="s">
        <v>13</v>
      </c>
      <c r="H598">
        <v>0.98809999999999998</v>
      </c>
    </row>
    <row r="600" spans="1:8" x14ac:dyDescent="0.4">
      <c r="A600" t="s">
        <v>21</v>
      </c>
      <c r="B600" t="s">
        <v>26</v>
      </c>
      <c r="C600" t="s">
        <v>25</v>
      </c>
      <c r="D600" t="s">
        <v>24</v>
      </c>
      <c r="E600" t="s">
        <v>23</v>
      </c>
      <c r="F600" t="s">
        <v>20</v>
      </c>
      <c r="G600">
        <v>0.84130000000000005</v>
      </c>
    </row>
    <row r="602" spans="1:8" x14ac:dyDescent="0.4">
      <c r="A602" t="s">
        <v>22</v>
      </c>
      <c r="B602" t="s">
        <v>21</v>
      </c>
    </row>
    <row r="604" spans="1:8" x14ac:dyDescent="0.4">
      <c r="A604">
        <v>2021</v>
      </c>
      <c r="B604">
        <v>7.1500000000000001E-3</v>
      </c>
    </row>
    <row r="605" spans="1:8" x14ac:dyDescent="0.4">
      <c r="A605">
        <v>2022</v>
      </c>
      <c r="B605">
        <v>0</v>
      </c>
    </row>
    <row r="606" spans="1:8" x14ac:dyDescent="0.4">
      <c r="A606">
        <v>2023</v>
      </c>
      <c r="B606">
        <v>1.4999999999999999E-4</v>
      </c>
    </row>
    <row r="607" spans="1:8" x14ac:dyDescent="0.4">
      <c r="A607">
        <v>2024</v>
      </c>
      <c r="B607">
        <v>6.3499999999999997E-3</v>
      </c>
    </row>
    <row r="608" spans="1:8" x14ac:dyDescent="0.4">
      <c r="A608">
        <v>2025</v>
      </c>
      <c r="B608">
        <v>3.8699999999999998E-2</v>
      </c>
    </row>
    <row r="609" spans="1:8" x14ac:dyDescent="0.4">
      <c r="A609">
        <v>2026</v>
      </c>
      <c r="B609">
        <v>8.1500000000000003E-2</v>
      </c>
    </row>
    <row r="610" spans="1:8" x14ac:dyDescent="0.4">
      <c r="A610">
        <v>2027</v>
      </c>
      <c r="B610">
        <v>0.12095</v>
      </c>
    </row>
    <row r="611" spans="1:8" x14ac:dyDescent="0.4">
      <c r="A611">
        <v>2028</v>
      </c>
      <c r="B611">
        <v>0.12548000000000001</v>
      </c>
    </row>
    <row r="612" spans="1:8" x14ac:dyDescent="0.4">
      <c r="A612">
        <v>2029</v>
      </c>
      <c r="B612">
        <v>0.14484</v>
      </c>
    </row>
    <row r="613" spans="1:8" x14ac:dyDescent="0.4">
      <c r="A613">
        <v>2030</v>
      </c>
      <c r="B613">
        <v>0.16106999999999999</v>
      </c>
    </row>
    <row r="614" spans="1:8" x14ac:dyDescent="0.4">
      <c r="A614">
        <v>2031</v>
      </c>
      <c r="B614">
        <v>0.17505000000000001</v>
      </c>
    </row>
    <row r="615" spans="1:8" x14ac:dyDescent="0.4">
      <c r="A615">
        <v>2032</v>
      </c>
      <c r="B615">
        <v>0.16178999999999999</v>
      </c>
    </row>
    <row r="616" spans="1:8" x14ac:dyDescent="0.4">
      <c r="A616">
        <v>2033</v>
      </c>
      <c r="B616">
        <v>0.15976000000000001</v>
      </c>
    </row>
    <row r="617" spans="1:8" x14ac:dyDescent="0.4">
      <c r="A617">
        <v>2034</v>
      </c>
      <c r="B617">
        <v>0.15856999999999999</v>
      </c>
    </row>
    <row r="619" spans="1:8" x14ac:dyDescent="0.4">
      <c r="A619" t="s">
        <v>21</v>
      </c>
      <c r="B619" t="s">
        <v>20</v>
      </c>
      <c r="C619" t="s">
        <v>19</v>
      </c>
      <c r="D619" t="s">
        <v>1</v>
      </c>
      <c r="E619" t="s">
        <v>18</v>
      </c>
      <c r="F619" t="s">
        <v>17</v>
      </c>
      <c r="G619" t="s">
        <v>13</v>
      </c>
      <c r="H619">
        <v>0.3498</v>
      </c>
    </row>
    <row r="622" spans="1:8" x14ac:dyDescent="0.4">
      <c r="A622" t="s">
        <v>16</v>
      </c>
      <c r="B622" t="s">
        <v>14</v>
      </c>
      <c r="C622" t="s">
        <v>15</v>
      </c>
    </row>
    <row r="624" spans="1:8" x14ac:dyDescent="0.4">
      <c r="A624" t="s">
        <v>14</v>
      </c>
      <c r="B624" t="s">
        <v>13</v>
      </c>
      <c r="C624">
        <v>40</v>
      </c>
      <c r="D624" t="s">
        <v>12</v>
      </c>
    </row>
    <row r="626" spans="1:20" x14ac:dyDescent="0.4">
      <c r="B626">
        <v>2021</v>
      </c>
      <c r="C626">
        <v>2022</v>
      </c>
      <c r="D626">
        <v>2023</v>
      </c>
      <c r="E626">
        <v>2024</v>
      </c>
      <c r="F626">
        <v>2025</v>
      </c>
      <c r="G626">
        <v>2026</v>
      </c>
      <c r="H626">
        <v>2027</v>
      </c>
      <c r="I626">
        <v>2028</v>
      </c>
      <c r="J626">
        <v>2029</v>
      </c>
      <c r="K626">
        <v>2030</v>
      </c>
      <c r="L626">
        <v>2031</v>
      </c>
      <c r="M626">
        <v>2032</v>
      </c>
      <c r="N626">
        <v>2033</v>
      </c>
      <c r="O626">
        <v>2034</v>
      </c>
    </row>
    <row r="628" spans="1:20" x14ac:dyDescent="0.4">
      <c r="A628" t="s">
        <v>11</v>
      </c>
      <c r="B628">
        <v>145.78890000000001</v>
      </c>
      <c r="C628">
        <v>145.78739999999999</v>
      </c>
      <c r="D628">
        <v>146.16739999999999</v>
      </c>
      <c r="E628">
        <v>146.36500000000001</v>
      </c>
      <c r="F628">
        <v>146.4248</v>
      </c>
      <c r="G628">
        <v>145.9075</v>
      </c>
      <c r="H628">
        <v>146.69049999999999</v>
      </c>
      <c r="I628">
        <v>144.9365</v>
      </c>
      <c r="J628">
        <v>145.09700000000001</v>
      </c>
      <c r="K628">
        <v>145.34979999999999</v>
      </c>
      <c r="L628">
        <v>146.09309999999999</v>
      </c>
      <c r="M628">
        <v>145.5204</v>
      </c>
      <c r="N628">
        <v>143.91890000000001</v>
      </c>
      <c r="O628">
        <v>144.6181</v>
      </c>
    </row>
    <row r="629" spans="1:20" x14ac:dyDescent="0.4">
      <c r="A629" t="s">
        <v>10</v>
      </c>
      <c r="B629" t="s">
        <v>3</v>
      </c>
      <c r="C629" t="s">
        <v>6</v>
      </c>
      <c r="D629">
        <v>2.5146999999999999</v>
      </c>
      <c r="E629">
        <v>3.7934000000000001</v>
      </c>
      <c r="F629">
        <v>5.1813000000000002</v>
      </c>
      <c r="G629">
        <v>5.2981999999999996</v>
      </c>
      <c r="H629">
        <v>4.9490999999999996</v>
      </c>
      <c r="I629">
        <v>4.5373999999999999</v>
      </c>
      <c r="J629">
        <v>4.2111000000000001</v>
      </c>
      <c r="K629">
        <v>4.0204000000000004</v>
      </c>
      <c r="L629">
        <v>3.8875000000000002</v>
      </c>
      <c r="M629">
        <v>3.7673999999999999</v>
      </c>
      <c r="N629">
        <v>3.6903000000000001</v>
      </c>
      <c r="O629">
        <v>3.6558999999999999</v>
      </c>
      <c r="P629">
        <v>3.6617999999999999</v>
      </c>
      <c r="Q629">
        <v>3.6823000000000001</v>
      </c>
      <c r="S629">
        <f t="array" ref="S629:S642">TRANSPOSE(D629:Q629)</f>
        <v>2.5146999999999999</v>
      </c>
      <c r="T629">
        <f>S629*1000</f>
        <v>2514.6999999999998</v>
      </c>
    </row>
    <row r="630" spans="1:20" x14ac:dyDescent="0.4">
      <c r="A630" s="1">
        <v>45658</v>
      </c>
      <c r="B630" t="s">
        <v>3</v>
      </c>
      <c r="C630" t="s">
        <v>6</v>
      </c>
      <c r="D630">
        <v>8.8025000000000002</v>
      </c>
      <c r="E630">
        <v>9.9482999999999997</v>
      </c>
      <c r="F630">
        <v>10.7774</v>
      </c>
      <c r="G630">
        <v>11.152900000000001</v>
      </c>
      <c r="H630">
        <v>10.8971</v>
      </c>
      <c r="I630">
        <v>10.4421</v>
      </c>
      <c r="J630">
        <v>10.056900000000001</v>
      </c>
      <c r="K630">
        <v>9.7499000000000002</v>
      </c>
      <c r="L630">
        <v>9.5786999999999995</v>
      </c>
      <c r="M630">
        <v>9.4376999999999995</v>
      </c>
      <c r="N630">
        <v>9.3323</v>
      </c>
      <c r="O630">
        <v>9.2472999999999992</v>
      </c>
      <c r="P630">
        <v>9.2666000000000004</v>
      </c>
      <c r="Q630">
        <v>9.2627000000000006</v>
      </c>
      <c r="S630">
        <v>3.7934000000000001</v>
      </c>
      <c r="T630">
        <f t="shared" ref="T630:T642" si="6">S630*1000</f>
        <v>3793.4</v>
      </c>
    </row>
    <row r="631" spans="1:20" x14ac:dyDescent="0.4">
      <c r="A631" t="s">
        <v>9</v>
      </c>
      <c r="B631" t="s">
        <v>6</v>
      </c>
      <c r="C631">
        <v>8.5343</v>
      </c>
      <c r="D631">
        <v>9.4641000000000002</v>
      </c>
      <c r="E631">
        <v>10.035</v>
      </c>
      <c r="F631">
        <v>10.058400000000001</v>
      </c>
      <c r="G631">
        <v>9.6722999999999999</v>
      </c>
      <c r="H631">
        <v>9.2492000000000001</v>
      </c>
      <c r="I631">
        <v>8.9019999999999992</v>
      </c>
      <c r="J631">
        <v>8.6636000000000006</v>
      </c>
      <c r="K631">
        <v>8.5152000000000001</v>
      </c>
      <c r="L631">
        <v>8.3964999999999996</v>
      </c>
      <c r="M631">
        <v>8.2857000000000003</v>
      </c>
      <c r="N631">
        <v>8.2629000000000001</v>
      </c>
      <c r="O631">
        <v>8.2840000000000007</v>
      </c>
      <c r="P631">
        <v>8.2950999999999997</v>
      </c>
      <c r="S631">
        <v>5.1813000000000002</v>
      </c>
      <c r="T631">
        <f t="shared" si="6"/>
        <v>5181.3</v>
      </c>
    </row>
    <row r="632" spans="1:20" x14ac:dyDescent="0.4">
      <c r="A632" t="s">
        <v>8</v>
      </c>
      <c r="B632" t="s">
        <v>7</v>
      </c>
      <c r="C632" t="s">
        <v>6</v>
      </c>
      <c r="D632">
        <v>1.5398000000000001</v>
      </c>
      <c r="E632">
        <v>1.4739</v>
      </c>
      <c r="F632">
        <v>1.6854</v>
      </c>
      <c r="G632">
        <v>2.1566999999999998</v>
      </c>
      <c r="H632">
        <v>2.4</v>
      </c>
      <c r="I632">
        <v>2.4</v>
      </c>
      <c r="J632">
        <v>2.4</v>
      </c>
      <c r="K632">
        <v>2.2999999999999998</v>
      </c>
      <c r="L632">
        <v>2.2999999999999998</v>
      </c>
      <c r="M632">
        <v>2.2999999999999998</v>
      </c>
      <c r="N632">
        <v>2.2999999999999998</v>
      </c>
      <c r="O632">
        <v>2.2000000000000002</v>
      </c>
      <c r="P632">
        <v>2.2000000000000002</v>
      </c>
      <c r="Q632">
        <v>2.2000000000000002</v>
      </c>
      <c r="S632">
        <v>5.2981999999999996</v>
      </c>
      <c r="T632">
        <f t="shared" si="6"/>
        <v>5298.2</v>
      </c>
    </row>
    <row r="633" spans="1:20" x14ac:dyDescent="0.4">
      <c r="A633" t="s">
        <v>5</v>
      </c>
      <c r="B633">
        <v>1.5398000000000001</v>
      </c>
      <c r="C633">
        <v>1.4739</v>
      </c>
      <c r="D633">
        <v>1.6854</v>
      </c>
      <c r="E633">
        <v>2.1566999999999998</v>
      </c>
      <c r="F633">
        <v>2.4</v>
      </c>
      <c r="G633">
        <v>2.4</v>
      </c>
      <c r="H633">
        <v>2.4</v>
      </c>
      <c r="I633">
        <v>2.2999999999999998</v>
      </c>
      <c r="J633">
        <v>2.2999999999999998</v>
      </c>
      <c r="K633">
        <v>2.2999999999999998</v>
      </c>
      <c r="L633">
        <v>2.2999999999999998</v>
      </c>
      <c r="M633">
        <v>2.2000000000000002</v>
      </c>
      <c r="N633">
        <v>2.2000000000000002</v>
      </c>
      <c r="O633">
        <v>2.2000000000000002</v>
      </c>
      <c r="S633">
        <v>4.9490999999999996</v>
      </c>
      <c r="T633">
        <f t="shared" si="6"/>
        <v>4949.0999999999995</v>
      </c>
    </row>
    <row r="634" spans="1:20" x14ac:dyDescent="0.4">
      <c r="A634" t="s">
        <v>4</v>
      </c>
      <c r="B634">
        <v>0.50360000000000005</v>
      </c>
      <c r="C634">
        <v>0.34910000000000002</v>
      </c>
      <c r="D634">
        <v>0.34920000000000001</v>
      </c>
      <c r="E634">
        <v>0.37730000000000002</v>
      </c>
      <c r="F634">
        <v>0.41620000000000001</v>
      </c>
      <c r="G634">
        <v>0.44069999999999998</v>
      </c>
      <c r="H634">
        <v>0.46350000000000002</v>
      </c>
      <c r="I634">
        <v>0.45600000000000002</v>
      </c>
      <c r="J634">
        <v>0.46639999999999998</v>
      </c>
      <c r="K634">
        <v>0.47520000000000001</v>
      </c>
      <c r="L634">
        <v>0.48209999999999997</v>
      </c>
      <c r="M634">
        <v>0.46410000000000001</v>
      </c>
      <c r="N634">
        <v>0.46310000000000001</v>
      </c>
      <c r="O634">
        <v>0.46150000000000002</v>
      </c>
      <c r="S634">
        <v>4.5373999999999999</v>
      </c>
      <c r="T634">
        <f t="shared" si="6"/>
        <v>4537.3999999999996</v>
      </c>
    </row>
    <row r="635" spans="1:20" x14ac:dyDescent="0.4">
      <c r="S635">
        <v>4.2111000000000001</v>
      </c>
      <c r="T635">
        <f t="shared" si="6"/>
        <v>4211.1000000000004</v>
      </c>
    </row>
    <row r="636" spans="1:20" x14ac:dyDescent="0.4">
      <c r="A636" t="s">
        <v>3</v>
      </c>
      <c r="B636" t="s">
        <v>2</v>
      </c>
      <c r="C636" t="s">
        <v>1</v>
      </c>
      <c r="D636" t="s">
        <v>0</v>
      </c>
      <c r="S636">
        <v>4.0204000000000004</v>
      </c>
      <c r="T636">
        <f t="shared" si="6"/>
        <v>4020.4000000000005</v>
      </c>
    </row>
    <row r="637" spans="1:20" x14ac:dyDescent="0.4">
      <c r="A637" t="s">
        <v>0</v>
      </c>
      <c r="B637">
        <v>1</v>
      </c>
      <c r="C637">
        <v>244.97399999999999</v>
      </c>
      <c r="D637">
        <v>145.78890000000001</v>
      </c>
      <c r="E637">
        <v>145.78739999999999</v>
      </c>
      <c r="F637">
        <v>146.16739999999999</v>
      </c>
      <c r="G637">
        <v>146.36500000000001</v>
      </c>
      <c r="H637">
        <v>146.4248</v>
      </c>
      <c r="I637">
        <v>145.9075</v>
      </c>
      <c r="J637">
        <v>146.69049999999999</v>
      </c>
      <c r="K637">
        <v>144.9365</v>
      </c>
      <c r="L637">
        <v>145.09700000000001</v>
      </c>
      <c r="M637">
        <v>145.34979999999999</v>
      </c>
      <c r="N637">
        <v>146.09309999999999</v>
      </c>
      <c r="O637">
        <v>145.5204</v>
      </c>
      <c r="P637">
        <v>143.91890000000001</v>
      </c>
      <c r="S637">
        <v>3.8875000000000002</v>
      </c>
      <c r="T637">
        <f t="shared" si="6"/>
        <v>3887.5</v>
      </c>
    </row>
    <row r="638" spans="1:20" x14ac:dyDescent="0.4">
      <c r="A638" t="s">
        <v>0</v>
      </c>
      <c r="B638">
        <v>2</v>
      </c>
      <c r="C638">
        <v>93.8626</v>
      </c>
      <c r="D638">
        <v>145.4256</v>
      </c>
      <c r="E638">
        <v>87.744</v>
      </c>
      <c r="F638">
        <v>88.127499999999998</v>
      </c>
      <c r="G638">
        <v>86.543700000000001</v>
      </c>
      <c r="H638">
        <v>87.204400000000007</v>
      </c>
      <c r="I638">
        <v>86.8215</v>
      </c>
      <c r="J638">
        <v>86.239900000000006</v>
      </c>
      <c r="K638">
        <v>85.714200000000005</v>
      </c>
      <c r="L638">
        <v>84.689700000000002</v>
      </c>
      <c r="M638">
        <v>84.569800000000001</v>
      </c>
      <c r="N638">
        <v>84.222099999999998</v>
      </c>
      <c r="O638">
        <v>84.718400000000003</v>
      </c>
      <c r="P638">
        <v>84.5745</v>
      </c>
      <c r="S638">
        <v>3.7673999999999999</v>
      </c>
      <c r="T638">
        <f t="shared" si="6"/>
        <v>3767.3999999999996</v>
      </c>
    </row>
    <row r="639" spans="1:20" x14ac:dyDescent="0.4">
      <c r="A639" t="s">
        <v>0</v>
      </c>
      <c r="B639">
        <v>3</v>
      </c>
      <c r="C639">
        <v>51.2273</v>
      </c>
      <c r="D639">
        <v>51.022799999999997</v>
      </c>
      <c r="E639">
        <v>83.453400000000002</v>
      </c>
      <c r="F639">
        <v>50.539099999999998</v>
      </c>
      <c r="G639">
        <v>48.139200000000002</v>
      </c>
      <c r="H639">
        <v>45.936599999999999</v>
      </c>
      <c r="I639">
        <v>45.307299999999998</v>
      </c>
      <c r="J639">
        <v>44.482399999999998</v>
      </c>
      <c r="K639">
        <v>43.452599999999997</v>
      </c>
      <c r="L639">
        <v>42.885100000000001</v>
      </c>
      <c r="M639">
        <v>42.192599999999999</v>
      </c>
      <c r="N639">
        <v>41.970100000000002</v>
      </c>
      <c r="O639">
        <v>42.244599999999998</v>
      </c>
      <c r="P639">
        <v>42.417700000000004</v>
      </c>
      <c r="S639">
        <v>3.6903000000000001</v>
      </c>
      <c r="T639">
        <f t="shared" si="6"/>
        <v>3690.3</v>
      </c>
    </row>
    <row r="640" spans="1:20" x14ac:dyDescent="0.4">
      <c r="A640" t="s">
        <v>0</v>
      </c>
      <c r="B640">
        <v>4</v>
      </c>
      <c r="C640">
        <v>9.1702999999999992</v>
      </c>
      <c r="D640">
        <v>24.980599999999999</v>
      </c>
      <c r="E640">
        <v>27.597300000000001</v>
      </c>
      <c r="F640">
        <v>45.459099999999999</v>
      </c>
      <c r="G640">
        <v>25.427499999999998</v>
      </c>
      <c r="H640">
        <v>22.604900000000001</v>
      </c>
      <c r="I640">
        <v>20.997800000000002</v>
      </c>
      <c r="J640">
        <v>20.1934</v>
      </c>
      <c r="K640">
        <v>20.0442</v>
      </c>
      <c r="L640">
        <v>19.461099999999998</v>
      </c>
      <c r="M640">
        <v>19.011399999999998</v>
      </c>
      <c r="N640">
        <v>18.683700000000002</v>
      </c>
      <c r="O640">
        <v>18.867599999999999</v>
      </c>
      <c r="P640">
        <v>18.9892</v>
      </c>
      <c r="S640">
        <v>3.6558999999999999</v>
      </c>
      <c r="T640">
        <f t="shared" si="6"/>
        <v>3655.9</v>
      </c>
    </row>
    <row r="641" spans="1:20" x14ac:dyDescent="0.4">
      <c r="A641" t="s">
        <v>0</v>
      </c>
      <c r="B641">
        <v>5</v>
      </c>
      <c r="C641">
        <v>2.4695999999999998</v>
      </c>
      <c r="D641">
        <v>4.2323000000000004</v>
      </c>
      <c r="E641">
        <v>13.067299999999999</v>
      </c>
      <c r="F641">
        <v>14.618399999999999</v>
      </c>
      <c r="G641">
        <v>22.684899999999999</v>
      </c>
      <c r="H641">
        <v>11.5002</v>
      </c>
      <c r="I641">
        <v>9.99</v>
      </c>
      <c r="J641">
        <v>9.0632000000000001</v>
      </c>
      <c r="K641">
        <v>8.8524999999999991</v>
      </c>
      <c r="L641">
        <v>8.6684999999999999</v>
      </c>
      <c r="M641">
        <v>8.3703000000000003</v>
      </c>
      <c r="N641">
        <v>8.1143999999999998</v>
      </c>
      <c r="O641">
        <v>8.1240000000000006</v>
      </c>
      <c r="P641">
        <v>8.2112999999999996</v>
      </c>
      <c r="S641">
        <v>3.6617999999999999</v>
      </c>
      <c r="T641">
        <f t="shared" si="6"/>
        <v>3661.7999999999997</v>
      </c>
    </row>
    <row r="642" spans="1:20" x14ac:dyDescent="0.4">
      <c r="A642" t="s">
        <v>0</v>
      </c>
      <c r="B642">
        <v>6</v>
      </c>
      <c r="C642">
        <v>0.84919999999999995</v>
      </c>
      <c r="D642">
        <v>1.1149</v>
      </c>
      <c r="E642">
        <v>2.1414</v>
      </c>
      <c r="F642">
        <v>6.7441000000000004</v>
      </c>
      <c r="G642">
        <v>7.2126999999999999</v>
      </c>
      <c r="H642">
        <v>10.3713</v>
      </c>
      <c r="I642">
        <v>5.0380000000000003</v>
      </c>
      <c r="J642">
        <v>4.2638999999999996</v>
      </c>
      <c r="K642">
        <v>3.9363999999999999</v>
      </c>
      <c r="L642">
        <v>3.8029999999999999</v>
      </c>
      <c r="M642">
        <v>3.6837</v>
      </c>
      <c r="N642">
        <v>3.5232999999999999</v>
      </c>
      <c r="O642">
        <v>3.4788000000000001</v>
      </c>
      <c r="P642">
        <v>3.5</v>
      </c>
      <c r="S642">
        <v>3.6823000000000001</v>
      </c>
      <c r="T642">
        <f t="shared" si="6"/>
        <v>3682.3</v>
      </c>
    </row>
    <row r="643" spans="1:20" x14ac:dyDescent="0.4">
      <c r="A643" t="s">
        <v>0</v>
      </c>
      <c r="B643">
        <v>7</v>
      </c>
      <c r="C643">
        <v>0.1227</v>
      </c>
      <c r="D643">
        <v>0.37930000000000003</v>
      </c>
      <c r="E643">
        <v>0.56740000000000002</v>
      </c>
      <c r="F643">
        <v>1.0765</v>
      </c>
      <c r="G643">
        <v>3.3210999999999999</v>
      </c>
      <c r="H643">
        <v>3.3342999999999998</v>
      </c>
      <c r="I643">
        <v>4.6380999999999997</v>
      </c>
      <c r="J643">
        <v>2.1785000000000001</v>
      </c>
      <c r="K643">
        <v>1.869</v>
      </c>
      <c r="L643">
        <v>1.7003999999999999</v>
      </c>
      <c r="M643">
        <v>1.6238999999999999</v>
      </c>
      <c r="N643">
        <v>1.5624</v>
      </c>
      <c r="O643">
        <v>1.5209999999999999</v>
      </c>
      <c r="P643">
        <v>1.5011000000000001</v>
      </c>
    </row>
    <row r="644" spans="1:20" x14ac:dyDescent="0.4">
      <c r="A644" t="s">
        <v>0</v>
      </c>
      <c r="B644">
        <v>8</v>
      </c>
      <c r="C644">
        <v>9.0200000000000002E-2</v>
      </c>
      <c r="D644">
        <v>5.6300000000000003E-2</v>
      </c>
      <c r="E644">
        <v>0.193</v>
      </c>
      <c r="F644">
        <v>0.28960000000000002</v>
      </c>
      <c r="G644">
        <v>0.53249999999999997</v>
      </c>
      <c r="H644">
        <v>1.5570999999999999</v>
      </c>
      <c r="I644">
        <v>1.5123</v>
      </c>
      <c r="J644">
        <v>2.0548000000000002</v>
      </c>
      <c r="K644">
        <v>0.96809999999999996</v>
      </c>
      <c r="L644">
        <v>0.82369999999999999</v>
      </c>
      <c r="M644">
        <v>0.73899999999999999</v>
      </c>
      <c r="N644">
        <v>0.70089999999999997</v>
      </c>
      <c r="O644">
        <v>0.68089999999999995</v>
      </c>
      <c r="P644">
        <v>0.66510000000000002</v>
      </c>
    </row>
    <row r="645" spans="1:20" x14ac:dyDescent="0.4">
      <c r="A645" t="s">
        <v>0</v>
      </c>
      <c r="B645">
        <v>9</v>
      </c>
      <c r="C645">
        <v>6.3E-3</v>
      </c>
      <c r="D645">
        <v>4.0899999999999999E-2</v>
      </c>
      <c r="E645">
        <v>2.87E-2</v>
      </c>
      <c r="F645">
        <v>9.8599999999999993E-2</v>
      </c>
      <c r="G645">
        <v>0.14510000000000001</v>
      </c>
      <c r="H645">
        <v>0.25430000000000003</v>
      </c>
      <c r="I645">
        <v>0.72060000000000002</v>
      </c>
      <c r="J645">
        <v>0.68010000000000004</v>
      </c>
      <c r="K645">
        <v>0.93079999999999996</v>
      </c>
      <c r="L645">
        <v>0.43380000000000002</v>
      </c>
      <c r="M645">
        <v>0.36459999999999998</v>
      </c>
      <c r="N645">
        <v>0.32290000000000002</v>
      </c>
      <c r="O645">
        <v>0.31180000000000002</v>
      </c>
      <c r="P645">
        <v>0.30199999999999999</v>
      </c>
    </row>
    <row r="646" spans="1:20" x14ac:dyDescent="0.4">
      <c r="A646" t="s">
        <v>0</v>
      </c>
      <c r="B646">
        <v>10</v>
      </c>
      <c r="C646">
        <v>3.2000000000000002E-3</v>
      </c>
      <c r="D646">
        <v>3.0000000000000001E-3</v>
      </c>
      <c r="E646">
        <v>2.06E-2</v>
      </c>
      <c r="F646">
        <v>1.47E-2</v>
      </c>
      <c r="G646">
        <v>5.0099999999999999E-2</v>
      </c>
      <c r="H646">
        <v>7.0199999999999999E-2</v>
      </c>
      <c r="I646">
        <v>0.12</v>
      </c>
      <c r="J646">
        <v>0.33040000000000003</v>
      </c>
      <c r="K646">
        <v>0.31269999999999998</v>
      </c>
      <c r="L646">
        <v>0.4234</v>
      </c>
      <c r="M646">
        <v>0.19439999999999999</v>
      </c>
      <c r="N646">
        <v>0.16239999999999999</v>
      </c>
      <c r="O646">
        <v>0.1457</v>
      </c>
      <c r="P646">
        <v>0.1401</v>
      </c>
    </row>
    <row r="647" spans="1:20" x14ac:dyDescent="0.4">
      <c r="A647" t="s">
        <v>0</v>
      </c>
      <c r="B647">
        <v>11</v>
      </c>
      <c r="C647">
        <v>8.9999999999999998E-4</v>
      </c>
      <c r="D647">
        <v>1.5E-3</v>
      </c>
      <c r="E647">
        <v>1.5E-3</v>
      </c>
      <c r="F647">
        <v>1.03E-2</v>
      </c>
      <c r="G647">
        <v>7.7000000000000002E-3</v>
      </c>
      <c r="H647">
        <v>2.46E-2</v>
      </c>
      <c r="I647">
        <v>3.3500000000000002E-2</v>
      </c>
      <c r="J647">
        <v>5.5899999999999998E-2</v>
      </c>
      <c r="K647">
        <v>0.154</v>
      </c>
      <c r="L647">
        <v>0.1439</v>
      </c>
      <c r="M647">
        <v>0.1928</v>
      </c>
      <c r="N647">
        <v>8.77E-2</v>
      </c>
      <c r="O647">
        <v>7.3999999999999996E-2</v>
      </c>
      <c r="P647">
        <v>6.6400000000000001E-2</v>
      </c>
    </row>
    <row r="648" spans="1:20" x14ac:dyDescent="0.4">
      <c r="A648" t="s">
        <v>0</v>
      </c>
      <c r="B648">
        <v>12</v>
      </c>
      <c r="C648">
        <v>1E-4</v>
      </c>
      <c r="D648">
        <v>4.0000000000000002E-4</v>
      </c>
      <c r="E648">
        <v>8.0000000000000004E-4</v>
      </c>
      <c r="F648">
        <v>8.0000000000000004E-4</v>
      </c>
      <c r="G648">
        <v>5.1999999999999998E-3</v>
      </c>
      <c r="H648">
        <v>3.8E-3</v>
      </c>
      <c r="I648">
        <v>1.1900000000000001E-2</v>
      </c>
      <c r="J648">
        <v>1.5800000000000002E-2</v>
      </c>
      <c r="K648">
        <v>2.6499999999999999E-2</v>
      </c>
      <c r="L648">
        <v>7.1900000000000006E-2</v>
      </c>
      <c r="M648">
        <v>6.6199999999999995E-2</v>
      </c>
      <c r="N648">
        <v>8.7800000000000003E-2</v>
      </c>
      <c r="O648">
        <v>4.0399999999999998E-2</v>
      </c>
      <c r="P648">
        <v>3.4000000000000002E-2</v>
      </c>
    </row>
    <row r="649" spans="1:20" x14ac:dyDescent="0.4">
      <c r="A649" t="s">
        <v>0</v>
      </c>
      <c r="B649">
        <v>13</v>
      </c>
      <c r="C649">
        <v>0</v>
      </c>
      <c r="D649">
        <v>0</v>
      </c>
      <c r="E649">
        <v>2.0000000000000001E-4</v>
      </c>
      <c r="F649">
        <v>4.0000000000000002E-4</v>
      </c>
      <c r="G649">
        <v>4.0000000000000002E-4</v>
      </c>
      <c r="H649">
        <v>2.5999999999999999E-3</v>
      </c>
      <c r="I649">
        <v>1.9E-3</v>
      </c>
      <c r="J649">
        <v>5.5999999999999999E-3</v>
      </c>
      <c r="K649">
        <v>7.4999999999999997E-3</v>
      </c>
      <c r="L649">
        <v>1.2500000000000001E-2</v>
      </c>
      <c r="M649">
        <v>3.3399999999999999E-2</v>
      </c>
      <c r="N649">
        <v>3.0300000000000001E-2</v>
      </c>
      <c r="O649">
        <v>4.07E-2</v>
      </c>
      <c r="P649">
        <v>1.8800000000000001E-2</v>
      </c>
    </row>
    <row r="650" spans="1:20" x14ac:dyDescent="0.4">
      <c r="A650" t="s">
        <v>0</v>
      </c>
      <c r="B650">
        <v>14</v>
      </c>
      <c r="C650">
        <v>0</v>
      </c>
      <c r="D650">
        <v>0</v>
      </c>
      <c r="E650">
        <v>0</v>
      </c>
      <c r="F650">
        <v>1E-4</v>
      </c>
      <c r="G650">
        <v>2.0000000000000001E-4</v>
      </c>
      <c r="H650">
        <v>2.0000000000000001E-4</v>
      </c>
      <c r="I650">
        <v>1.2999999999999999E-3</v>
      </c>
      <c r="J650">
        <v>8.9999999999999998E-4</v>
      </c>
      <c r="K650">
        <v>2.7000000000000001E-3</v>
      </c>
      <c r="L650">
        <v>3.5999999999999999E-3</v>
      </c>
      <c r="M650">
        <v>5.7999999999999996E-3</v>
      </c>
      <c r="N650">
        <v>1.54E-2</v>
      </c>
      <c r="O650">
        <v>1.41E-2</v>
      </c>
      <c r="P650">
        <v>1.9E-2</v>
      </c>
    </row>
    <row r="651" spans="1:20" x14ac:dyDescent="0.4">
      <c r="A651" t="s">
        <v>0</v>
      </c>
      <c r="B651">
        <v>15</v>
      </c>
      <c r="C651">
        <v>0</v>
      </c>
      <c r="D651">
        <v>0</v>
      </c>
      <c r="E651">
        <v>0</v>
      </c>
      <c r="F651">
        <v>0</v>
      </c>
      <c r="G651">
        <v>1E-4</v>
      </c>
      <c r="H651">
        <v>1E-4</v>
      </c>
      <c r="I651">
        <v>2.0000000000000001E-4</v>
      </c>
      <c r="J651">
        <v>6.9999999999999999E-4</v>
      </c>
      <c r="K651">
        <v>8.0000000000000004E-4</v>
      </c>
      <c r="L651">
        <v>1.6999999999999999E-3</v>
      </c>
      <c r="M651">
        <v>2.5000000000000001E-3</v>
      </c>
      <c r="N651">
        <v>3.8999999999999998E-3</v>
      </c>
      <c r="O651">
        <v>9.1000000000000004E-3</v>
      </c>
      <c r="P651">
        <v>1.0999999999999999E-2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EFD08-8508-4091-A71B-FAE3527AE060}">
  <dimension ref="A1:U651"/>
  <sheetViews>
    <sheetView topLeftCell="F259" workbookViewId="0">
      <selection activeCell="M260" sqref="M260:S273"/>
    </sheetView>
  </sheetViews>
  <sheetFormatPr defaultRowHeight="14.6" x14ac:dyDescent="0.4"/>
  <sheetData>
    <row r="1" spans="1:9" x14ac:dyDescent="0.4">
      <c r="A1" t="s">
        <v>69</v>
      </c>
      <c r="B1" t="s">
        <v>68</v>
      </c>
      <c r="C1">
        <v>4.2</v>
      </c>
    </row>
    <row r="3" spans="1:9" x14ac:dyDescent="0.4">
      <c r="A3" t="s">
        <v>163</v>
      </c>
    </row>
    <row r="5" spans="1:9" x14ac:dyDescent="0.4">
      <c r="A5" t="s">
        <v>67</v>
      </c>
      <c r="B5" t="s">
        <v>66</v>
      </c>
      <c r="C5" t="s">
        <v>65</v>
      </c>
      <c r="D5" t="s">
        <v>47</v>
      </c>
      <c r="E5" t="s">
        <v>64</v>
      </c>
      <c r="F5">
        <v>10</v>
      </c>
      <c r="G5" t="s">
        <v>160</v>
      </c>
      <c r="H5">
        <v>2025</v>
      </c>
      <c r="I5" s="3">
        <v>0.59375</v>
      </c>
    </row>
    <row r="7" spans="1:9" x14ac:dyDescent="0.4">
      <c r="A7" t="s">
        <v>45</v>
      </c>
      <c r="B7" t="s">
        <v>52</v>
      </c>
      <c r="C7" t="s">
        <v>51</v>
      </c>
      <c r="D7" t="s">
        <v>162</v>
      </c>
    </row>
    <row r="9" spans="1:9" x14ac:dyDescent="0.4">
      <c r="A9" t="s">
        <v>63</v>
      </c>
      <c r="B9" t="s">
        <v>0</v>
      </c>
      <c r="C9" t="s">
        <v>62</v>
      </c>
      <c r="D9">
        <v>1</v>
      </c>
    </row>
    <row r="10" spans="1:9" x14ac:dyDescent="0.4">
      <c r="A10" t="s">
        <v>50</v>
      </c>
      <c r="B10" t="s">
        <v>47</v>
      </c>
      <c r="C10" t="s">
        <v>0</v>
      </c>
      <c r="D10" t="s">
        <v>61</v>
      </c>
      <c r="E10">
        <v>15</v>
      </c>
    </row>
    <row r="11" spans="1:9" x14ac:dyDescent="0.4">
      <c r="A11" t="s">
        <v>50</v>
      </c>
      <c r="B11" t="s">
        <v>47</v>
      </c>
      <c r="C11" t="s">
        <v>60</v>
      </c>
      <c r="D11" t="s">
        <v>59</v>
      </c>
      <c r="E11" t="s">
        <v>58</v>
      </c>
      <c r="F11">
        <v>14</v>
      </c>
    </row>
    <row r="12" spans="1:9" x14ac:dyDescent="0.4">
      <c r="A12" t="s">
        <v>50</v>
      </c>
      <c r="B12" t="s">
        <v>47</v>
      </c>
      <c r="C12" t="s">
        <v>57</v>
      </c>
      <c r="D12">
        <v>9</v>
      </c>
    </row>
    <row r="13" spans="1:9" x14ac:dyDescent="0.4">
      <c r="A13" t="s">
        <v>50</v>
      </c>
      <c r="B13" t="s">
        <v>47</v>
      </c>
      <c r="C13" t="s">
        <v>41</v>
      </c>
      <c r="D13" t="s">
        <v>56</v>
      </c>
      <c r="E13">
        <v>3</v>
      </c>
    </row>
    <row r="14" spans="1:9" x14ac:dyDescent="0.4">
      <c r="A14" t="s">
        <v>50</v>
      </c>
      <c r="B14" t="s">
        <v>47</v>
      </c>
      <c r="C14" t="s">
        <v>55</v>
      </c>
      <c r="D14">
        <v>100</v>
      </c>
    </row>
    <row r="15" spans="1:9" x14ac:dyDescent="0.4">
      <c r="A15" t="s">
        <v>50</v>
      </c>
      <c r="B15" t="s">
        <v>47</v>
      </c>
      <c r="C15" t="s">
        <v>54</v>
      </c>
      <c r="D15">
        <v>1000</v>
      </c>
    </row>
    <row r="17" spans="1:11" x14ac:dyDescent="0.4">
      <c r="A17" t="s">
        <v>53</v>
      </c>
      <c r="B17" t="s">
        <v>52</v>
      </c>
      <c r="C17" t="s">
        <v>51</v>
      </c>
      <c r="D17" t="s">
        <v>75</v>
      </c>
      <c r="E17" t="s">
        <v>76</v>
      </c>
      <c r="F17" t="s">
        <v>77</v>
      </c>
      <c r="G17" t="s">
        <v>78</v>
      </c>
    </row>
    <row r="19" spans="1:11" x14ac:dyDescent="0.4">
      <c r="A19" t="s">
        <v>50</v>
      </c>
      <c r="B19" t="s">
        <v>47</v>
      </c>
      <c r="C19" t="s">
        <v>49</v>
      </c>
      <c r="D19" t="s">
        <v>48</v>
      </c>
      <c r="E19">
        <v>99855</v>
      </c>
      <c r="F19" t="s">
        <v>47</v>
      </c>
      <c r="G19">
        <v>100000</v>
      </c>
      <c r="H19" t="s">
        <v>46</v>
      </c>
    </row>
    <row r="21" spans="1:11" x14ac:dyDescent="0.4">
      <c r="A21" t="s">
        <v>45</v>
      </c>
      <c r="B21" t="s">
        <v>44</v>
      </c>
      <c r="C21" t="s">
        <v>43</v>
      </c>
    </row>
    <row r="23" spans="1:11" x14ac:dyDescent="0.4">
      <c r="A23" t="s">
        <v>22</v>
      </c>
      <c r="B23" t="s">
        <v>42</v>
      </c>
      <c r="C23" t="s">
        <v>79</v>
      </c>
      <c r="D23" t="s">
        <v>80</v>
      </c>
      <c r="E23" t="s">
        <v>81</v>
      </c>
      <c r="F23" t="s">
        <v>82</v>
      </c>
      <c r="G23" t="s">
        <v>83</v>
      </c>
      <c r="H23" t="s">
        <v>84</v>
      </c>
      <c r="I23" t="s">
        <v>85</v>
      </c>
      <c r="J23" t="s">
        <v>86</v>
      </c>
      <c r="K23" t="s">
        <v>87</v>
      </c>
    </row>
    <row r="25" spans="1:11" x14ac:dyDescent="0.4">
      <c r="A25">
        <v>2021</v>
      </c>
      <c r="B25" t="s">
        <v>5</v>
      </c>
      <c r="C25">
        <v>118</v>
      </c>
      <c r="D25">
        <v>100</v>
      </c>
      <c r="E25">
        <v>551</v>
      </c>
      <c r="F25">
        <v>72</v>
      </c>
      <c r="G25">
        <v>89</v>
      </c>
      <c r="H25">
        <v>37</v>
      </c>
      <c r="I25">
        <v>58</v>
      </c>
      <c r="J25">
        <v>265</v>
      </c>
      <c r="K25">
        <v>249</v>
      </c>
    </row>
    <row r="26" spans="1:11" x14ac:dyDescent="0.4">
      <c r="A26">
        <v>2022</v>
      </c>
      <c r="B26" t="s">
        <v>5</v>
      </c>
      <c r="C26">
        <v>75</v>
      </c>
      <c r="D26">
        <v>99</v>
      </c>
      <c r="E26">
        <v>464</v>
      </c>
      <c r="F26">
        <v>36</v>
      </c>
      <c r="G26">
        <v>80</v>
      </c>
      <c r="H26">
        <v>54</v>
      </c>
      <c r="I26">
        <v>84</v>
      </c>
      <c r="J26">
        <v>298</v>
      </c>
      <c r="K26">
        <v>284</v>
      </c>
    </row>
    <row r="27" spans="1:11" x14ac:dyDescent="0.4">
      <c r="A27">
        <v>2023</v>
      </c>
      <c r="B27" t="s">
        <v>5</v>
      </c>
      <c r="C27">
        <v>129</v>
      </c>
      <c r="D27">
        <v>80</v>
      </c>
      <c r="E27">
        <v>526</v>
      </c>
      <c r="F27">
        <v>28</v>
      </c>
      <c r="G27">
        <v>110</v>
      </c>
      <c r="H27">
        <v>54</v>
      </c>
      <c r="I27">
        <v>84</v>
      </c>
      <c r="J27">
        <v>214</v>
      </c>
      <c r="K27">
        <v>461</v>
      </c>
    </row>
    <row r="28" spans="1:11" x14ac:dyDescent="0.4">
      <c r="A28">
        <v>2024</v>
      </c>
      <c r="B28" t="s">
        <v>5</v>
      </c>
      <c r="C28">
        <v>83</v>
      </c>
      <c r="D28">
        <v>176</v>
      </c>
      <c r="E28">
        <v>578</v>
      </c>
      <c r="F28">
        <v>27</v>
      </c>
      <c r="G28">
        <v>110</v>
      </c>
      <c r="H28">
        <v>54</v>
      </c>
      <c r="I28">
        <v>84</v>
      </c>
      <c r="J28">
        <v>584</v>
      </c>
      <c r="K28">
        <v>461</v>
      </c>
    </row>
    <row r="29" spans="1:11" x14ac:dyDescent="0.4">
      <c r="A29">
        <v>2025</v>
      </c>
      <c r="B29" t="s">
        <v>5</v>
      </c>
      <c r="C29">
        <v>351</v>
      </c>
      <c r="D29">
        <v>139</v>
      </c>
      <c r="E29">
        <v>1296</v>
      </c>
      <c r="F29">
        <v>65</v>
      </c>
      <c r="G29">
        <v>213</v>
      </c>
      <c r="H29">
        <v>95</v>
      </c>
      <c r="I29">
        <v>197</v>
      </c>
      <c r="J29">
        <v>393</v>
      </c>
      <c r="K29">
        <v>476</v>
      </c>
    </row>
    <row r="30" spans="1:11" x14ac:dyDescent="0.4">
      <c r="A30">
        <v>2026</v>
      </c>
      <c r="B30" t="s">
        <v>5</v>
      </c>
      <c r="C30">
        <v>316</v>
      </c>
      <c r="D30">
        <v>125</v>
      </c>
      <c r="E30">
        <v>904</v>
      </c>
      <c r="F30">
        <v>58</v>
      </c>
      <c r="G30">
        <v>191</v>
      </c>
      <c r="H30">
        <v>85</v>
      </c>
      <c r="I30">
        <v>166</v>
      </c>
      <c r="J30">
        <v>228</v>
      </c>
      <c r="K30">
        <v>326</v>
      </c>
    </row>
    <row r="31" spans="1:11" x14ac:dyDescent="0.4">
      <c r="A31">
        <v>2027</v>
      </c>
      <c r="B31" t="s">
        <v>5</v>
      </c>
      <c r="C31">
        <v>316</v>
      </c>
      <c r="D31">
        <v>125</v>
      </c>
      <c r="E31">
        <v>904</v>
      </c>
      <c r="F31">
        <v>58</v>
      </c>
      <c r="G31">
        <v>191</v>
      </c>
      <c r="H31">
        <v>85</v>
      </c>
      <c r="I31">
        <v>166</v>
      </c>
      <c r="J31">
        <v>228</v>
      </c>
      <c r="K31">
        <v>326</v>
      </c>
    </row>
    <row r="32" spans="1:11" x14ac:dyDescent="0.4">
      <c r="A32">
        <v>2028</v>
      </c>
      <c r="B32" t="s">
        <v>5</v>
      </c>
      <c r="C32">
        <v>189</v>
      </c>
      <c r="D32">
        <v>125</v>
      </c>
      <c r="E32">
        <v>708</v>
      </c>
      <c r="F32">
        <v>68</v>
      </c>
      <c r="G32">
        <v>162</v>
      </c>
      <c r="H32">
        <v>90</v>
      </c>
      <c r="I32">
        <v>173</v>
      </c>
      <c r="J32">
        <v>381</v>
      </c>
      <c r="K32">
        <v>304</v>
      </c>
    </row>
    <row r="33" spans="1:11" x14ac:dyDescent="0.4">
      <c r="A33">
        <v>2029</v>
      </c>
      <c r="B33" t="s">
        <v>5</v>
      </c>
      <c r="C33">
        <v>189</v>
      </c>
      <c r="D33">
        <v>125</v>
      </c>
      <c r="E33">
        <v>708</v>
      </c>
      <c r="F33">
        <v>68</v>
      </c>
      <c r="G33">
        <v>162</v>
      </c>
      <c r="H33">
        <v>90</v>
      </c>
      <c r="I33">
        <v>173</v>
      </c>
      <c r="J33">
        <v>381</v>
      </c>
      <c r="K33">
        <v>304</v>
      </c>
    </row>
    <row r="34" spans="1:11" x14ac:dyDescent="0.4">
      <c r="A34">
        <v>2030</v>
      </c>
      <c r="B34" t="s">
        <v>5</v>
      </c>
      <c r="C34">
        <v>189</v>
      </c>
      <c r="D34">
        <v>125</v>
      </c>
      <c r="E34">
        <v>708</v>
      </c>
      <c r="F34">
        <v>68</v>
      </c>
      <c r="G34">
        <v>162</v>
      </c>
      <c r="H34">
        <v>90</v>
      </c>
      <c r="I34">
        <v>173</v>
      </c>
      <c r="J34">
        <v>381</v>
      </c>
      <c r="K34">
        <v>304</v>
      </c>
    </row>
    <row r="35" spans="1:11" x14ac:dyDescent="0.4">
      <c r="A35">
        <v>2031</v>
      </c>
      <c r="B35" t="s">
        <v>5</v>
      </c>
      <c r="C35">
        <v>189</v>
      </c>
      <c r="D35">
        <v>125</v>
      </c>
      <c r="E35">
        <v>708</v>
      </c>
      <c r="F35">
        <v>68</v>
      </c>
      <c r="G35">
        <v>162</v>
      </c>
      <c r="H35">
        <v>90</v>
      </c>
      <c r="I35">
        <v>173</v>
      </c>
      <c r="J35">
        <v>381</v>
      </c>
      <c r="K35">
        <v>304</v>
      </c>
    </row>
    <row r="36" spans="1:11" x14ac:dyDescent="0.4">
      <c r="A36">
        <v>2032</v>
      </c>
      <c r="B36" t="s">
        <v>5</v>
      </c>
      <c r="C36">
        <v>189</v>
      </c>
      <c r="D36">
        <v>125</v>
      </c>
      <c r="E36">
        <v>708</v>
      </c>
      <c r="F36">
        <v>68</v>
      </c>
      <c r="G36">
        <v>162</v>
      </c>
      <c r="H36">
        <v>90</v>
      </c>
      <c r="I36">
        <v>173</v>
      </c>
      <c r="J36">
        <v>381</v>
      </c>
      <c r="K36">
        <v>304</v>
      </c>
    </row>
    <row r="37" spans="1:11" x14ac:dyDescent="0.4">
      <c r="A37">
        <v>2033</v>
      </c>
      <c r="B37" t="s">
        <v>5</v>
      </c>
      <c r="C37">
        <v>189</v>
      </c>
      <c r="D37">
        <v>125</v>
      </c>
      <c r="E37">
        <v>708</v>
      </c>
      <c r="F37">
        <v>68</v>
      </c>
      <c r="G37">
        <v>162</v>
      </c>
      <c r="H37">
        <v>90</v>
      </c>
      <c r="I37">
        <v>173</v>
      </c>
      <c r="J37">
        <v>381</v>
      </c>
      <c r="K37">
        <v>304</v>
      </c>
    </row>
    <row r="38" spans="1:11" x14ac:dyDescent="0.4">
      <c r="A38">
        <v>2034</v>
      </c>
      <c r="B38" t="s">
        <v>5</v>
      </c>
      <c r="C38">
        <v>189</v>
      </c>
      <c r="D38">
        <v>125</v>
      </c>
      <c r="E38">
        <v>708</v>
      </c>
      <c r="F38">
        <v>68</v>
      </c>
      <c r="G38">
        <v>162</v>
      </c>
      <c r="H38">
        <v>90</v>
      </c>
      <c r="I38">
        <v>173</v>
      </c>
      <c r="J38">
        <v>381</v>
      </c>
      <c r="K38">
        <v>304</v>
      </c>
    </row>
    <row r="40" spans="1:11" x14ac:dyDescent="0.4">
      <c r="A40" t="s">
        <v>41</v>
      </c>
      <c r="B40" t="s">
        <v>40</v>
      </c>
      <c r="C40" t="s">
        <v>32</v>
      </c>
    </row>
    <row r="42" spans="1:11" x14ac:dyDescent="0.4">
      <c r="A42" t="s">
        <v>22</v>
      </c>
      <c r="B42" t="s">
        <v>39</v>
      </c>
      <c r="C42" t="s">
        <v>38</v>
      </c>
      <c r="D42" t="s">
        <v>88</v>
      </c>
    </row>
    <row r="44" spans="1:11" x14ac:dyDescent="0.4">
      <c r="A44">
        <v>2021</v>
      </c>
      <c r="B44">
        <v>0.11990000000000001</v>
      </c>
      <c r="C44">
        <v>0.84030000000000005</v>
      </c>
      <c r="D44">
        <v>3.9800000000000002E-2</v>
      </c>
    </row>
    <row r="45" spans="1:11" x14ac:dyDescent="0.4">
      <c r="A45">
        <v>2022</v>
      </c>
      <c r="B45">
        <v>0.1198</v>
      </c>
      <c r="C45">
        <v>0.84079999999999999</v>
      </c>
      <c r="D45">
        <v>3.9399999999999998E-2</v>
      </c>
    </row>
    <row r="46" spans="1:11" x14ac:dyDescent="0.4">
      <c r="A46">
        <v>2023</v>
      </c>
      <c r="B46">
        <v>0.12130000000000001</v>
      </c>
      <c r="C46">
        <v>0.83899999999999997</v>
      </c>
      <c r="D46">
        <v>3.9699999999999999E-2</v>
      </c>
    </row>
    <row r="47" spans="1:11" x14ac:dyDescent="0.4">
      <c r="A47">
        <v>2024</v>
      </c>
      <c r="B47">
        <v>0.11890000000000001</v>
      </c>
      <c r="C47">
        <v>0.84160000000000001</v>
      </c>
      <c r="D47">
        <v>3.95E-2</v>
      </c>
    </row>
    <row r="48" spans="1:11" x14ac:dyDescent="0.4">
      <c r="A48">
        <v>2025</v>
      </c>
      <c r="B48">
        <v>0.1225</v>
      </c>
      <c r="C48">
        <v>0.83730000000000004</v>
      </c>
      <c r="D48">
        <v>4.02E-2</v>
      </c>
    </row>
    <row r="49" spans="1:4" x14ac:dyDescent="0.4">
      <c r="A49">
        <v>2026</v>
      </c>
      <c r="B49">
        <v>0.1183</v>
      </c>
      <c r="C49">
        <v>0.8427</v>
      </c>
      <c r="D49">
        <v>3.9E-2</v>
      </c>
    </row>
    <row r="50" spans="1:4" x14ac:dyDescent="0.4">
      <c r="A50">
        <v>2027</v>
      </c>
      <c r="B50">
        <v>0.1197</v>
      </c>
      <c r="C50">
        <v>0.8397</v>
      </c>
      <c r="D50">
        <v>4.0599999999999997E-2</v>
      </c>
    </row>
    <row r="51" spans="1:4" x14ac:dyDescent="0.4">
      <c r="A51">
        <v>2028</v>
      </c>
      <c r="B51">
        <v>0.11899999999999999</v>
      </c>
      <c r="C51">
        <v>0.84160000000000001</v>
      </c>
      <c r="D51">
        <v>3.95E-2</v>
      </c>
    </row>
    <row r="52" spans="1:4" x14ac:dyDescent="0.4">
      <c r="A52">
        <v>2029</v>
      </c>
      <c r="B52">
        <v>0.11990000000000001</v>
      </c>
      <c r="C52">
        <v>0.84009999999999996</v>
      </c>
      <c r="D52">
        <v>3.9899999999999998E-2</v>
      </c>
    </row>
    <row r="53" spans="1:4" x14ac:dyDescent="0.4">
      <c r="A53">
        <v>2030</v>
      </c>
      <c r="B53">
        <v>0.11940000000000001</v>
      </c>
      <c r="C53">
        <v>0.8407</v>
      </c>
      <c r="D53">
        <v>3.9899999999999998E-2</v>
      </c>
    </row>
    <row r="54" spans="1:4" x14ac:dyDescent="0.4">
      <c r="A54">
        <v>2031</v>
      </c>
      <c r="B54">
        <v>0.12</v>
      </c>
      <c r="C54">
        <v>0.83919999999999995</v>
      </c>
      <c r="D54">
        <v>4.0800000000000003E-2</v>
      </c>
    </row>
    <row r="55" spans="1:4" x14ac:dyDescent="0.4">
      <c r="A55">
        <v>2032</v>
      </c>
      <c r="B55">
        <v>0.1191</v>
      </c>
      <c r="C55">
        <v>0.84060000000000001</v>
      </c>
      <c r="D55">
        <v>4.0300000000000002E-2</v>
      </c>
    </row>
    <row r="56" spans="1:4" x14ac:dyDescent="0.4">
      <c r="A56">
        <v>2033</v>
      </c>
      <c r="B56">
        <v>0.1191</v>
      </c>
      <c r="C56">
        <v>0.84030000000000005</v>
      </c>
      <c r="D56">
        <v>4.0599999999999997E-2</v>
      </c>
    </row>
    <row r="57" spans="1:4" x14ac:dyDescent="0.4">
      <c r="A57">
        <v>2034</v>
      </c>
      <c r="B57">
        <v>0.11940000000000001</v>
      </c>
      <c r="C57">
        <v>0.84030000000000005</v>
      </c>
      <c r="D57">
        <v>4.0300000000000002E-2</v>
      </c>
    </row>
    <row r="59" spans="1:4" x14ac:dyDescent="0.4">
      <c r="A59" t="s">
        <v>11</v>
      </c>
      <c r="B59">
        <v>1000</v>
      </c>
      <c r="C59" t="s">
        <v>30</v>
      </c>
    </row>
    <row r="61" spans="1:4" x14ac:dyDescent="0.4">
      <c r="A61" t="s">
        <v>22</v>
      </c>
      <c r="B61" t="s">
        <v>37</v>
      </c>
      <c r="C61" t="s">
        <v>34</v>
      </c>
      <c r="D61" t="s">
        <v>33</v>
      </c>
    </row>
    <row r="62" spans="1:4" x14ac:dyDescent="0.4">
      <c r="A62">
        <v>2021</v>
      </c>
      <c r="B62">
        <v>173.3092</v>
      </c>
      <c r="C62">
        <v>80.350800000000007</v>
      </c>
    </row>
    <row r="63" spans="1:4" x14ac:dyDescent="0.4">
      <c r="A63">
        <v>2022</v>
      </c>
      <c r="B63">
        <v>174.40979999999999</v>
      </c>
      <c r="C63">
        <v>82.947100000000006</v>
      </c>
    </row>
    <row r="64" spans="1:4" x14ac:dyDescent="0.4">
      <c r="A64">
        <v>2023</v>
      </c>
      <c r="B64">
        <v>174.5386</v>
      </c>
      <c r="C64">
        <v>84.498000000000005</v>
      </c>
    </row>
    <row r="65" spans="1:11" x14ac:dyDescent="0.4">
      <c r="A65">
        <v>2024</v>
      </c>
      <c r="B65">
        <v>174.82409999999999</v>
      </c>
      <c r="C65">
        <v>83.752399999999994</v>
      </c>
    </row>
    <row r="66" spans="1:11" x14ac:dyDescent="0.4">
      <c r="A66">
        <v>2025</v>
      </c>
      <c r="B66">
        <v>174.16560000000001</v>
      </c>
      <c r="C66">
        <v>83.522099999999995</v>
      </c>
    </row>
    <row r="67" spans="1:11" x14ac:dyDescent="0.4">
      <c r="A67">
        <v>2026</v>
      </c>
      <c r="B67">
        <v>174.37139999999999</v>
      </c>
      <c r="C67">
        <v>82.781599999999997</v>
      </c>
    </row>
    <row r="68" spans="1:11" x14ac:dyDescent="0.4">
      <c r="A68">
        <v>2027</v>
      </c>
      <c r="B68">
        <v>174.17160000000001</v>
      </c>
      <c r="C68">
        <v>82.432100000000005</v>
      </c>
    </row>
    <row r="69" spans="1:11" x14ac:dyDescent="0.4">
      <c r="A69">
        <v>2028</v>
      </c>
      <c r="B69">
        <v>174.08920000000001</v>
      </c>
      <c r="C69">
        <v>83.063500000000005</v>
      </c>
    </row>
    <row r="70" spans="1:11" x14ac:dyDescent="0.4">
      <c r="A70">
        <v>2029</v>
      </c>
      <c r="B70">
        <v>173.82900000000001</v>
      </c>
      <c r="C70">
        <v>83.078500000000005</v>
      </c>
    </row>
    <row r="71" spans="1:11" x14ac:dyDescent="0.4">
      <c r="A71">
        <v>2030</v>
      </c>
      <c r="B71">
        <v>174.18899999999999</v>
      </c>
      <c r="C71">
        <v>82.755200000000002</v>
      </c>
    </row>
    <row r="72" spans="1:11" x14ac:dyDescent="0.4">
      <c r="A72">
        <v>2031</v>
      </c>
      <c r="B72">
        <v>173.876</v>
      </c>
      <c r="C72">
        <v>82.872399999999999</v>
      </c>
    </row>
    <row r="73" spans="1:11" x14ac:dyDescent="0.4">
      <c r="A73">
        <v>2032</v>
      </c>
      <c r="B73">
        <v>174.31569999999999</v>
      </c>
      <c r="C73">
        <v>83.1477</v>
      </c>
    </row>
    <row r="74" spans="1:11" x14ac:dyDescent="0.4">
      <c r="A74">
        <v>2033</v>
      </c>
      <c r="B74">
        <v>174.00299999999999</v>
      </c>
      <c r="C74">
        <v>83.080100000000002</v>
      </c>
    </row>
    <row r="75" spans="1:11" x14ac:dyDescent="0.4">
      <c r="A75">
        <v>2034</v>
      </c>
      <c r="B75">
        <v>173.50800000000001</v>
      </c>
      <c r="C75">
        <v>82.3322</v>
      </c>
    </row>
    <row r="77" spans="1:11" x14ac:dyDescent="0.4">
      <c r="A77" t="s">
        <v>11</v>
      </c>
      <c r="B77" t="s">
        <v>32</v>
      </c>
    </row>
    <row r="79" spans="1:11" x14ac:dyDescent="0.4">
      <c r="A79" t="s">
        <v>22</v>
      </c>
      <c r="B79" t="s">
        <v>37</v>
      </c>
      <c r="C79" s="2">
        <v>0.01</v>
      </c>
      <c r="D79" s="2">
        <v>0.05</v>
      </c>
      <c r="E79" s="2">
        <v>0.1</v>
      </c>
      <c r="F79" s="2">
        <v>0.25</v>
      </c>
      <c r="G79" s="2">
        <v>0.5</v>
      </c>
      <c r="H79" s="2">
        <v>0.75</v>
      </c>
      <c r="I79" s="2">
        <v>0.9</v>
      </c>
      <c r="J79" s="2">
        <v>0.95</v>
      </c>
      <c r="K79" s="2">
        <v>0.99</v>
      </c>
    </row>
    <row r="80" spans="1:11" x14ac:dyDescent="0.4">
      <c r="A80">
        <v>2021</v>
      </c>
      <c r="B80">
        <v>68.625500000000002</v>
      </c>
      <c r="C80">
        <v>70.597399999999993</v>
      </c>
      <c r="D80">
        <v>79.130899999999997</v>
      </c>
      <c r="E80">
        <v>104.7516</v>
      </c>
      <c r="F80">
        <v>168.54839999999999</v>
      </c>
      <c r="G80">
        <v>236.24850000000001</v>
      </c>
      <c r="H80">
        <v>278.2079</v>
      </c>
      <c r="I80">
        <v>305.68669999999997</v>
      </c>
      <c r="J80">
        <v>325.32900000000001</v>
      </c>
    </row>
    <row r="81" spans="1:10" x14ac:dyDescent="0.4">
      <c r="A81">
        <v>2022</v>
      </c>
      <c r="B81">
        <v>68.652199999999993</v>
      </c>
      <c r="C81">
        <v>70.710599999999999</v>
      </c>
      <c r="D81">
        <v>79.007400000000004</v>
      </c>
      <c r="E81">
        <v>104.7086</v>
      </c>
      <c r="F81">
        <v>168.64400000000001</v>
      </c>
      <c r="G81">
        <v>237.34880000000001</v>
      </c>
      <c r="H81">
        <v>280.40120000000002</v>
      </c>
      <c r="I81">
        <v>307.08789999999999</v>
      </c>
      <c r="J81">
        <v>334.78089999999997</v>
      </c>
    </row>
    <row r="82" spans="1:10" x14ac:dyDescent="0.4">
      <c r="A82">
        <v>2023</v>
      </c>
      <c r="B82">
        <v>68.671000000000006</v>
      </c>
      <c r="C82">
        <v>70.550899999999999</v>
      </c>
      <c r="D82">
        <v>79.015000000000001</v>
      </c>
      <c r="E82">
        <v>104.67829999999999</v>
      </c>
      <c r="F82">
        <v>168.613</v>
      </c>
      <c r="G82">
        <v>236.90280000000001</v>
      </c>
      <c r="H82">
        <v>280.26029999999997</v>
      </c>
      <c r="I82">
        <v>307.48469999999998</v>
      </c>
      <c r="J82">
        <v>350.32069999999999</v>
      </c>
    </row>
    <row r="83" spans="1:10" x14ac:dyDescent="0.4">
      <c r="A83">
        <v>2024</v>
      </c>
      <c r="B83">
        <v>68.661799999999999</v>
      </c>
      <c r="C83">
        <v>70.7881</v>
      </c>
      <c r="D83">
        <v>79.104200000000006</v>
      </c>
      <c r="E83">
        <v>105.06399999999999</v>
      </c>
      <c r="F83">
        <v>168.631</v>
      </c>
      <c r="G83">
        <v>237.33680000000001</v>
      </c>
      <c r="H83">
        <v>281.30369999999999</v>
      </c>
      <c r="I83">
        <v>307.51990000000001</v>
      </c>
      <c r="J83">
        <v>357.50380000000001</v>
      </c>
    </row>
    <row r="84" spans="1:10" x14ac:dyDescent="0.4">
      <c r="A84">
        <v>2025</v>
      </c>
      <c r="B84">
        <v>68.661900000000003</v>
      </c>
      <c r="C84">
        <v>70.544799999999995</v>
      </c>
      <c r="D84">
        <v>78.931899999999999</v>
      </c>
      <c r="E84">
        <v>104.7484</v>
      </c>
      <c r="F84">
        <v>168.53120000000001</v>
      </c>
      <c r="G84">
        <v>236.76779999999999</v>
      </c>
      <c r="H84">
        <v>279.64359999999999</v>
      </c>
      <c r="I84">
        <v>306.91230000000002</v>
      </c>
      <c r="J84">
        <v>351.31369999999998</v>
      </c>
    </row>
    <row r="85" spans="1:10" x14ac:dyDescent="0.4">
      <c r="A85">
        <v>2026</v>
      </c>
      <c r="B85">
        <v>68.663300000000007</v>
      </c>
      <c r="C85">
        <v>70.835499999999996</v>
      </c>
      <c r="D85">
        <v>79.017700000000005</v>
      </c>
      <c r="E85">
        <v>104.8682</v>
      </c>
      <c r="F85">
        <v>168.58150000000001</v>
      </c>
      <c r="G85">
        <v>237.38919999999999</v>
      </c>
      <c r="H85">
        <v>280.54259999999999</v>
      </c>
      <c r="I85">
        <v>307.16180000000003</v>
      </c>
      <c r="J85">
        <v>338.14550000000003</v>
      </c>
    </row>
    <row r="86" spans="1:10" x14ac:dyDescent="0.4">
      <c r="A86">
        <v>2027</v>
      </c>
      <c r="B86">
        <v>68.668400000000005</v>
      </c>
      <c r="C86">
        <v>70.8262</v>
      </c>
      <c r="D86">
        <v>79.016900000000007</v>
      </c>
      <c r="E86">
        <v>105.01819999999999</v>
      </c>
      <c r="F86">
        <v>168.59829999999999</v>
      </c>
      <c r="G86">
        <v>237.08860000000001</v>
      </c>
      <c r="H86">
        <v>279.83850000000001</v>
      </c>
      <c r="I86">
        <v>307.02620000000002</v>
      </c>
      <c r="J86">
        <v>333.70030000000003</v>
      </c>
    </row>
    <row r="87" spans="1:10" x14ac:dyDescent="0.4">
      <c r="A87">
        <v>2028</v>
      </c>
      <c r="B87">
        <v>68.658500000000004</v>
      </c>
      <c r="C87">
        <v>70.7684</v>
      </c>
      <c r="D87">
        <v>79.092600000000004</v>
      </c>
      <c r="E87">
        <v>104.2825</v>
      </c>
      <c r="F87">
        <v>168.52629999999999</v>
      </c>
      <c r="G87">
        <v>237.17850000000001</v>
      </c>
      <c r="H87">
        <v>280.99829999999997</v>
      </c>
      <c r="I87">
        <v>307.55419999999998</v>
      </c>
      <c r="J87">
        <v>326.28429999999997</v>
      </c>
    </row>
    <row r="88" spans="1:10" x14ac:dyDescent="0.4">
      <c r="A88">
        <v>2029</v>
      </c>
      <c r="B88">
        <v>68.659800000000004</v>
      </c>
      <c r="C88">
        <v>70.732200000000006</v>
      </c>
      <c r="D88">
        <v>78.971800000000002</v>
      </c>
      <c r="E88">
        <v>104.381</v>
      </c>
      <c r="F88">
        <v>168.49799999999999</v>
      </c>
      <c r="G88">
        <v>236.7998</v>
      </c>
      <c r="H88">
        <v>279.5505</v>
      </c>
      <c r="I88">
        <v>306.78930000000003</v>
      </c>
      <c r="J88">
        <v>332.0204</v>
      </c>
    </row>
    <row r="89" spans="1:10" x14ac:dyDescent="0.4">
      <c r="A89">
        <v>2030</v>
      </c>
      <c r="B89">
        <v>68.63</v>
      </c>
      <c r="C89">
        <v>70.5946</v>
      </c>
      <c r="D89">
        <v>79.066199999999995</v>
      </c>
      <c r="E89">
        <v>104.9687</v>
      </c>
      <c r="F89">
        <v>168.56780000000001</v>
      </c>
      <c r="G89">
        <v>236.97280000000001</v>
      </c>
      <c r="H89">
        <v>280.0369</v>
      </c>
      <c r="I89">
        <v>306.65120000000002</v>
      </c>
      <c r="J89">
        <v>336.33409999999998</v>
      </c>
    </row>
    <row r="90" spans="1:10" x14ac:dyDescent="0.4">
      <c r="A90">
        <v>2031</v>
      </c>
      <c r="B90">
        <v>68.658799999999999</v>
      </c>
      <c r="C90">
        <v>70.774000000000001</v>
      </c>
      <c r="D90">
        <v>78.985799999999998</v>
      </c>
      <c r="E90">
        <v>104.56740000000001</v>
      </c>
      <c r="F90">
        <v>168.55600000000001</v>
      </c>
      <c r="G90">
        <v>236.8357</v>
      </c>
      <c r="H90">
        <v>278.9325</v>
      </c>
      <c r="I90">
        <v>306.1585</v>
      </c>
      <c r="J90">
        <v>333.82310000000001</v>
      </c>
    </row>
    <row r="91" spans="1:10" x14ac:dyDescent="0.4">
      <c r="A91">
        <v>2032</v>
      </c>
      <c r="B91">
        <v>68.659000000000006</v>
      </c>
      <c r="C91">
        <v>70.766900000000007</v>
      </c>
      <c r="D91">
        <v>79.235900000000001</v>
      </c>
      <c r="E91">
        <v>105.2966</v>
      </c>
      <c r="F91">
        <v>168.55080000000001</v>
      </c>
      <c r="G91">
        <v>236.62719999999999</v>
      </c>
      <c r="H91">
        <v>279.93970000000002</v>
      </c>
      <c r="I91">
        <v>306.70139999999998</v>
      </c>
      <c r="J91">
        <v>335.21890000000002</v>
      </c>
    </row>
    <row r="92" spans="1:10" x14ac:dyDescent="0.4">
      <c r="A92">
        <v>2033</v>
      </c>
      <c r="B92">
        <v>68.625</v>
      </c>
      <c r="C92">
        <v>70.495599999999996</v>
      </c>
      <c r="D92">
        <v>78.956999999999994</v>
      </c>
      <c r="E92">
        <v>105.0198</v>
      </c>
      <c r="F92">
        <v>168.53380000000001</v>
      </c>
      <c r="G92">
        <v>236.53620000000001</v>
      </c>
      <c r="H92">
        <v>280.37079999999997</v>
      </c>
      <c r="I92">
        <v>307.18599999999998</v>
      </c>
      <c r="J92">
        <v>340.94589999999999</v>
      </c>
    </row>
    <row r="93" spans="1:10" x14ac:dyDescent="0.4">
      <c r="A93">
        <v>2034</v>
      </c>
      <c r="B93">
        <v>68.646100000000004</v>
      </c>
      <c r="C93">
        <v>70.659899999999993</v>
      </c>
      <c r="D93">
        <v>78.935400000000001</v>
      </c>
      <c r="E93">
        <v>104.70350000000001</v>
      </c>
      <c r="F93">
        <v>168.4282</v>
      </c>
      <c r="G93">
        <v>236.10489999999999</v>
      </c>
      <c r="H93">
        <v>279.07049999999998</v>
      </c>
      <c r="I93">
        <v>306.05489999999998</v>
      </c>
      <c r="J93">
        <v>329.52969999999999</v>
      </c>
    </row>
    <row r="95" spans="1:10" x14ac:dyDescent="0.4">
      <c r="A95" t="s">
        <v>10</v>
      </c>
      <c r="B95" t="s">
        <v>3</v>
      </c>
      <c r="C95" t="s">
        <v>6</v>
      </c>
      <c r="D95" t="s">
        <v>36</v>
      </c>
      <c r="E95">
        <v>1000</v>
      </c>
      <c r="F95" t="s">
        <v>35</v>
      </c>
    </row>
    <row r="97" spans="1:3" x14ac:dyDescent="0.4">
      <c r="A97" t="s">
        <v>22</v>
      </c>
      <c r="B97" t="s">
        <v>34</v>
      </c>
      <c r="C97" t="s">
        <v>33</v>
      </c>
    </row>
    <row r="98" spans="1:3" x14ac:dyDescent="0.4">
      <c r="A98">
        <v>2021</v>
      </c>
      <c r="B98">
        <v>2.7364999999999999</v>
      </c>
      <c r="C98">
        <v>0.62680000000000002</v>
      </c>
    </row>
    <row r="99" spans="1:3" x14ac:dyDescent="0.4">
      <c r="A99">
        <v>2022</v>
      </c>
      <c r="B99">
        <v>4.0560999999999998</v>
      </c>
      <c r="C99">
        <v>0.86270000000000002</v>
      </c>
    </row>
    <row r="100" spans="1:3" x14ac:dyDescent="0.4">
      <c r="A100">
        <v>2023</v>
      </c>
      <c r="B100">
        <v>5.6532</v>
      </c>
      <c r="C100">
        <v>1.4194</v>
      </c>
    </row>
    <row r="101" spans="1:3" x14ac:dyDescent="0.4">
      <c r="A101">
        <v>2024</v>
      </c>
      <c r="B101">
        <v>5.8733000000000004</v>
      </c>
      <c r="C101">
        <v>1.7166999999999999</v>
      </c>
    </row>
    <row r="102" spans="1:3" x14ac:dyDescent="0.4">
      <c r="A102">
        <v>2025</v>
      </c>
      <c r="B102">
        <v>5.2275</v>
      </c>
      <c r="C102">
        <v>1.8917999999999999</v>
      </c>
    </row>
    <row r="103" spans="1:3" x14ac:dyDescent="0.4">
      <c r="A103">
        <v>2026</v>
      </c>
      <c r="B103">
        <v>4.6349</v>
      </c>
      <c r="C103">
        <v>1.978</v>
      </c>
    </row>
    <row r="104" spans="1:3" x14ac:dyDescent="0.4">
      <c r="A104">
        <v>2027</v>
      </c>
      <c r="B104">
        <v>4.4301000000000004</v>
      </c>
      <c r="C104">
        <v>2.0363000000000002</v>
      </c>
    </row>
    <row r="105" spans="1:3" x14ac:dyDescent="0.4">
      <c r="A105">
        <v>2028</v>
      </c>
      <c r="B105">
        <v>4.3883999999999999</v>
      </c>
      <c r="C105">
        <v>2.0729000000000002</v>
      </c>
    </row>
    <row r="106" spans="1:3" x14ac:dyDescent="0.4">
      <c r="A106">
        <v>2029</v>
      </c>
      <c r="B106">
        <v>4.4191000000000003</v>
      </c>
      <c r="C106">
        <v>2.0998000000000001</v>
      </c>
    </row>
    <row r="107" spans="1:3" x14ac:dyDescent="0.4">
      <c r="A107">
        <v>2030</v>
      </c>
      <c r="B107">
        <v>4.4344999999999999</v>
      </c>
      <c r="C107">
        <v>2.1194000000000002</v>
      </c>
    </row>
    <row r="108" spans="1:3" x14ac:dyDescent="0.4">
      <c r="A108">
        <v>2031</v>
      </c>
      <c r="B108">
        <v>4.4429999999999996</v>
      </c>
      <c r="C108">
        <v>2.1335999999999999</v>
      </c>
    </row>
    <row r="109" spans="1:3" x14ac:dyDescent="0.4">
      <c r="A109">
        <v>2032</v>
      </c>
      <c r="B109">
        <v>4.4481000000000002</v>
      </c>
      <c r="C109">
        <v>2.1457999999999999</v>
      </c>
    </row>
    <row r="110" spans="1:3" x14ac:dyDescent="0.4">
      <c r="A110">
        <v>2033</v>
      </c>
      <c r="B110">
        <v>4.4539</v>
      </c>
      <c r="C110">
        <v>2.1509999999999998</v>
      </c>
    </row>
    <row r="111" spans="1:3" x14ac:dyDescent="0.4">
      <c r="A111">
        <v>2034</v>
      </c>
      <c r="B111">
        <v>4.4569000000000001</v>
      </c>
      <c r="C111">
        <v>2.1516999999999999</v>
      </c>
    </row>
    <row r="113" spans="1:20" x14ac:dyDescent="0.4">
      <c r="A113" t="s">
        <v>10</v>
      </c>
      <c r="B113" t="s">
        <v>3</v>
      </c>
      <c r="C113" t="s">
        <v>6</v>
      </c>
      <c r="D113" t="s">
        <v>32</v>
      </c>
    </row>
    <row r="115" spans="1:20" x14ac:dyDescent="0.4">
      <c r="A115" t="s">
        <v>22</v>
      </c>
      <c r="B115" s="2">
        <v>0.01</v>
      </c>
      <c r="C115" s="2">
        <v>0.05</v>
      </c>
      <c r="D115" s="2">
        <v>0.1</v>
      </c>
      <c r="E115" s="2">
        <v>0.25</v>
      </c>
      <c r="F115" s="2">
        <v>0.5</v>
      </c>
      <c r="G115" s="2">
        <v>0.75</v>
      </c>
      <c r="H115" s="2">
        <v>0.9</v>
      </c>
      <c r="I115" s="2">
        <v>0.95</v>
      </c>
      <c r="J115" s="2">
        <v>0.99</v>
      </c>
      <c r="L115" s="2">
        <v>0.01</v>
      </c>
      <c r="M115" s="2">
        <v>0.05</v>
      </c>
      <c r="N115" s="2">
        <v>0.1</v>
      </c>
      <c r="O115" s="2">
        <v>0.25</v>
      </c>
      <c r="P115" s="2">
        <v>0.5</v>
      </c>
      <c r="Q115" s="2">
        <v>0.75</v>
      </c>
      <c r="R115" s="2">
        <v>0.9</v>
      </c>
      <c r="S115" s="2">
        <v>0.95</v>
      </c>
      <c r="T115" s="2">
        <v>0.99</v>
      </c>
    </row>
    <row r="116" spans="1:20" x14ac:dyDescent="0.4">
      <c r="A116">
        <v>2021</v>
      </c>
      <c r="B116">
        <v>1.6043000000000001</v>
      </c>
      <c r="C116">
        <v>1.9804999999999999</v>
      </c>
      <c r="D116">
        <v>2.1175999999999999</v>
      </c>
      <c r="E116">
        <v>2.3331</v>
      </c>
      <c r="F116">
        <v>2.6396000000000002</v>
      </c>
      <c r="G116">
        <v>3.0253999999999999</v>
      </c>
      <c r="H116">
        <v>3.4241000000000001</v>
      </c>
      <c r="I116">
        <v>3.7320000000000002</v>
      </c>
      <c r="J116">
        <v>5.3769</v>
      </c>
      <c r="L116">
        <f>B116*1000</f>
        <v>1604.3</v>
      </c>
      <c r="M116">
        <f t="shared" ref="M116:T129" si="0">C116*1000</f>
        <v>1980.5</v>
      </c>
      <c r="N116">
        <f t="shared" si="0"/>
        <v>2117.6</v>
      </c>
      <c r="O116">
        <f t="shared" si="0"/>
        <v>2333.1</v>
      </c>
      <c r="P116">
        <f t="shared" si="0"/>
        <v>2639.6000000000004</v>
      </c>
      <c r="Q116">
        <f t="shared" si="0"/>
        <v>3025.4</v>
      </c>
      <c r="R116">
        <f t="shared" si="0"/>
        <v>3424.1000000000004</v>
      </c>
      <c r="S116">
        <f t="shared" si="0"/>
        <v>3732</v>
      </c>
      <c r="T116">
        <f t="shared" si="0"/>
        <v>5376.9</v>
      </c>
    </row>
    <row r="117" spans="1:20" x14ac:dyDescent="0.4">
      <c r="A117">
        <v>2022</v>
      </c>
      <c r="B117">
        <v>2.3041999999999998</v>
      </c>
      <c r="C117">
        <v>2.8142</v>
      </c>
      <c r="D117">
        <v>3.0385</v>
      </c>
      <c r="E117">
        <v>3.4781</v>
      </c>
      <c r="F117">
        <v>3.9723999999999999</v>
      </c>
      <c r="G117">
        <v>4.5145999999999997</v>
      </c>
      <c r="H117">
        <v>5.2051999999999996</v>
      </c>
      <c r="I117">
        <v>5.6439000000000004</v>
      </c>
      <c r="J117">
        <v>6.6003999999999996</v>
      </c>
      <c r="L117">
        <f t="shared" ref="L117:L129" si="1">B117*1000</f>
        <v>2304.1999999999998</v>
      </c>
      <c r="M117">
        <f t="shared" si="0"/>
        <v>2814.2</v>
      </c>
      <c r="N117">
        <f t="shared" si="0"/>
        <v>3038.5</v>
      </c>
      <c r="O117">
        <f t="shared" si="0"/>
        <v>3478.1</v>
      </c>
      <c r="P117">
        <f t="shared" si="0"/>
        <v>3972.4</v>
      </c>
      <c r="Q117">
        <f t="shared" si="0"/>
        <v>4514.5999999999995</v>
      </c>
      <c r="R117">
        <f t="shared" si="0"/>
        <v>5205.2</v>
      </c>
      <c r="S117">
        <f t="shared" si="0"/>
        <v>5643.9000000000005</v>
      </c>
      <c r="T117">
        <f t="shared" si="0"/>
        <v>6600.4</v>
      </c>
    </row>
    <row r="118" spans="1:20" x14ac:dyDescent="0.4">
      <c r="A118">
        <v>2023</v>
      </c>
      <c r="B118">
        <v>3.0320999999999998</v>
      </c>
      <c r="C118">
        <v>3.5941000000000001</v>
      </c>
      <c r="D118">
        <v>3.9434</v>
      </c>
      <c r="E118">
        <v>4.6283000000000003</v>
      </c>
      <c r="F118">
        <v>5.5137</v>
      </c>
      <c r="G118">
        <v>6.4802</v>
      </c>
      <c r="H118">
        <v>7.6021000000000001</v>
      </c>
      <c r="I118">
        <v>8.2887000000000004</v>
      </c>
      <c r="J118">
        <v>9.5447000000000006</v>
      </c>
      <c r="L118">
        <f t="shared" si="1"/>
        <v>3032.1</v>
      </c>
      <c r="M118">
        <f t="shared" si="0"/>
        <v>3594.1</v>
      </c>
      <c r="N118">
        <f t="shared" si="0"/>
        <v>3943.4</v>
      </c>
      <c r="O118">
        <f t="shared" si="0"/>
        <v>4628.3</v>
      </c>
      <c r="P118">
        <f t="shared" si="0"/>
        <v>5513.7</v>
      </c>
      <c r="Q118">
        <f t="shared" si="0"/>
        <v>6480.2</v>
      </c>
      <c r="R118">
        <f t="shared" si="0"/>
        <v>7602.1</v>
      </c>
      <c r="S118">
        <f t="shared" si="0"/>
        <v>8288.7000000000007</v>
      </c>
      <c r="T118">
        <f t="shared" si="0"/>
        <v>9544.7000000000007</v>
      </c>
    </row>
    <row r="119" spans="1:20" x14ac:dyDescent="0.4">
      <c r="A119">
        <v>2024</v>
      </c>
      <c r="B119">
        <v>2.6272000000000002</v>
      </c>
      <c r="C119">
        <v>3.3498999999999999</v>
      </c>
      <c r="D119">
        <v>3.7911000000000001</v>
      </c>
      <c r="E119">
        <v>4.6448999999999998</v>
      </c>
      <c r="F119">
        <v>5.7176</v>
      </c>
      <c r="G119">
        <v>6.9390999999999998</v>
      </c>
      <c r="H119">
        <v>8.1252999999999993</v>
      </c>
      <c r="I119">
        <v>8.8946000000000005</v>
      </c>
      <c r="J119">
        <v>10.450799999999999</v>
      </c>
      <c r="L119">
        <f t="shared" si="1"/>
        <v>2627.2000000000003</v>
      </c>
      <c r="M119">
        <f t="shared" si="0"/>
        <v>3349.9</v>
      </c>
      <c r="N119">
        <f t="shared" si="0"/>
        <v>3791.1000000000004</v>
      </c>
      <c r="O119">
        <f t="shared" si="0"/>
        <v>4644.8999999999996</v>
      </c>
      <c r="P119">
        <f t="shared" si="0"/>
        <v>5717.6</v>
      </c>
      <c r="Q119">
        <f t="shared" si="0"/>
        <v>6939.0999999999995</v>
      </c>
      <c r="R119">
        <f t="shared" si="0"/>
        <v>8125.2999999999993</v>
      </c>
      <c r="S119">
        <f t="shared" si="0"/>
        <v>8894.6</v>
      </c>
      <c r="T119">
        <f t="shared" si="0"/>
        <v>10450.799999999999</v>
      </c>
    </row>
    <row r="120" spans="1:20" x14ac:dyDescent="0.4">
      <c r="A120">
        <v>2025</v>
      </c>
      <c r="B120">
        <v>1.6255999999999999</v>
      </c>
      <c r="C120">
        <v>2.4329000000000001</v>
      </c>
      <c r="D120">
        <v>2.9390999999999998</v>
      </c>
      <c r="E120">
        <v>3.8896999999999999</v>
      </c>
      <c r="F120">
        <v>5.0811999999999999</v>
      </c>
      <c r="G120">
        <v>6.3818000000000001</v>
      </c>
      <c r="H120">
        <v>7.6566999999999998</v>
      </c>
      <c r="I120">
        <v>8.4923000000000002</v>
      </c>
      <c r="J120">
        <v>10.315099999999999</v>
      </c>
      <c r="L120">
        <f t="shared" si="1"/>
        <v>1625.6</v>
      </c>
      <c r="M120">
        <f t="shared" si="0"/>
        <v>2432.9</v>
      </c>
      <c r="N120">
        <f t="shared" si="0"/>
        <v>2939.1</v>
      </c>
      <c r="O120">
        <f t="shared" si="0"/>
        <v>3889.7</v>
      </c>
      <c r="P120">
        <f t="shared" si="0"/>
        <v>5081.2</v>
      </c>
      <c r="Q120">
        <f t="shared" si="0"/>
        <v>6381.8</v>
      </c>
      <c r="R120">
        <f t="shared" si="0"/>
        <v>7656.7</v>
      </c>
      <c r="S120">
        <f t="shared" si="0"/>
        <v>8492.2999999999993</v>
      </c>
      <c r="T120">
        <f t="shared" si="0"/>
        <v>10315.099999999999</v>
      </c>
    </row>
    <row r="121" spans="1:20" x14ac:dyDescent="0.4">
      <c r="A121">
        <v>2026</v>
      </c>
      <c r="B121">
        <v>0.98280000000000001</v>
      </c>
      <c r="C121">
        <v>1.7836000000000001</v>
      </c>
      <c r="D121">
        <v>2.2803</v>
      </c>
      <c r="E121">
        <v>3.2370999999999999</v>
      </c>
      <c r="F121">
        <v>4.4600999999999997</v>
      </c>
      <c r="G121">
        <v>5.8136999999999999</v>
      </c>
      <c r="H121">
        <v>7.1474000000000002</v>
      </c>
      <c r="I121">
        <v>8.0183</v>
      </c>
      <c r="J121">
        <v>10.1229</v>
      </c>
      <c r="L121">
        <f t="shared" si="1"/>
        <v>982.8</v>
      </c>
      <c r="M121">
        <f t="shared" si="0"/>
        <v>1783.6000000000001</v>
      </c>
      <c r="N121">
        <f t="shared" si="0"/>
        <v>2280.3000000000002</v>
      </c>
      <c r="O121">
        <f t="shared" si="0"/>
        <v>3237.1</v>
      </c>
      <c r="P121">
        <f t="shared" si="0"/>
        <v>4460.0999999999995</v>
      </c>
      <c r="Q121">
        <f t="shared" si="0"/>
        <v>5813.7</v>
      </c>
      <c r="R121">
        <f t="shared" si="0"/>
        <v>7147.4000000000005</v>
      </c>
      <c r="S121">
        <f t="shared" si="0"/>
        <v>8018.3</v>
      </c>
      <c r="T121">
        <f t="shared" si="0"/>
        <v>10122.9</v>
      </c>
    </row>
    <row r="122" spans="1:20" x14ac:dyDescent="0.4">
      <c r="A122">
        <v>2027</v>
      </c>
      <c r="B122">
        <v>0.7339</v>
      </c>
      <c r="C122">
        <v>1.5197000000000001</v>
      </c>
      <c r="D122">
        <v>2.0287000000000002</v>
      </c>
      <c r="E122">
        <v>2.9912000000000001</v>
      </c>
      <c r="F122">
        <v>4.2336</v>
      </c>
      <c r="G122">
        <v>5.6220999999999997</v>
      </c>
      <c r="H122">
        <v>7.0103</v>
      </c>
      <c r="I122">
        <v>7.9306000000000001</v>
      </c>
      <c r="J122">
        <v>10.163399999999999</v>
      </c>
      <c r="L122">
        <f t="shared" si="1"/>
        <v>733.9</v>
      </c>
      <c r="M122">
        <f t="shared" si="0"/>
        <v>1519.7</v>
      </c>
      <c r="N122">
        <f t="shared" si="0"/>
        <v>2028.7000000000003</v>
      </c>
      <c r="O122">
        <f t="shared" si="0"/>
        <v>2991.2000000000003</v>
      </c>
      <c r="P122">
        <f t="shared" si="0"/>
        <v>4233.6000000000004</v>
      </c>
      <c r="Q122">
        <f t="shared" si="0"/>
        <v>5622.0999999999995</v>
      </c>
      <c r="R122">
        <f t="shared" si="0"/>
        <v>7010.3</v>
      </c>
      <c r="S122">
        <f t="shared" si="0"/>
        <v>7930.6</v>
      </c>
      <c r="T122">
        <f t="shared" si="0"/>
        <v>10163.4</v>
      </c>
    </row>
    <row r="123" spans="1:20" x14ac:dyDescent="0.4">
      <c r="A123">
        <v>2028</v>
      </c>
      <c r="B123">
        <v>0.66439999999999999</v>
      </c>
      <c r="C123">
        <v>1.4419999999999999</v>
      </c>
      <c r="D123">
        <v>1.9416</v>
      </c>
      <c r="E123">
        <v>2.9266000000000001</v>
      </c>
      <c r="F123">
        <v>4.1837999999999997</v>
      </c>
      <c r="G123">
        <v>5.5923999999999996</v>
      </c>
      <c r="H123">
        <v>7.0129999999999999</v>
      </c>
      <c r="I123">
        <v>7.9569000000000001</v>
      </c>
      <c r="J123">
        <v>10.3185</v>
      </c>
      <c r="L123">
        <f t="shared" si="1"/>
        <v>664.4</v>
      </c>
      <c r="M123">
        <f t="shared" si="0"/>
        <v>1442</v>
      </c>
      <c r="N123">
        <f t="shared" si="0"/>
        <v>1941.6</v>
      </c>
      <c r="O123">
        <f t="shared" si="0"/>
        <v>2926.6</v>
      </c>
      <c r="P123">
        <f t="shared" si="0"/>
        <v>4183.8</v>
      </c>
      <c r="Q123">
        <f t="shared" si="0"/>
        <v>5592.4</v>
      </c>
      <c r="R123">
        <f t="shared" si="0"/>
        <v>7013</v>
      </c>
      <c r="S123">
        <f t="shared" si="0"/>
        <v>7956.9</v>
      </c>
      <c r="T123">
        <f t="shared" si="0"/>
        <v>10318.5</v>
      </c>
    </row>
    <row r="124" spans="1:20" x14ac:dyDescent="0.4">
      <c r="A124">
        <v>2029</v>
      </c>
      <c r="B124">
        <v>0.65400000000000003</v>
      </c>
      <c r="C124">
        <v>1.4272</v>
      </c>
      <c r="D124">
        <v>1.9453</v>
      </c>
      <c r="E124">
        <v>2.9365000000000001</v>
      </c>
      <c r="F124">
        <v>4.2126999999999999</v>
      </c>
      <c r="G124">
        <v>5.6378000000000004</v>
      </c>
      <c r="H124">
        <v>7.0856000000000003</v>
      </c>
      <c r="I124">
        <v>8.0633999999999997</v>
      </c>
      <c r="J124">
        <v>10.386699999999999</v>
      </c>
      <c r="L124">
        <f t="shared" si="1"/>
        <v>654</v>
      </c>
      <c r="M124">
        <f t="shared" si="0"/>
        <v>1427.2</v>
      </c>
      <c r="N124">
        <f t="shared" si="0"/>
        <v>1945.3</v>
      </c>
      <c r="O124">
        <f t="shared" si="0"/>
        <v>2936.5</v>
      </c>
      <c r="P124">
        <f t="shared" si="0"/>
        <v>4212.7</v>
      </c>
      <c r="Q124">
        <f t="shared" si="0"/>
        <v>5637.8</v>
      </c>
      <c r="R124">
        <f t="shared" si="0"/>
        <v>7085.6</v>
      </c>
      <c r="S124">
        <f t="shared" si="0"/>
        <v>8063.4</v>
      </c>
      <c r="T124">
        <f t="shared" si="0"/>
        <v>10386.699999999999</v>
      </c>
    </row>
    <row r="125" spans="1:20" x14ac:dyDescent="0.4">
      <c r="A125">
        <v>2030</v>
      </c>
      <c r="B125">
        <v>0.60880000000000001</v>
      </c>
      <c r="C125">
        <v>1.4115</v>
      </c>
      <c r="D125">
        <v>1.9351</v>
      </c>
      <c r="E125">
        <v>2.9350999999999998</v>
      </c>
      <c r="F125">
        <v>4.2232000000000003</v>
      </c>
      <c r="G125">
        <v>5.6638999999999999</v>
      </c>
      <c r="H125">
        <v>7.1384999999999996</v>
      </c>
      <c r="I125">
        <v>8.0883000000000003</v>
      </c>
      <c r="J125">
        <v>10.423999999999999</v>
      </c>
      <c r="L125">
        <f t="shared" si="1"/>
        <v>608.79999999999995</v>
      </c>
      <c r="M125">
        <f t="shared" si="0"/>
        <v>1411.5</v>
      </c>
      <c r="N125">
        <f t="shared" si="0"/>
        <v>1935.1000000000001</v>
      </c>
      <c r="O125">
        <f t="shared" si="0"/>
        <v>2935.1</v>
      </c>
      <c r="P125">
        <f t="shared" si="0"/>
        <v>4223.2000000000007</v>
      </c>
      <c r="Q125">
        <f t="shared" si="0"/>
        <v>5663.9</v>
      </c>
      <c r="R125">
        <f t="shared" si="0"/>
        <v>7138.5</v>
      </c>
      <c r="S125">
        <f t="shared" si="0"/>
        <v>8088.3</v>
      </c>
      <c r="T125">
        <f t="shared" si="0"/>
        <v>10424</v>
      </c>
    </row>
    <row r="126" spans="1:20" x14ac:dyDescent="0.4">
      <c r="A126">
        <v>2031</v>
      </c>
      <c r="B126">
        <v>0.57489999999999997</v>
      </c>
      <c r="C126">
        <v>1.3964000000000001</v>
      </c>
      <c r="D126">
        <v>1.9293</v>
      </c>
      <c r="E126">
        <v>2.9373999999999998</v>
      </c>
      <c r="F126">
        <v>4.2309999999999999</v>
      </c>
      <c r="G126">
        <v>5.6833999999999998</v>
      </c>
      <c r="H126">
        <v>7.1521999999999997</v>
      </c>
      <c r="I126">
        <v>8.1283999999999992</v>
      </c>
      <c r="J126">
        <v>10.4253</v>
      </c>
      <c r="L126">
        <f t="shared" si="1"/>
        <v>574.9</v>
      </c>
      <c r="M126">
        <f t="shared" si="0"/>
        <v>1396.4</v>
      </c>
      <c r="N126">
        <f t="shared" si="0"/>
        <v>1929.3</v>
      </c>
      <c r="O126">
        <f t="shared" si="0"/>
        <v>2937.3999999999996</v>
      </c>
      <c r="P126">
        <f t="shared" si="0"/>
        <v>4231</v>
      </c>
      <c r="Q126">
        <f t="shared" si="0"/>
        <v>5683.4</v>
      </c>
      <c r="R126">
        <f t="shared" si="0"/>
        <v>7152.2</v>
      </c>
      <c r="S126">
        <f t="shared" si="0"/>
        <v>8128.4</v>
      </c>
      <c r="T126">
        <f t="shared" si="0"/>
        <v>10425.299999999999</v>
      </c>
    </row>
    <row r="127" spans="1:20" x14ac:dyDescent="0.4">
      <c r="A127">
        <v>2032</v>
      </c>
      <c r="B127">
        <v>0.57799999999999996</v>
      </c>
      <c r="C127">
        <v>1.3876999999999999</v>
      </c>
      <c r="D127">
        <v>1.9248000000000001</v>
      </c>
      <c r="E127">
        <v>2.9361999999999999</v>
      </c>
      <c r="F127">
        <v>4.2447999999999997</v>
      </c>
      <c r="G127">
        <v>5.6985000000000001</v>
      </c>
      <c r="H127">
        <v>7.1539000000000001</v>
      </c>
      <c r="I127">
        <v>8.1495999999999995</v>
      </c>
      <c r="J127">
        <v>10.5238</v>
      </c>
      <c r="L127">
        <f t="shared" si="1"/>
        <v>578</v>
      </c>
      <c r="M127">
        <f t="shared" si="0"/>
        <v>1387.7</v>
      </c>
      <c r="N127">
        <f t="shared" si="0"/>
        <v>1924.8</v>
      </c>
      <c r="O127">
        <f t="shared" si="0"/>
        <v>2936.2</v>
      </c>
      <c r="P127">
        <f t="shared" si="0"/>
        <v>4244.7999999999993</v>
      </c>
      <c r="Q127">
        <f t="shared" si="0"/>
        <v>5698.5</v>
      </c>
      <c r="R127">
        <f t="shared" si="0"/>
        <v>7153.9000000000005</v>
      </c>
      <c r="S127">
        <f t="shared" si="0"/>
        <v>8149.5999999999995</v>
      </c>
      <c r="T127">
        <f t="shared" si="0"/>
        <v>10523.8</v>
      </c>
    </row>
    <row r="128" spans="1:20" x14ac:dyDescent="0.4">
      <c r="A128">
        <v>2033</v>
      </c>
      <c r="B128">
        <v>0.58030000000000004</v>
      </c>
      <c r="C128">
        <v>1.381</v>
      </c>
      <c r="D128">
        <v>1.9173</v>
      </c>
      <c r="E128">
        <v>2.9363000000000001</v>
      </c>
      <c r="F128">
        <v>4.2484000000000002</v>
      </c>
      <c r="G128">
        <v>5.7011000000000003</v>
      </c>
      <c r="H128">
        <v>7.1698000000000004</v>
      </c>
      <c r="I128">
        <v>8.1757000000000009</v>
      </c>
      <c r="J128">
        <v>10.494199999999999</v>
      </c>
      <c r="L128">
        <f t="shared" si="1"/>
        <v>580.30000000000007</v>
      </c>
      <c r="M128">
        <f t="shared" si="0"/>
        <v>1381</v>
      </c>
      <c r="N128">
        <f t="shared" si="0"/>
        <v>1917.3</v>
      </c>
      <c r="O128">
        <f t="shared" si="0"/>
        <v>2936.3</v>
      </c>
      <c r="P128">
        <f t="shared" si="0"/>
        <v>4248.4000000000005</v>
      </c>
      <c r="Q128">
        <f t="shared" si="0"/>
        <v>5701.1</v>
      </c>
      <c r="R128">
        <f t="shared" si="0"/>
        <v>7169.8</v>
      </c>
      <c r="S128">
        <f t="shared" si="0"/>
        <v>8175.7000000000007</v>
      </c>
      <c r="T128">
        <f t="shared" si="0"/>
        <v>10494.199999999999</v>
      </c>
    </row>
    <row r="129" spans="1:20" x14ac:dyDescent="0.4">
      <c r="A129">
        <v>2034</v>
      </c>
      <c r="B129">
        <v>0.56410000000000005</v>
      </c>
      <c r="C129">
        <v>1.3728</v>
      </c>
      <c r="D129">
        <v>1.9123000000000001</v>
      </c>
      <c r="E129">
        <v>2.94</v>
      </c>
      <c r="F129">
        <v>4.2492999999999999</v>
      </c>
      <c r="G129">
        <v>5.7141000000000002</v>
      </c>
      <c r="H129">
        <v>7.1798999999999999</v>
      </c>
      <c r="I129">
        <v>8.1651000000000007</v>
      </c>
      <c r="J129">
        <v>10.513</v>
      </c>
      <c r="L129">
        <f t="shared" si="1"/>
        <v>564.1</v>
      </c>
      <c r="M129">
        <f t="shared" si="0"/>
        <v>1372.8</v>
      </c>
      <c r="N129">
        <f t="shared" si="0"/>
        <v>1912.3000000000002</v>
      </c>
      <c r="O129">
        <f t="shared" si="0"/>
        <v>2940</v>
      </c>
      <c r="P129">
        <f t="shared" si="0"/>
        <v>4249.3</v>
      </c>
      <c r="Q129">
        <f t="shared" si="0"/>
        <v>5714.1</v>
      </c>
      <c r="R129">
        <f t="shared" si="0"/>
        <v>7179.9</v>
      </c>
      <c r="S129">
        <f t="shared" si="0"/>
        <v>8165.1</v>
      </c>
      <c r="T129">
        <f t="shared" si="0"/>
        <v>10513</v>
      </c>
    </row>
    <row r="131" spans="1:20" x14ac:dyDescent="0.4">
      <c r="A131" s="1">
        <v>45658</v>
      </c>
      <c r="B131" t="s">
        <v>3</v>
      </c>
      <c r="C131" t="s">
        <v>6</v>
      </c>
      <c r="D131" t="s">
        <v>36</v>
      </c>
      <c r="E131">
        <v>1000</v>
      </c>
      <c r="F131" t="s">
        <v>35</v>
      </c>
    </row>
    <row r="133" spans="1:20" x14ac:dyDescent="0.4">
      <c r="A133" t="s">
        <v>22</v>
      </c>
      <c r="B133" t="s">
        <v>34</v>
      </c>
      <c r="C133" t="s">
        <v>33</v>
      </c>
    </row>
    <row r="134" spans="1:20" x14ac:dyDescent="0.4">
      <c r="A134">
        <v>2021</v>
      </c>
      <c r="B134">
        <v>9.2942</v>
      </c>
      <c r="C134">
        <v>1.5938000000000001</v>
      </c>
    </row>
    <row r="135" spans="1:20" x14ac:dyDescent="0.4">
      <c r="A135">
        <v>2022</v>
      </c>
      <c r="B135">
        <v>10.620799999999999</v>
      </c>
      <c r="C135">
        <v>2.0384000000000002</v>
      </c>
    </row>
    <row r="136" spans="1:20" x14ac:dyDescent="0.4">
      <c r="A136">
        <v>2023</v>
      </c>
      <c r="B136">
        <v>11.5509</v>
      </c>
      <c r="C136">
        <v>2.4036</v>
      </c>
    </row>
    <row r="137" spans="1:20" x14ac:dyDescent="0.4">
      <c r="A137">
        <v>2024</v>
      </c>
      <c r="B137">
        <v>11.989000000000001</v>
      </c>
      <c r="C137">
        <v>2.6688999999999998</v>
      </c>
    </row>
    <row r="138" spans="1:20" x14ac:dyDescent="0.4">
      <c r="A138">
        <v>2025</v>
      </c>
      <c r="B138">
        <v>11.789899999999999</v>
      </c>
      <c r="C138">
        <v>2.8414000000000001</v>
      </c>
    </row>
    <row r="139" spans="1:20" x14ac:dyDescent="0.4">
      <c r="A139">
        <v>2026</v>
      </c>
      <c r="B139">
        <v>10.6639</v>
      </c>
      <c r="C139">
        <v>2.9525000000000001</v>
      </c>
    </row>
    <row r="140" spans="1:20" x14ac:dyDescent="0.4">
      <c r="A140">
        <v>2027</v>
      </c>
      <c r="B140">
        <v>10.432</v>
      </c>
      <c r="C140">
        <v>3.0207000000000002</v>
      </c>
    </row>
    <row r="141" spans="1:20" x14ac:dyDescent="0.4">
      <c r="A141">
        <v>2028</v>
      </c>
      <c r="B141">
        <v>10.264200000000001</v>
      </c>
      <c r="C141">
        <v>3.0587</v>
      </c>
    </row>
    <row r="142" spans="1:20" x14ac:dyDescent="0.4">
      <c r="A142">
        <v>2029</v>
      </c>
      <c r="B142">
        <v>10.283200000000001</v>
      </c>
      <c r="C142">
        <v>3.0958999999999999</v>
      </c>
    </row>
    <row r="143" spans="1:20" x14ac:dyDescent="0.4">
      <c r="A143">
        <v>2030</v>
      </c>
      <c r="B143">
        <v>10.293100000000001</v>
      </c>
      <c r="C143">
        <v>3.1198000000000001</v>
      </c>
    </row>
    <row r="144" spans="1:20" x14ac:dyDescent="0.4">
      <c r="A144">
        <v>2031</v>
      </c>
      <c r="B144">
        <v>10.305899999999999</v>
      </c>
      <c r="C144">
        <v>3.1385000000000001</v>
      </c>
    </row>
    <row r="145" spans="1:10" x14ac:dyDescent="0.4">
      <c r="A145">
        <v>2032</v>
      </c>
      <c r="B145">
        <v>10.309900000000001</v>
      </c>
      <c r="C145">
        <v>3.1473</v>
      </c>
    </row>
    <row r="146" spans="1:10" x14ac:dyDescent="0.4">
      <c r="A146">
        <v>2033</v>
      </c>
      <c r="B146">
        <v>10.318099999999999</v>
      </c>
      <c r="C146">
        <v>3.1568000000000001</v>
      </c>
    </row>
    <row r="147" spans="1:10" x14ac:dyDescent="0.4">
      <c r="A147">
        <v>2034</v>
      </c>
      <c r="B147">
        <v>10.323</v>
      </c>
      <c r="C147">
        <v>3.1674000000000002</v>
      </c>
    </row>
    <row r="149" spans="1:10" x14ac:dyDescent="0.4">
      <c r="A149" s="1">
        <v>45658</v>
      </c>
      <c r="B149" t="s">
        <v>3</v>
      </c>
      <c r="C149" t="s">
        <v>6</v>
      </c>
      <c r="D149" t="s">
        <v>32</v>
      </c>
    </row>
    <row r="151" spans="1:10" x14ac:dyDescent="0.4">
      <c r="A151" t="s">
        <v>22</v>
      </c>
      <c r="B151" s="2">
        <v>0.01</v>
      </c>
      <c r="C151" s="2">
        <v>0.05</v>
      </c>
      <c r="D151" s="2">
        <v>0.1</v>
      </c>
      <c r="E151" s="2">
        <v>0.25</v>
      </c>
      <c r="F151" s="2">
        <v>0.5</v>
      </c>
      <c r="G151" s="2">
        <v>0.75</v>
      </c>
      <c r="H151" s="2">
        <v>0.9</v>
      </c>
      <c r="I151" s="2">
        <v>0.95</v>
      </c>
      <c r="J151" s="2">
        <v>0.99</v>
      </c>
    </row>
    <row r="152" spans="1:10" x14ac:dyDescent="0.4">
      <c r="A152">
        <v>2021</v>
      </c>
      <c r="B152">
        <v>6.3350999999999997</v>
      </c>
      <c r="C152">
        <v>6.9535999999999998</v>
      </c>
      <c r="D152">
        <v>7.3707000000000003</v>
      </c>
      <c r="E152">
        <v>8.1694999999999993</v>
      </c>
      <c r="F152">
        <v>9.1689000000000007</v>
      </c>
      <c r="G152">
        <v>10.132999999999999</v>
      </c>
      <c r="H152">
        <v>11.538399999999999</v>
      </c>
      <c r="I152">
        <v>12.2859</v>
      </c>
      <c r="J152">
        <v>13.7262</v>
      </c>
    </row>
    <row r="153" spans="1:10" x14ac:dyDescent="0.4">
      <c r="A153">
        <v>2022</v>
      </c>
      <c r="B153">
        <v>6.7100999999999997</v>
      </c>
      <c r="C153">
        <v>7.5811999999999999</v>
      </c>
      <c r="D153">
        <v>8.1357999999999997</v>
      </c>
      <c r="E153">
        <v>9.1887000000000008</v>
      </c>
      <c r="F153">
        <v>10.436500000000001</v>
      </c>
      <c r="G153">
        <v>11.871600000000001</v>
      </c>
      <c r="H153">
        <v>13.297599999999999</v>
      </c>
      <c r="I153">
        <v>14.238799999999999</v>
      </c>
      <c r="J153">
        <v>16.0747</v>
      </c>
    </row>
    <row r="154" spans="1:10" x14ac:dyDescent="0.4">
      <c r="A154">
        <v>2023</v>
      </c>
      <c r="B154">
        <v>6.8533999999999997</v>
      </c>
      <c r="C154">
        <v>7.9570999999999996</v>
      </c>
      <c r="D154">
        <v>8.6242000000000001</v>
      </c>
      <c r="E154">
        <v>9.8580000000000005</v>
      </c>
      <c r="F154">
        <v>11.382</v>
      </c>
      <c r="G154">
        <v>13.0342</v>
      </c>
      <c r="H154">
        <v>14.6313</v>
      </c>
      <c r="I154">
        <v>15.7065</v>
      </c>
      <c r="J154">
        <v>17.895499999999998</v>
      </c>
    </row>
    <row r="155" spans="1:10" x14ac:dyDescent="0.4">
      <c r="A155">
        <v>2024</v>
      </c>
      <c r="B155">
        <v>6.7591000000000001</v>
      </c>
      <c r="C155">
        <v>8.0045999999999999</v>
      </c>
      <c r="D155">
        <v>8.7444000000000006</v>
      </c>
      <c r="E155">
        <v>10.1214</v>
      </c>
      <c r="F155">
        <v>11.8049</v>
      </c>
      <c r="G155">
        <v>13.617000000000001</v>
      </c>
      <c r="H155">
        <v>15.386200000000001</v>
      </c>
      <c r="I155">
        <v>16.5261</v>
      </c>
      <c r="J155">
        <v>19.155100000000001</v>
      </c>
    </row>
    <row r="156" spans="1:10" x14ac:dyDescent="0.4">
      <c r="A156">
        <v>2025</v>
      </c>
      <c r="B156">
        <v>6.1885000000000003</v>
      </c>
      <c r="C156">
        <v>7.5681000000000003</v>
      </c>
      <c r="D156">
        <v>8.3645999999999994</v>
      </c>
      <c r="E156">
        <v>9.8056999999999999</v>
      </c>
      <c r="F156">
        <v>11.585900000000001</v>
      </c>
      <c r="G156">
        <v>13.5227</v>
      </c>
      <c r="H156">
        <v>15.382899999999999</v>
      </c>
      <c r="I156">
        <v>16.618600000000001</v>
      </c>
      <c r="J156">
        <v>19.481000000000002</v>
      </c>
    </row>
    <row r="157" spans="1:10" x14ac:dyDescent="0.4">
      <c r="A157">
        <v>2026</v>
      </c>
      <c r="B157">
        <v>4.8518999999999997</v>
      </c>
      <c r="C157">
        <v>6.2771999999999997</v>
      </c>
      <c r="D157">
        <v>7.1115000000000004</v>
      </c>
      <c r="E157">
        <v>8.6186000000000007</v>
      </c>
      <c r="F157">
        <v>10.4498</v>
      </c>
      <c r="G157">
        <v>12.4407</v>
      </c>
      <c r="H157">
        <v>14.398999999999999</v>
      </c>
      <c r="I157">
        <v>15.663600000000001</v>
      </c>
      <c r="J157">
        <v>18.797799999999999</v>
      </c>
    </row>
    <row r="158" spans="1:10" x14ac:dyDescent="0.4">
      <c r="A158">
        <v>2027</v>
      </c>
      <c r="B158">
        <v>4.4927000000000001</v>
      </c>
      <c r="C158">
        <v>5.9587000000000003</v>
      </c>
      <c r="D158">
        <v>6.8141999999999996</v>
      </c>
      <c r="E158">
        <v>8.3496000000000006</v>
      </c>
      <c r="F158">
        <v>10.2134</v>
      </c>
      <c r="G158">
        <v>12.228199999999999</v>
      </c>
      <c r="H158">
        <v>14.2448</v>
      </c>
      <c r="I158">
        <v>15.560600000000001</v>
      </c>
      <c r="J158">
        <v>18.8247</v>
      </c>
    </row>
    <row r="159" spans="1:10" x14ac:dyDescent="0.4">
      <c r="A159">
        <v>2028</v>
      </c>
      <c r="B159">
        <v>4.2664999999999997</v>
      </c>
      <c r="C159">
        <v>5.7401999999999997</v>
      </c>
      <c r="D159">
        <v>6.5983999999999998</v>
      </c>
      <c r="E159">
        <v>8.1542999999999992</v>
      </c>
      <c r="F159">
        <v>10.039899999999999</v>
      </c>
      <c r="G159">
        <v>12.0954</v>
      </c>
      <c r="H159">
        <v>14.113899999999999</v>
      </c>
      <c r="I159">
        <v>15.468400000000001</v>
      </c>
      <c r="J159">
        <v>18.7013</v>
      </c>
    </row>
    <row r="160" spans="1:10" x14ac:dyDescent="0.4">
      <c r="A160">
        <v>2029</v>
      </c>
      <c r="B160">
        <v>4.1885000000000003</v>
      </c>
      <c r="C160">
        <v>5.7050000000000001</v>
      </c>
      <c r="D160">
        <v>6.5833000000000004</v>
      </c>
      <c r="E160">
        <v>8.1489999999999991</v>
      </c>
      <c r="F160">
        <v>10.0566</v>
      </c>
      <c r="G160">
        <v>12.123699999999999</v>
      </c>
      <c r="H160">
        <v>14.196099999999999</v>
      </c>
      <c r="I160">
        <v>15.531599999999999</v>
      </c>
      <c r="J160">
        <v>18.736499999999999</v>
      </c>
    </row>
    <row r="161" spans="1:10" x14ac:dyDescent="0.4">
      <c r="A161">
        <v>2030</v>
      </c>
      <c r="B161">
        <v>4.1109</v>
      </c>
      <c r="C161">
        <v>5.6928999999999998</v>
      </c>
      <c r="D161">
        <v>6.5773000000000001</v>
      </c>
      <c r="E161">
        <v>8.1471999999999998</v>
      </c>
      <c r="F161">
        <v>10.0648</v>
      </c>
      <c r="G161">
        <v>12.1645</v>
      </c>
      <c r="H161">
        <v>14.2134</v>
      </c>
      <c r="I161">
        <v>15.5854</v>
      </c>
      <c r="J161">
        <v>18.810400000000001</v>
      </c>
    </row>
    <row r="162" spans="1:10" x14ac:dyDescent="0.4">
      <c r="A162">
        <v>2031</v>
      </c>
      <c r="B162">
        <v>4.1246</v>
      </c>
      <c r="C162">
        <v>5.6675000000000004</v>
      </c>
      <c r="D162">
        <v>6.5662000000000003</v>
      </c>
      <c r="E162">
        <v>8.1452000000000009</v>
      </c>
      <c r="F162">
        <v>10.095700000000001</v>
      </c>
      <c r="G162">
        <v>12.173</v>
      </c>
      <c r="H162">
        <v>14.2357</v>
      </c>
      <c r="I162">
        <v>15.6151</v>
      </c>
      <c r="J162">
        <v>18.912400000000002</v>
      </c>
    </row>
    <row r="163" spans="1:10" x14ac:dyDescent="0.4">
      <c r="A163">
        <v>2032</v>
      </c>
      <c r="B163">
        <v>4.1089000000000002</v>
      </c>
      <c r="C163">
        <v>5.6520999999999999</v>
      </c>
      <c r="D163">
        <v>6.5435999999999996</v>
      </c>
      <c r="E163">
        <v>8.1411999999999995</v>
      </c>
      <c r="F163">
        <v>10.093299999999999</v>
      </c>
      <c r="G163">
        <v>12.186500000000001</v>
      </c>
      <c r="H163">
        <v>14.2506</v>
      </c>
      <c r="I163">
        <v>15.6434</v>
      </c>
      <c r="J163">
        <v>18.986699999999999</v>
      </c>
    </row>
    <row r="164" spans="1:10" x14ac:dyDescent="0.4">
      <c r="A164">
        <v>2033</v>
      </c>
      <c r="B164">
        <v>4.0754999999999999</v>
      </c>
      <c r="C164">
        <v>5.6524000000000001</v>
      </c>
      <c r="D164">
        <v>6.5442999999999998</v>
      </c>
      <c r="E164">
        <v>8.1608999999999998</v>
      </c>
      <c r="F164">
        <v>10.0924</v>
      </c>
      <c r="G164">
        <v>12.212</v>
      </c>
      <c r="H164">
        <v>14.2654</v>
      </c>
      <c r="I164">
        <v>15.654</v>
      </c>
      <c r="J164">
        <v>18.973099999999999</v>
      </c>
    </row>
    <row r="165" spans="1:10" x14ac:dyDescent="0.4">
      <c r="A165">
        <v>2034</v>
      </c>
      <c r="B165">
        <v>4.0399000000000003</v>
      </c>
      <c r="C165">
        <v>5.6285999999999996</v>
      </c>
      <c r="D165">
        <v>6.5260999999999996</v>
      </c>
      <c r="E165">
        <v>8.1586999999999996</v>
      </c>
      <c r="F165">
        <v>10.1044</v>
      </c>
      <c r="G165">
        <v>12.217599999999999</v>
      </c>
      <c r="H165">
        <v>14.2852</v>
      </c>
      <c r="I165">
        <v>15.671200000000001</v>
      </c>
      <c r="J165">
        <v>19.028099999999998</v>
      </c>
    </row>
    <row r="167" spans="1:10" x14ac:dyDescent="0.4">
      <c r="A167" t="s">
        <v>9</v>
      </c>
      <c r="B167" t="s">
        <v>6</v>
      </c>
      <c r="C167" t="s">
        <v>36</v>
      </c>
      <c r="D167">
        <v>1000</v>
      </c>
      <c r="E167" t="s">
        <v>35</v>
      </c>
    </row>
    <row r="169" spans="1:10" x14ac:dyDescent="0.4">
      <c r="A169" t="s">
        <v>22</v>
      </c>
      <c r="B169" t="s">
        <v>34</v>
      </c>
      <c r="C169" t="s">
        <v>33</v>
      </c>
    </row>
    <row r="170" spans="1:10" x14ac:dyDescent="0.4">
      <c r="A170">
        <v>2021</v>
      </c>
      <c r="B170">
        <v>9.0582999999999991</v>
      </c>
      <c r="C170">
        <v>1.7030000000000001</v>
      </c>
    </row>
    <row r="171" spans="1:10" x14ac:dyDescent="0.4">
      <c r="A171">
        <v>2022</v>
      </c>
      <c r="B171">
        <v>10.1698</v>
      </c>
      <c r="C171">
        <v>2.1328999999999998</v>
      </c>
    </row>
    <row r="172" spans="1:10" x14ac:dyDescent="0.4">
      <c r="A172">
        <v>2023</v>
      </c>
      <c r="B172">
        <v>10.8233</v>
      </c>
      <c r="C172">
        <v>2.4647000000000001</v>
      </c>
    </row>
    <row r="173" spans="1:10" x14ac:dyDescent="0.4">
      <c r="A173">
        <v>2024</v>
      </c>
      <c r="B173">
        <v>10.909599999999999</v>
      </c>
      <c r="C173">
        <v>2.6974999999999998</v>
      </c>
    </row>
    <row r="174" spans="1:10" x14ac:dyDescent="0.4">
      <c r="A174">
        <v>2025</v>
      </c>
      <c r="B174">
        <v>10.160399999999999</v>
      </c>
      <c r="C174">
        <v>2.8626</v>
      </c>
    </row>
    <row r="175" spans="1:10" x14ac:dyDescent="0.4">
      <c r="A175">
        <v>2026</v>
      </c>
      <c r="B175">
        <v>9.5214999999999996</v>
      </c>
      <c r="C175">
        <v>2.9409000000000001</v>
      </c>
    </row>
    <row r="176" spans="1:10" x14ac:dyDescent="0.4">
      <c r="A176">
        <v>2027</v>
      </c>
      <c r="B176">
        <v>9.3231000000000002</v>
      </c>
      <c r="C176">
        <v>2.9964</v>
      </c>
    </row>
    <row r="177" spans="1:10" x14ac:dyDescent="0.4">
      <c r="A177">
        <v>2028</v>
      </c>
      <c r="B177">
        <v>9.2650000000000006</v>
      </c>
      <c r="C177">
        <v>3.0249999999999999</v>
      </c>
    </row>
    <row r="178" spans="1:10" x14ac:dyDescent="0.4">
      <c r="A178">
        <v>2029</v>
      </c>
      <c r="B178">
        <v>9.2828999999999997</v>
      </c>
      <c r="C178">
        <v>3.0548999999999999</v>
      </c>
    </row>
    <row r="179" spans="1:10" x14ac:dyDescent="0.4">
      <c r="A179">
        <v>2030</v>
      </c>
      <c r="B179">
        <v>9.2919</v>
      </c>
      <c r="C179">
        <v>3.0750000000000002</v>
      </c>
    </row>
    <row r="180" spans="1:10" x14ac:dyDescent="0.4">
      <c r="A180">
        <v>2031</v>
      </c>
      <c r="B180">
        <v>9.3019999999999996</v>
      </c>
      <c r="C180">
        <v>3.0897999999999999</v>
      </c>
    </row>
    <row r="181" spans="1:10" x14ac:dyDescent="0.4">
      <c r="A181">
        <v>2032</v>
      </c>
      <c r="B181">
        <v>9.3056000000000001</v>
      </c>
      <c r="C181">
        <v>3.0972</v>
      </c>
    </row>
    <row r="182" spans="1:10" x14ac:dyDescent="0.4">
      <c r="A182">
        <v>2033</v>
      </c>
      <c r="B182">
        <v>9.3153000000000006</v>
      </c>
      <c r="C182">
        <v>3.1078999999999999</v>
      </c>
    </row>
    <row r="183" spans="1:10" x14ac:dyDescent="0.4">
      <c r="A183">
        <v>2034</v>
      </c>
      <c r="B183">
        <v>9.3154000000000003</v>
      </c>
      <c r="C183">
        <v>3.1095999999999999</v>
      </c>
    </row>
    <row r="185" spans="1:10" x14ac:dyDescent="0.4">
      <c r="A185" t="s">
        <v>9</v>
      </c>
      <c r="B185" t="s">
        <v>6</v>
      </c>
      <c r="C185" t="s">
        <v>32</v>
      </c>
    </row>
    <row r="187" spans="1:10" x14ac:dyDescent="0.4">
      <c r="A187" t="s">
        <v>22</v>
      </c>
      <c r="B187" s="2">
        <v>0.01</v>
      </c>
      <c r="C187" s="2">
        <v>0.05</v>
      </c>
      <c r="D187" s="2">
        <v>0.1</v>
      </c>
      <c r="E187" s="2">
        <v>0.25</v>
      </c>
      <c r="F187" s="2">
        <v>0.5</v>
      </c>
      <c r="G187" s="2">
        <v>0.75</v>
      </c>
      <c r="H187" s="2">
        <v>0.9</v>
      </c>
      <c r="I187" s="2">
        <v>0.95</v>
      </c>
      <c r="J187" s="2">
        <v>0.99</v>
      </c>
    </row>
    <row r="188" spans="1:10" x14ac:dyDescent="0.4">
      <c r="A188">
        <v>2021</v>
      </c>
      <c r="B188">
        <v>5.9366000000000003</v>
      </c>
      <c r="C188">
        <v>6.5620000000000003</v>
      </c>
      <c r="D188">
        <v>6.9950999999999999</v>
      </c>
      <c r="E188">
        <v>7.8303000000000003</v>
      </c>
      <c r="F188">
        <v>8.9208999999999996</v>
      </c>
      <c r="G188">
        <v>9.9762000000000004</v>
      </c>
      <c r="H188">
        <v>11.4909</v>
      </c>
      <c r="I188">
        <v>12.240399999999999</v>
      </c>
      <c r="J188">
        <v>13.7012</v>
      </c>
    </row>
    <row r="189" spans="1:10" x14ac:dyDescent="0.4">
      <c r="A189">
        <v>2022</v>
      </c>
      <c r="B189">
        <v>6.1082000000000001</v>
      </c>
      <c r="C189">
        <v>6.9939999999999998</v>
      </c>
      <c r="D189">
        <v>7.5720000000000001</v>
      </c>
      <c r="E189">
        <v>8.6562000000000001</v>
      </c>
      <c r="F189">
        <v>9.9819999999999993</v>
      </c>
      <c r="G189">
        <v>11.4931</v>
      </c>
      <c r="H189">
        <v>12.9672</v>
      </c>
      <c r="I189">
        <v>13.921200000000001</v>
      </c>
      <c r="J189">
        <v>15.8476</v>
      </c>
    </row>
    <row r="190" spans="1:10" x14ac:dyDescent="0.4">
      <c r="A190">
        <v>2023</v>
      </c>
      <c r="B190">
        <v>6.0259</v>
      </c>
      <c r="C190">
        <v>7.1398000000000001</v>
      </c>
      <c r="D190">
        <v>7.8212999999999999</v>
      </c>
      <c r="E190">
        <v>9.0805000000000007</v>
      </c>
      <c r="F190">
        <v>10.6485</v>
      </c>
      <c r="G190">
        <v>12.3453</v>
      </c>
      <c r="H190">
        <v>13.991199999999999</v>
      </c>
      <c r="I190">
        <v>15.0464</v>
      </c>
      <c r="J190">
        <v>17.3264</v>
      </c>
    </row>
    <row r="191" spans="1:10" x14ac:dyDescent="0.4">
      <c r="A191">
        <v>2024</v>
      </c>
      <c r="B191">
        <v>5.6269999999999998</v>
      </c>
      <c r="C191">
        <v>6.8830999999999998</v>
      </c>
      <c r="D191">
        <v>7.6364999999999998</v>
      </c>
      <c r="E191">
        <v>9.0250000000000004</v>
      </c>
      <c r="F191">
        <v>10.728</v>
      </c>
      <c r="G191">
        <v>12.5579</v>
      </c>
      <c r="H191">
        <v>14.3363</v>
      </c>
      <c r="I191">
        <v>15.478999999999999</v>
      </c>
      <c r="J191">
        <v>18.111699999999999</v>
      </c>
    </row>
    <row r="192" spans="1:10" x14ac:dyDescent="0.4">
      <c r="A192">
        <v>2025</v>
      </c>
      <c r="B192">
        <v>4.5255999999999998</v>
      </c>
      <c r="C192">
        <v>5.9156000000000004</v>
      </c>
      <c r="D192">
        <v>6.7194000000000003</v>
      </c>
      <c r="E192">
        <v>8.1654999999999998</v>
      </c>
      <c r="F192">
        <v>9.9606999999999992</v>
      </c>
      <c r="G192">
        <v>11.8911</v>
      </c>
      <c r="H192">
        <v>13.7643</v>
      </c>
      <c r="I192">
        <v>15.002000000000001</v>
      </c>
      <c r="J192">
        <v>17.957000000000001</v>
      </c>
    </row>
    <row r="193" spans="1:10" x14ac:dyDescent="0.4">
      <c r="A193">
        <v>2026</v>
      </c>
      <c r="B193">
        <v>3.7376999999999998</v>
      </c>
      <c r="C193">
        <v>5.1679000000000004</v>
      </c>
      <c r="D193">
        <v>5.9855</v>
      </c>
      <c r="E193">
        <v>7.4870999999999999</v>
      </c>
      <c r="F193">
        <v>9.3119999999999994</v>
      </c>
      <c r="G193">
        <v>11.2804</v>
      </c>
      <c r="H193">
        <v>13.1995</v>
      </c>
      <c r="I193">
        <v>14.516400000000001</v>
      </c>
      <c r="J193">
        <v>17.6645</v>
      </c>
    </row>
    <row r="194" spans="1:10" x14ac:dyDescent="0.4">
      <c r="A194">
        <v>2027</v>
      </c>
      <c r="B194">
        <v>3.4607999999999999</v>
      </c>
      <c r="C194">
        <v>4.8978999999999999</v>
      </c>
      <c r="D194">
        <v>5.7323000000000004</v>
      </c>
      <c r="E194">
        <v>7.2565999999999997</v>
      </c>
      <c r="F194">
        <v>9.1041000000000007</v>
      </c>
      <c r="G194">
        <v>11.109</v>
      </c>
      <c r="H194">
        <v>13.090999999999999</v>
      </c>
      <c r="I194">
        <v>14.4232</v>
      </c>
      <c r="J194">
        <v>17.620699999999999</v>
      </c>
    </row>
    <row r="195" spans="1:10" x14ac:dyDescent="0.4">
      <c r="A195">
        <v>2028</v>
      </c>
      <c r="B195">
        <v>3.3509000000000002</v>
      </c>
      <c r="C195">
        <v>4.7904</v>
      </c>
      <c r="D195">
        <v>5.6436999999999999</v>
      </c>
      <c r="E195">
        <v>7.1845999999999997</v>
      </c>
      <c r="F195">
        <v>9.0327999999999999</v>
      </c>
      <c r="G195">
        <v>11.071400000000001</v>
      </c>
      <c r="H195">
        <v>13.0778</v>
      </c>
      <c r="I195">
        <v>14.377700000000001</v>
      </c>
      <c r="J195">
        <v>17.692499999999999</v>
      </c>
    </row>
    <row r="196" spans="1:10" x14ac:dyDescent="0.4">
      <c r="A196">
        <v>2029</v>
      </c>
      <c r="B196">
        <v>3.2789000000000001</v>
      </c>
      <c r="C196">
        <v>4.7557999999999998</v>
      </c>
      <c r="D196">
        <v>5.6382000000000003</v>
      </c>
      <c r="E196">
        <v>7.1847000000000003</v>
      </c>
      <c r="F196">
        <v>9.0580999999999996</v>
      </c>
      <c r="G196">
        <v>11.100199999999999</v>
      </c>
      <c r="H196">
        <v>13.130100000000001</v>
      </c>
      <c r="I196">
        <v>14.462400000000001</v>
      </c>
      <c r="J196">
        <v>17.612100000000002</v>
      </c>
    </row>
    <row r="197" spans="1:10" x14ac:dyDescent="0.4">
      <c r="A197">
        <v>2030</v>
      </c>
      <c r="B197">
        <v>3.1928999999999998</v>
      </c>
      <c r="C197">
        <v>4.7549000000000001</v>
      </c>
      <c r="D197">
        <v>5.6224999999999996</v>
      </c>
      <c r="E197">
        <v>7.1727999999999996</v>
      </c>
      <c r="F197">
        <v>9.0798000000000005</v>
      </c>
      <c r="G197">
        <v>11.1198</v>
      </c>
      <c r="H197">
        <v>13.150499999999999</v>
      </c>
      <c r="I197">
        <v>14.483499999999999</v>
      </c>
      <c r="J197">
        <v>17.691400000000002</v>
      </c>
    </row>
    <row r="198" spans="1:10" x14ac:dyDescent="0.4">
      <c r="A198">
        <v>2031</v>
      </c>
      <c r="B198">
        <v>3.1981999999999999</v>
      </c>
      <c r="C198">
        <v>4.7347999999999999</v>
      </c>
      <c r="D198">
        <v>5.6081000000000003</v>
      </c>
      <c r="E198">
        <v>7.1738999999999997</v>
      </c>
      <c r="F198">
        <v>9.0867000000000004</v>
      </c>
      <c r="G198">
        <v>11.130599999999999</v>
      </c>
      <c r="H198">
        <v>13.1792</v>
      </c>
      <c r="I198">
        <v>14.5556</v>
      </c>
      <c r="J198">
        <v>17.813600000000001</v>
      </c>
    </row>
    <row r="199" spans="1:10" x14ac:dyDescent="0.4">
      <c r="A199">
        <v>2032</v>
      </c>
      <c r="B199">
        <v>3.2073999999999998</v>
      </c>
      <c r="C199">
        <v>4.7233000000000001</v>
      </c>
      <c r="D199">
        <v>5.5974000000000004</v>
      </c>
      <c r="E199">
        <v>7.1794000000000002</v>
      </c>
      <c r="F199">
        <v>9.0875000000000004</v>
      </c>
      <c r="G199">
        <v>11.1584</v>
      </c>
      <c r="H199">
        <v>13.1753</v>
      </c>
      <c r="I199">
        <v>14.5565</v>
      </c>
      <c r="J199">
        <v>17.853899999999999</v>
      </c>
    </row>
    <row r="200" spans="1:10" x14ac:dyDescent="0.4">
      <c r="A200">
        <v>2033</v>
      </c>
      <c r="B200">
        <v>3.1724000000000001</v>
      </c>
      <c r="C200">
        <v>4.7112999999999996</v>
      </c>
      <c r="D200">
        <v>5.6056999999999997</v>
      </c>
      <c r="E200">
        <v>7.1905999999999999</v>
      </c>
      <c r="F200">
        <v>9.0942000000000007</v>
      </c>
      <c r="G200">
        <v>11.176</v>
      </c>
      <c r="H200">
        <v>13.202999999999999</v>
      </c>
      <c r="I200">
        <v>14.5573</v>
      </c>
      <c r="J200">
        <v>17.811399999999999</v>
      </c>
    </row>
    <row r="201" spans="1:10" x14ac:dyDescent="0.4">
      <c r="A201">
        <v>2034</v>
      </c>
      <c r="B201">
        <v>3.1515</v>
      </c>
      <c r="C201">
        <v>4.7055999999999996</v>
      </c>
      <c r="D201">
        <v>5.5815999999999999</v>
      </c>
      <c r="E201">
        <v>7.1872999999999996</v>
      </c>
      <c r="F201">
        <v>9.1095000000000006</v>
      </c>
      <c r="G201">
        <v>11.1904</v>
      </c>
      <c r="H201">
        <v>13.2018</v>
      </c>
      <c r="I201">
        <v>14.5588</v>
      </c>
      <c r="J201">
        <v>17.837800000000001</v>
      </c>
    </row>
    <row r="203" spans="1:10" x14ac:dyDescent="0.4">
      <c r="A203" t="s">
        <v>8</v>
      </c>
      <c r="B203" t="s">
        <v>7</v>
      </c>
      <c r="C203" t="s">
        <v>6</v>
      </c>
      <c r="D203" t="s">
        <v>36</v>
      </c>
      <c r="E203">
        <v>1000</v>
      </c>
      <c r="F203" t="s">
        <v>35</v>
      </c>
    </row>
    <row r="205" spans="1:10" x14ac:dyDescent="0.4">
      <c r="A205" t="s">
        <v>22</v>
      </c>
      <c r="B205" t="s">
        <v>34</v>
      </c>
      <c r="C205" t="s">
        <v>33</v>
      </c>
    </row>
    <row r="206" spans="1:10" x14ac:dyDescent="0.4">
      <c r="A206">
        <v>2021</v>
      </c>
      <c r="B206">
        <v>1.5398000000000001</v>
      </c>
      <c r="C206">
        <v>1E-4</v>
      </c>
    </row>
    <row r="207" spans="1:10" x14ac:dyDescent="0.4">
      <c r="A207">
        <v>2022</v>
      </c>
      <c r="B207">
        <v>1.4739</v>
      </c>
      <c r="C207">
        <v>0</v>
      </c>
    </row>
    <row r="208" spans="1:10" x14ac:dyDescent="0.4">
      <c r="A208">
        <v>2023</v>
      </c>
      <c r="B208">
        <v>1.6853</v>
      </c>
      <c r="C208">
        <v>1.0699999999999999E-2</v>
      </c>
    </row>
    <row r="209" spans="1:10" x14ac:dyDescent="0.4">
      <c r="A209">
        <v>2024</v>
      </c>
      <c r="B209">
        <v>2.1564999999999999</v>
      </c>
      <c r="C209">
        <v>2.1600000000000001E-2</v>
      </c>
    </row>
    <row r="210" spans="1:10" x14ac:dyDescent="0.4">
      <c r="A210">
        <v>2025</v>
      </c>
      <c r="B210">
        <v>3.2246999999999999</v>
      </c>
      <c r="C210">
        <v>3.2199999999999999E-2</v>
      </c>
    </row>
    <row r="211" spans="1:10" x14ac:dyDescent="0.4">
      <c r="A211">
        <v>2026</v>
      </c>
      <c r="B211">
        <v>2.3997999999999999</v>
      </c>
      <c r="C211">
        <v>2.4E-2</v>
      </c>
    </row>
    <row r="212" spans="1:10" x14ac:dyDescent="0.4">
      <c r="A212">
        <v>2027</v>
      </c>
      <c r="B212">
        <v>2.3996</v>
      </c>
      <c r="C212">
        <v>3.2199999999999999E-2</v>
      </c>
    </row>
    <row r="213" spans="1:10" x14ac:dyDescent="0.4">
      <c r="A213">
        <v>2028</v>
      </c>
      <c r="B213">
        <v>2.1995</v>
      </c>
      <c r="C213">
        <v>3.4099999999999998E-2</v>
      </c>
    </row>
    <row r="214" spans="1:10" x14ac:dyDescent="0.4">
      <c r="A214">
        <v>2029</v>
      </c>
      <c r="B214">
        <v>2.1989999999999998</v>
      </c>
      <c r="C214">
        <v>4.7699999999999999E-2</v>
      </c>
    </row>
    <row r="215" spans="1:10" x14ac:dyDescent="0.4">
      <c r="A215">
        <v>2030</v>
      </c>
      <c r="B215">
        <v>2.1985999999999999</v>
      </c>
      <c r="C215">
        <v>5.5199999999999999E-2</v>
      </c>
    </row>
    <row r="216" spans="1:10" x14ac:dyDescent="0.4">
      <c r="A216">
        <v>2031</v>
      </c>
      <c r="B216">
        <v>2.1981999999999999</v>
      </c>
      <c r="C216">
        <v>6.2199999999999998E-2</v>
      </c>
    </row>
    <row r="217" spans="1:10" x14ac:dyDescent="0.4">
      <c r="A217">
        <v>2032</v>
      </c>
      <c r="B217">
        <v>2.1977000000000002</v>
      </c>
      <c r="C217">
        <v>7.0599999999999996E-2</v>
      </c>
    </row>
    <row r="218" spans="1:10" x14ac:dyDescent="0.4">
      <c r="A218">
        <v>2033</v>
      </c>
      <c r="B218">
        <v>2.1972</v>
      </c>
      <c r="C218">
        <v>7.8E-2</v>
      </c>
    </row>
    <row r="219" spans="1:10" x14ac:dyDescent="0.4">
      <c r="A219">
        <v>2034</v>
      </c>
      <c r="B219">
        <v>2.1968000000000001</v>
      </c>
      <c r="C219">
        <v>8.3699999999999997E-2</v>
      </c>
    </row>
    <row r="221" spans="1:10" x14ac:dyDescent="0.4">
      <c r="A221" t="s">
        <v>8</v>
      </c>
      <c r="B221" t="s">
        <v>7</v>
      </c>
      <c r="C221" t="s">
        <v>32</v>
      </c>
    </row>
    <row r="223" spans="1:10" x14ac:dyDescent="0.4">
      <c r="A223" t="s">
        <v>22</v>
      </c>
      <c r="B223" s="2">
        <v>0.01</v>
      </c>
      <c r="C223" s="2">
        <v>0.05</v>
      </c>
      <c r="D223" s="2">
        <v>0.1</v>
      </c>
      <c r="E223" s="2">
        <v>0.25</v>
      </c>
      <c r="F223" s="2">
        <v>0.5</v>
      </c>
      <c r="G223" s="2">
        <v>0.75</v>
      </c>
      <c r="H223" s="2">
        <v>0.9</v>
      </c>
      <c r="I223" s="2">
        <v>0.95</v>
      </c>
      <c r="J223" s="2">
        <v>0.99</v>
      </c>
    </row>
    <row r="224" spans="1:10" x14ac:dyDescent="0.4">
      <c r="A224">
        <v>2021</v>
      </c>
      <c r="B224">
        <v>1.5398000000000001</v>
      </c>
      <c r="C224">
        <v>1.5398000000000001</v>
      </c>
      <c r="D224">
        <v>1.5398000000000001</v>
      </c>
      <c r="E224">
        <v>1.5398000000000001</v>
      </c>
      <c r="F224">
        <v>1.5398000000000001</v>
      </c>
      <c r="G224">
        <v>1.5398000000000001</v>
      </c>
      <c r="H224">
        <v>1.5398000000000001</v>
      </c>
      <c r="I224">
        <v>1.5398000000000001</v>
      </c>
      <c r="J224">
        <v>1.5398000000000001</v>
      </c>
    </row>
    <row r="225" spans="1:10" x14ac:dyDescent="0.4">
      <c r="A225">
        <v>2022</v>
      </c>
      <c r="B225">
        <v>1.4739</v>
      </c>
      <c r="C225">
        <v>1.4739</v>
      </c>
      <c r="D225">
        <v>1.4739</v>
      </c>
      <c r="E225">
        <v>1.4739</v>
      </c>
      <c r="F225">
        <v>1.4739</v>
      </c>
      <c r="G225">
        <v>1.4739</v>
      </c>
      <c r="H225">
        <v>1.4739</v>
      </c>
      <c r="I225">
        <v>1.4739</v>
      </c>
      <c r="J225">
        <v>1.4739</v>
      </c>
    </row>
    <row r="226" spans="1:10" x14ac:dyDescent="0.4">
      <c r="A226">
        <v>2023</v>
      </c>
      <c r="B226">
        <v>1.6854</v>
      </c>
      <c r="C226">
        <v>1.6854</v>
      </c>
      <c r="D226">
        <v>1.6854</v>
      </c>
      <c r="E226">
        <v>1.6854</v>
      </c>
      <c r="F226">
        <v>1.6854</v>
      </c>
      <c r="G226">
        <v>1.6854</v>
      </c>
      <c r="H226">
        <v>1.6854</v>
      </c>
      <c r="I226">
        <v>1.6854</v>
      </c>
      <c r="J226">
        <v>1.6854</v>
      </c>
    </row>
    <row r="227" spans="1:10" x14ac:dyDescent="0.4">
      <c r="A227">
        <v>2024</v>
      </c>
      <c r="B227">
        <v>2.1566999999999998</v>
      </c>
      <c r="C227">
        <v>2.1566999999999998</v>
      </c>
      <c r="D227">
        <v>2.1566999999999998</v>
      </c>
      <c r="E227">
        <v>2.1566999999999998</v>
      </c>
      <c r="F227">
        <v>2.1566999999999998</v>
      </c>
      <c r="G227">
        <v>2.1566999999999998</v>
      </c>
      <c r="H227">
        <v>2.1566999999999998</v>
      </c>
      <c r="I227">
        <v>2.1566999999999998</v>
      </c>
      <c r="J227">
        <v>2.1566999999999998</v>
      </c>
    </row>
    <row r="228" spans="1:10" x14ac:dyDescent="0.4">
      <c r="A228">
        <v>2025</v>
      </c>
      <c r="B228">
        <v>3.2250000000000001</v>
      </c>
      <c r="C228">
        <v>3.2250000000000001</v>
      </c>
      <c r="D228">
        <v>3.2250000000000001</v>
      </c>
      <c r="E228">
        <v>3.2250000000000001</v>
      </c>
      <c r="F228">
        <v>3.2250000000000001</v>
      </c>
      <c r="G228">
        <v>3.2250000000000001</v>
      </c>
      <c r="H228">
        <v>3.2250000000000001</v>
      </c>
      <c r="I228">
        <v>3.2250000000000001</v>
      </c>
      <c r="J228">
        <v>3.2250000000000001</v>
      </c>
    </row>
    <row r="229" spans="1:10" x14ac:dyDescent="0.4">
      <c r="A229">
        <v>2026</v>
      </c>
      <c r="B229">
        <v>2.4</v>
      </c>
      <c r="C229">
        <v>2.4</v>
      </c>
      <c r="D229">
        <v>2.4</v>
      </c>
      <c r="E229">
        <v>2.4</v>
      </c>
      <c r="F229">
        <v>2.4</v>
      </c>
      <c r="G229">
        <v>2.4</v>
      </c>
      <c r="H229">
        <v>2.4</v>
      </c>
      <c r="I229">
        <v>2.4</v>
      </c>
      <c r="J229">
        <v>2.4</v>
      </c>
    </row>
    <row r="230" spans="1:10" x14ac:dyDescent="0.4">
      <c r="A230">
        <v>2027</v>
      </c>
      <c r="B230">
        <v>2.4</v>
      </c>
      <c r="C230">
        <v>2.4</v>
      </c>
      <c r="D230">
        <v>2.4</v>
      </c>
      <c r="E230">
        <v>2.4</v>
      </c>
      <c r="F230">
        <v>2.4</v>
      </c>
      <c r="G230">
        <v>2.4</v>
      </c>
      <c r="H230">
        <v>2.4</v>
      </c>
      <c r="I230">
        <v>2.4</v>
      </c>
      <c r="J230">
        <v>2.4</v>
      </c>
    </row>
    <row r="231" spans="1:10" x14ac:dyDescent="0.4">
      <c r="A231">
        <v>2028</v>
      </c>
      <c r="B231">
        <v>2.2000000000000002</v>
      </c>
      <c r="C231">
        <v>2.2000000000000002</v>
      </c>
      <c r="D231">
        <v>2.2000000000000002</v>
      </c>
      <c r="E231">
        <v>2.2000000000000002</v>
      </c>
      <c r="F231">
        <v>2.2000000000000002</v>
      </c>
      <c r="G231">
        <v>2.2000000000000002</v>
      </c>
      <c r="H231">
        <v>2.2000000000000002</v>
      </c>
      <c r="I231">
        <v>2.2000000000000002</v>
      </c>
      <c r="J231">
        <v>2.2000000000000002</v>
      </c>
    </row>
    <row r="232" spans="1:10" x14ac:dyDescent="0.4">
      <c r="A232">
        <v>2029</v>
      </c>
      <c r="B232">
        <v>2.2000000000000002</v>
      </c>
      <c r="C232">
        <v>2.2000000000000002</v>
      </c>
      <c r="D232">
        <v>2.2000000000000002</v>
      </c>
      <c r="E232">
        <v>2.2000000000000002</v>
      </c>
      <c r="F232">
        <v>2.2000000000000002</v>
      </c>
      <c r="G232">
        <v>2.2000000000000002</v>
      </c>
      <c r="H232">
        <v>2.2000000000000002</v>
      </c>
      <c r="I232">
        <v>2.2000000000000002</v>
      </c>
      <c r="J232">
        <v>2.2000000000000002</v>
      </c>
    </row>
    <row r="233" spans="1:10" x14ac:dyDescent="0.4">
      <c r="A233">
        <v>2030</v>
      </c>
      <c r="B233">
        <v>2.2000000000000002</v>
      </c>
      <c r="C233">
        <v>2.2000000000000002</v>
      </c>
      <c r="D233">
        <v>2.2000000000000002</v>
      </c>
      <c r="E233">
        <v>2.2000000000000002</v>
      </c>
      <c r="F233">
        <v>2.2000000000000002</v>
      </c>
      <c r="G233">
        <v>2.2000000000000002</v>
      </c>
      <c r="H233">
        <v>2.2000000000000002</v>
      </c>
      <c r="I233">
        <v>2.2000000000000002</v>
      </c>
      <c r="J233">
        <v>2.2000000000000002</v>
      </c>
    </row>
    <row r="234" spans="1:10" x14ac:dyDescent="0.4">
      <c r="A234">
        <v>2031</v>
      </c>
      <c r="B234">
        <v>2.2000000000000002</v>
      </c>
      <c r="C234">
        <v>2.2000000000000002</v>
      </c>
      <c r="D234">
        <v>2.2000000000000002</v>
      </c>
      <c r="E234">
        <v>2.2000000000000002</v>
      </c>
      <c r="F234">
        <v>2.2000000000000002</v>
      </c>
      <c r="G234">
        <v>2.2000000000000002</v>
      </c>
      <c r="H234">
        <v>2.2000000000000002</v>
      </c>
      <c r="I234">
        <v>2.2000000000000002</v>
      </c>
      <c r="J234">
        <v>2.2000000000000002</v>
      </c>
    </row>
    <row r="235" spans="1:10" x14ac:dyDescent="0.4">
      <c r="A235">
        <v>2032</v>
      </c>
      <c r="B235">
        <v>2.2000000000000002</v>
      </c>
      <c r="C235">
        <v>2.2000000000000002</v>
      </c>
      <c r="D235">
        <v>2.2000000000000002</v>
      </c>
      <c r="E235">
        <v>2.2000000000000002</v>
      </c>
      <c r="F235">
        <v>2.2000000000000002</v>
      </c>
      <c r="G235">
        <v>2.2000000000000002</v>
      </c>
      <c r="H235">
        <v>2.2000000000000002</v>
      </c>
      <c r="I235">
        <v>2.2000000000000002</v>
      </c>
      <c r="J235">
        <v>2.2000000000000002</v>
      </c>
    </row>
    <row r="236" spans="1:10" x14ac:dyDescent="0.4">
      <c r="A236">
        <v>2033</v>
      </c>
      <c r="B236">
        <v>2.2000000000000002</v>
      </c>
      <c r="C236">
        <v>2.2000000000000002</v>
      </c>
      <c r="D236">
        <v>2.2000000000000002</v>
      </c>
      <c r="E236">
        <v>2.2000000000000002</v>
      </c>
      <c r="F236">
        <v>2.2000000000000002</v>
      </c>
      <c r="G236">
        <v>2.2000000000000002</v>
      </c>
      <c r="H236">
        <v>2.2000000000000002</v>
      </c>
      <c r="I236">
        <v>2.2000000000000002</v>
      </c>
      <c r="J236">
        <v>2.2000000000000002</v>
      </c>
    </row>
    <row r="237" spans="1:10" x14ac:dyDescent="0.4">
      <c r="A237">
        <v>2034</v>
      </c>
      <c r="B237">
        <v>2.2000000000000002</v>
      </c>
      <c r="C237">
        <v>2.2000000000000002</v>
      </c>
      <c r="D237">
        <v>2.2000000000000002</v>
      </c>
      <c r="E237">
        <v>2.2000000000000002</v>
      </c>
      <c r="F237">
        <v>2.2000000000000002</v>
      </c>
      <c r="G237">
        <v>2.2000000000000002</v>
      </c>
      <c r="H237">
        <v>2.2000000000000002</v>
      </c>
      <c r="I237">
        <v>2.2000000000000002</v>
      </c>
      <c r="J237">
        <v>2.2000000000000002</v>
      </c>
    </row>
    <row r="239" spans="1:10" x14ac:dyDescent="0.4">
      <c r="A239" t="s">
        <v>5</v>
      </c>
      <c r="B239" t="s">
        <v>36</v>
      </c>
      <c r="C239">
        <v>1000</v>
      </c>
      <c r="D239" t="s">
        <v>35</v>
      </c>
    </row>
    <row r="241" spans="1:3" x14ac:dyDescent="0.4">
      <c r="A241" t="s">
        <v>22</v>
      </c>
      <c r="B241" t="s">
        <v>34</v>
      </c>
      <c r="C241" t="s">
        <v>33</v>
      </c>
    </row>
    <row r="242" spans="1:3" x14ac:dyDescent="0.4">
      <c r="A242">
        <v>2021</v>
      </c>
      <c r="B242">
        <v>1.5398000000000001</v>
      </c>
      <c r="C242">
        <v>1E-4</v>
      </c>
    </row>
    <row r="243" spans="1:3" x14ac:dyDescent="0.4">
      <c r="A243">
        <v>2022</v>
      </c>
      <c r="B243">
        <v>1.4739</v>
      </c>
      <c r="C243">
        <v>0</v>
      </c>
    </row>
    <row r="244" spans="1:3" x14ac:dyDescent="0.4">
      <c r="A244">
        <v>2023</v>
      </c>
      <c r="B244">
        <v>1.6853</v>
      </c>
      <c r="C244">
        <v>1.0699999999999999E-2</v>
      </c>
    </row>
    <row r="245" spans="1:3" x14ac:dyDescent="0.4">
      <c r="A245">
        <v>2024</v>
      </c>
      <c r="B245">
        <v>2.1564999999999999</v>
      </c>
      <c r="C245">
        <v>2.1600000000000001E-2</v>
      </c>
    </row>
    <row r="246" spans="1:3" x14ac:dyDescent="0.4">
      <c r="A246">
        <v>2025</v>
      </c>
      <c r="B246">
        <v>3.2246999999999999</v>
      </c>
      <c r="C246">
        <v>3.2199999999999999E-2</v>
      </c>
    </row>
    <row r="247" spans="1:3" x14ac:dyDescent="0.4">
      <c r="A247">
        <v>2026</v>
      </c>
      <c r="B247">
        <v>2.3997999999999999</v>
      </c>
      <c r="C247">
        <v>2.4E-2</v>
      </c>
    </row>
    <row r="248" spans="1:3" x14ac:dyDescent="0.4">
      <c r="A248">
        <v>2027</v>
      </c>
      <c r="B248">
        <v>2.3996</v>
      </c>
      <c r="C248">
        <v>3.2199999999999999E-2</v>
      </c>
    </row>
    <row r="249" spans="1:3" x14ac:dyDescent="0.4">
      <c r="A249">
        <v>2028</v>
      </c>
      <c r="B249">
        <v>2.1995</v>
      </c>
      <c r="C249">
        <v>3.4099999999999998E-2</v>
      </c>
    </row>
    <row r="250" spans="1:3" x14ac:dyDescent="0.4">
      <c r="A250">
        <v>2029</v>
      </c>
      <c r="B250">
        <v>2.1989999999999998</v>
      </c>
      <c r="C250">
        <v>4.7699999999999999E-2</v>
      </c>
    </row>
    <row r="251" spans="1:3" x14ac:dyDescent="0.4">
      <c r="A251">
        <v>2030</v>
      </c>
      <c r="B251">
        <v>2.1985999999999999</v>
      </c>
      <c r="C251">
        <v>5.5199999999999999E-2</v>
      </c>
    </row>
    <row r="252" spans="1:3" x14ac:dyDescent="0.4">
      <c r="A252">
        <v>2031</v>
      </c>
      <c r="B252">
        <v>2.1981999999999999</v>
      </c>
      <c r="C252">
        <v>6.2199999999999998E-2</v>
      </c>
    </row>
    <row r="253" spans="1:3" x14ac:dyDescent="0.4">
      <c r="A253">
        <v>2032</v>
      </c>
      <c r="B253">
        <v>2.1977000000000002</v>
      </c>
      <c r="C253">
        <v>7.0599999999999996E-2</v>
      </c>
    </row>
    <row r="254" spans="1:3" x14ac:dyDescent="0.4">
      <c r="A254">
        <v>2033</v>
      </c>
      <c r="B254">
        <v>2.1972</v>
      </c>
      <c r="C254">
        <v>7.8E-2</v>
      </c>
    </row>
    <row r="255" spans="1:3" x14ac:dyDescent="0.4">
      <c r="A255">
        <v>2034</v>
      </c>
      <c r="B255">
        <v>2.1968000000000001</v>
      </c>
      <c r="C255">
        <v>8.3699999999999997E-2</v>
      </c>
    </row>
    <row r="257" spans="1:20" x14ac:dyDescent="0.4">
      <c r="A257" t="s">
        <v>5</v>
      </c>
      <c r="B257" t="s">
        <v>32</v>
      </c>
    </row>
    <row r="259" spans="1:20" x14ac:dyDescent="0.4">
      <c r="A259" t="s">
        <v>22</v>
      </c>
      <c r="B259" s="2">
        <v>0.01</v>
      </c>
      <c r="C259" s="2">
        <v>0.05</v>
      </c>
      <c r="D259" s="2">
        <v>0.1</v>
      </c>
      <c r="E259" s="2">
        <v>0.25</v>
      </c>
      <c r="F259" s="2">
        <v>0.5</v>
      </c>
      <c r="G259" s="2">
        <v>0.75</v>
      </c>
      <c r="H259" s="2">
        <v>0.9</v>
      </c>
      <c r="I259" s="2">
        <v>0.95</v>
      </c>
      <c r="J259" s="2">
        <v>0.99</v>
      </c>
      <c r="L259" s="2">
        <v>0.01</v>
      </c>
      <c r="M259" s="2">
        <v>0.05</v>
      </c>
      <c r="N259" s="2">
        <v>0.1</v>
      </c>
      <c r="O259" s="2">
        <v>0.25</v>
      </c>
      <c r="P259" s="2">
        <v>0.5</v>
      </c>
      <c r="Q259" s="2">
        <v>0.75</v>
      </c>
      <c r="R259" s="2">
        <v>0.9</v>
      </c>
      <c r="S259" s="2">
        <v>0.95</v>
      </c>
      <c r="T259" s="2">
        <v>0.99</v>
      </c>
    </row>
    <row r="260" spans="1:20" x14ac:dyDescent="0.4">
      <c r="A260">
        <v>2021</v>
      </c>
      <c r="B260">
        <v>1.5398000000000001</v>
      </c>
      <c r="C260">
        <v>1.5398000000000001</v>
      </c>
      <c r="D260">
        <v>1.5398000000000001</v>
      </c>
      <c r="E260">
        <v>1.5398000000000001</v>
      </c>
      <c r="F260">
        <v>1.5398000000000001</v>
      </c>
      <c r="G260">
        <v>1.5398000000000001</v>
      </c>
      <c r="H260">
        <v>1.5398000000000001</v>
      </c>
      <c r="I260">
        <v>1.5398000000000001</v>
      </c>
      <c r="J260">
        <v>1.5398000000000001</v>
      </c>
      <c r="L260">
        <f>B260*1000</f>
        <v>1539.8</v>
      </c>
      <c r="M260">
        <f t="shared" ref="M260:T273" si="2">C260*1000</f>
        <v>1539.8</v>
      </c>
      <c r="N260">
        <f t="shared" si="2"/>
        <v>1539.8</v>
      </c>
      <c r="O260">
        <f t="shared" si="2"/>
        <v>1539.8</v>
      </c>
      <c r="P260">
        <f t="shared" si="2"/>
        <v>1539.8</v>
      </c>
      <c r="Q260">
        <f t="shared" si="2"/>
        <v>1539.8</v>
      </c>
      <c r="R260">
        <f t="shared" si="2"/>
        <v>1539.8</v>
      </c>
      <c r="S260">
        <f t="shared" si="2"/>
        <v>1539.8</v>
      </c>
      <c r="T260">
        <f t="shared" si="2"/>
        <v>1539.8</v>
      </c>
    </row>
    <row r="261" spans="1:20" x14ac:dyDescent="0.4">
      <c r="A261">
        <v>2022</v>
      </c>
      <c r="B261">
        <v>1.4739</v>
      </c>
      <c r="C261">
        <v>1.4739</v>
      </c>
      <c r="D261">
        <v>1.4739</v>
      </c>
      <c r="E261">
        <v>1.4739</v>
      </c>
      <c r="F261">
        <v>1.4739</v>
      </c>
      <c r="G261">
        <v>1.4739</v>
      </c>
      <c r="H261">
        <v>1.4739</v>
      </c>
      <c r="I261">
        <v>1.4739</v>
      </c>
      <c r="J261">
        <v>1.4739</v>
      </c>
      <c r="L261">
        <f t="shared" ref="L261:L273" si="3">B261*1000</f>
        <v>1473.9</v>
      </c>
      <c r="M261">
        <f t="shared" si="2"/>
        <v>1473.9</v>
      </c>
      <c r="N261">
        <f t="shared" si="2"/>
        <v>1473.9</v>
      </c>
      <c r="O261">
        <f t="shared" si="2"/>
        <v>1473.9</v>
      </c>
      <c r="P261">
        <f t="shared" si="2"/>
        <v>1473.9</v>
      </c>
      <c r="Q261">
        <f t="shared" si="2"/>
        <v>1473.9</v>
      </c>
      <c r="R261">
        <f t="shared" si="2"/>
        <v>1473.9</v>
      </c>
      <c r="S261">
        <f t="shared" si="2"/>
        <v>1473.9</v>
      </c>
      <c r="T261">
        <f t="shared" si="2"/>
        <v>1473.9</v>
      </c>
    </row>
    <row r="262" spans="1:20" x14ac:dyDescent="0.4">
      <c r="A262">
        <v>2023</v>
      </c>
      <c r="B262">
        <v>1.6854</v>
      </c>
      <c r="C262">
        <v>1.6854</v>
      </c>
      <c r="D262">
        <v>1.6854</v>
      </c>
      <c r="E262">
        <v>1.6854</v>
      </c>
      <c r="F262">
        <v>1.6854</v>
      </c>
      <c r="G262">
        <v>1.6854</v>
      </c>
      <c r="H262">
        <v>1.6854</v>
      </c>
      <c r="I262">
        <v>1.6854</v>
      </c>
      <c r="J262">
        <v>1.6854</v>
      </c>
      <c r="L262">
        <f t="shared" si="3"/>
        <v>1685.4</v>
      </c>
      <c r="M262">
        <f t="shared" si="2"/>
        <v>1685.4</v>
      </c>
      <c r="N262">
        <f t="shared" si="2"/>
        <v>1685.4</v>
      </c>
      <c r="O262">
        <f t="shared" si="2"/>
        <v>1685.4</v>
      </c>
      <c r="P262">
        <f t="shared" si="2"/>
        <v>1685.4</v>
      </c>
      <c r="Q262">
        <f t="shared" si="2"/>
        <v>1685.4</v>
      </c>
      <c r="R262">
        <f t="shared" si="2"/>
        <v>1685.4</v>
      </c>
      <c r="S262">
        <f t="shared" si="2"/>
        <v>1685.4</v>
      </c>
      <c r="T262">
        <f t="shared" si="2"/>
        <v>1685.4</v>
      </c>
    </row>
    <row r="263" spans="1:20" x14ac:dyDescent="0.4">
      <c r="A263">
        <v>2024</v>
      </c>
      <c r="B263">
        <v>2.1566999999999998</v>
      </c>
      <c r="C263">
        <v>2.1566999999999998</v>
      </c>
      <c r="D263">
        <v>2.1566999999999998</v>
      </c>
      <c r="E263">
        <v>2.1566999999999998</v>
      </c>
      <c r="F263">
        <v>2.1566999999999998</v>
      </c>
      <c r="G263">
        <v>2.1566999999999998</v>
      </c>
      <c r="H263">
        <v>2.1566999999999998</v>
      </c>
      <c r="I263">
        <v>2.1566999999999998</v>
      </c>
      <c r="J263">
        <v>2.1566999999999998</v>
      </c>
      <c r="L263">
        <f t="shared" si="3"/>
        <v>2156.6999999999998</v>
      </c>
      <c r="M263">
        <f t="shared" si="2"/>
        <v>2156.6999999999998</v>
      </c>
      <c r="N263">
        <f t="shared" si="2"/>
        <v>2156.6999999999998</v>
      </c>
      <c r="O263">
        <f t="shared" si="2"/>
        <v>2156.6999999999998</v>
      </c>
      <c r="P263">
        <f t="shared" si="2"/>
        <v>2156.6999999999998</v>
      </c>
      <c r="Q263">
        <f t="shared" si="2"/>
        <v>2156.6999999999998</v>
      </c>
      <c r="R263">
        <f t="shared" si="2"/>
        <v>2156.6999999999998</v>
      </c>
      <c r="S263">
        <f t="shared" si="2"/>
        <v>2156.6999999999998</v>
      </c>
      <c r="T263">
        <f t="shared" si="2"/>
        <v>2156.6999999999998</v>
      </c>
    </row>
    <row r="264" spans="1:20" x14ac:dyDescent="0.4">
      <c r="A264">
        <v>2025</v>
      </c>
      <c r="B264">
        <v>3.2250000000000001</v>
      </c>
      <c r="C264">
        <v>3.2250000000000001</v>
      </c>
      <c r="D264">
        <v>3.2250000000000001</v>
      </c>
      <c r="E264">
        <v>3.2250000000000001</v>
      </c>
      <c r="F264">
        <v>3.2250000000000001</v>
      </c>
      <c r="G264">
        <v>3.2250000000000001</v>
      </c>
      <c r="H264">
        <v>3.2250000000000001</v>
      </c>
      <c r="I264">
        <v>3.2250000000000001</v>
      </c>
      <c r="J264">
        <v>3.2250000000000001</v>
      </c>
      <c r="L264">
        <f t="shared" si="3"/>
        <v>3225</v>
      </c>
      <c r="M264">
        <f t="shared" si="2"/>
        <v>3225</v>
      </c>
      <c r="N264">
        <f t="shared" si="2"/>
        <v>3225</v>
      </c>
      <c r="O264">
        <f t="shared" si="2"/>
        <v>3225</v>
      </c>
      <c r="P264">
        <f t="shared" si="2"/>
        <v>3225</v>
      </c>
      <c r="Q264">
        <f t="shared" si="2"/>
        <v>3225</v>
      </c>
      <c r="R264">
        <f t="shared" si="2"/>
        <v>3225</v>
      </c>
      <c r="S264">
        <f t="shared" si="2"/>
        <v>3225</v>
      </c>
      <c r="T264">
        <f t="shared" si="2"/>
        <v>3225</v>
      </c>
    </row>
    <row r="265" spans="1:20" x14ac:dyDescent="0.4">
      <c r="A265">
        <v>2026</v>
      </c>
      <c r="B265">
        <v>2.4</v>
      </c>
      <c r="C265">
        <v>2.4</v>
      </c>
      <c r="D265">
        <v>2.4</v>
      </c>
      <c r="E265">
        <v>2.4</v>
      </c>
      <c r="F265">
        <v>2.4</v>
      </c>
      <c r="G265">
        <v>2.4</v>
      </c>
      <c r="H265">
        <v>2.4</v>
      </c>
      <c r="I265">
        <v>2.4</v>
      </c>
      <c r="J265">
        <v>2.4</v>
      </c>
      <c r="L265">
        <f t="shared" si="3"/>
        <v>2400</v>
      </c>
      <c r="M265">
        <f t="shared" si="2"/>
        <v>2400</v>
      </c>
      <c r="N265">
        <f t="shared" si="2"/>
        <v>2400</v>
      </c>
      <c r="O265">
        <f t="shared" si="2"/>
        <v>2400</v>
      </c>
      <c r="P265">
        <f t="shared" si="2"/>
        <v>2400</v>
      </c>
      <c r="Q265">
        <f t="shared" si="2"/>
        <v>2400</v>
      </c>
      <c r="R265">
        <f t="shared" si="2"/>
        <v>2400</v>
      </c>
      <c r="S265">
        <f t="shared" si="2"/>
        <v>2400</v>
      </c>
      <c r="T265">
        <f t="shared" si="2"/>
        <v>2400</v>
      </c>
    </row>
    <row r="266" spans="1:20" x14ac:dyDescent="0.4">
      <c r="A266">
        <v>2027</v>
      </c>
      <c r="B266">
        <v>2.4</v>
      </c>
      <c r="C266">
        <v>2.4</v>
      </c>
      <c r="D266">
        <v>2.4</v>
      </c>
      <c r="E266">
        <v>2.4</v>
      </c>
      <c r="F266">
        <v>2.4</v>
      </c>
      <c r="G266">
        <v>2.4</v>
      </c>
      <c r="H266">
        <v>2.4</v>
      </c>
      <c r="I266">
        <v>2.4</v>
      </c>
      <c r="J266">
        <v>2.4</v>
      </c>
      <c r="L266">
        <f t="shared" si="3"/>
        <v>2400</v>
      </c>
      <c r="M266">
        <f t="shared" si="2"/>
        <v>2400</v>
      </c>
      <c r="N266">
        <f t="shared" si="2"/>
        <v>2400</v>
      </c>
      <c r="O266">
        <f t="shared" si="2"/>
        <v>2400</v>
      </c>
      <c r="P266">
        <f t="shared" si="2"/>
        <v>2400</v>
      </c>
      <c r="Q266">
        <f t="shared" si="2"/>
        <v>2400</v>
      </c>
      <c r="R266">
        <f t="shared" si="2"/>
        <v>2400</v>
      </c>
      <c r="S266">
        <f t="shared" si="2"/>
        <v>2400</v>
      </c>
      <c r="T266">
        <f t="shared" si="2"/>
        <v>2400</v>
      </c>
    </row>
    <row r="267" spans="1:20" x14ac:dyDescent="0.4">
      <c r="A267">
        <v>2028</v>
      </c>
      <c r="B267">
        <v>2.2000000000000002</v>
      </c>
      <c r="C267">
        <v>2.2000000000000002</v>
      </c>
      <c r="D267">
        <v>2.2000000000000002</v>
      </c>
      <c r="E267">
        <v>2.2000000000000002</v>
      </c>
      <c r="F267">
        <v>2.2000000000000002</v>
      </c>
      <c r="G267">
        <v>2.2000000000000002</v>
      </c>
      <c r="H267">
        <v>2.2000000000000002</v>
      </c>
      <c r="I267">
        <v>2.2000000000000002</v>
      </c>
      <c r="J267">
        <v>2.2000000000000002</v>
      </c>
      <c r="L267">
        <f t="shared" si="3"/>
        <v>2200</v>
      </c>
      <c r="M267">
        <f t="shared" si="2"/>
        <v>2200</v>
      </c>
      <c r="N267">
        <f t="shared" si="2"/>
        <v>2200</v>
      </c>
      <c r="O267">
        <f t="shared" si="2"/>
        <v>2200</v>
      </c>
      <c r="P267">
        <f t="shared" si="2"/>
        <v>2200</v>
      </c>
      <c r="Q267">
        <f t="shared" si="2"/>
        <v>2200</v>
      </c>
      <c r="R267">
        <f t="shared" si="2"/>
        <v>2200</v>
      </c>
      <c r="S267">
        <f t="shared" si="2"/>
        <v>2200</v>
      </c>
      <c r="T267">
        <f t="shared" si="2"/>
        <v>2200</v>
      </c>
    </row>
    <row r="268" spans="1:20" x14ac:dyDescent="0.4">
      <c r="A268">
        <v>2029</v>
      </c>
      <c r="B268">
        <v>2.2000000000000002</v>
      </c>
      <c r="C268">
        <v>2.2000000000000002</v>
      </c>
      <c r="D268">
        <v>2.2000000000000002</v>
      </c>
      <c r="E268">
        <v>2.2000000000000002</v>
      </c>
      <c r="F268">
        <v>2.2000000000000002</v>
      </c>
      <c r="G268">
        <v>2.2000000000000002</v>
      </c>
      <c r="H268">
        <v>2.2000000000000002</v>
      </c>
      <c r="I268">
        <v>2.2000000000000002</v>
      </c>
      <c r="J268">
        <v>2.2000000000000002</v>
      </c>
      <c r="L268">
        <f t="shared" si="3"/>
        <v>2200</v>
      </c>
      <c r="M268">
        <f t="shared" si="2"/>
        <v>2200</v>
      </c>
      <c r="N268">
        <f t="shared" si="2"/>
        <v>2200</v>
      </c>
      <c r="O268">
        <f t="shared" si="2"/>
        <v>2200</v>
      </c>
      <c r="P268">
        <f t="shared" si="2"/>
        <v>2200</v>
      </c>
      <c r="Q268">
        <f t="shared" si="2"/>
        <v>2200</v>
      </c>
      <c r="R268">
        <f t="shared" si="2"/>
        <v>2200</v>
      </c>
      <c r="S268">
        <f t="shared" si="2"/>
        <v>2200</v>
      </c>
      <c r="T268">
        <f t="shared" si="2"/>
        <v>2200</v>
      </c>
    </row>
    <row r="269" spans="1:20" x14ac:dyDescent="0.4">
      <c r="A269">
        <v>2030</v>
      </c>
      <c r="B269">
        <v>2.2000000000000002</v>
      </c>
      <c r="C269">
        <v>2.2000000000000002</v>
      </c>
      <c r="D269">
        <v>2.2000000000000002</v>
      </c>
      <c r="E269">
        <v>2.2000000000000002</v>
      </c>
      <c r="F269">
        <v>2.2000000000000002</v>
      </c>
      <c r="G269">
        <v>2.2000000000000002</v>
      </c>
      <c r="H269">
        <v>2.2000000000000002</v>
      </c>
      <c r="I269">
        <v>2.2000000000000002</v>
      </c>
      <c r="J269">
        <v>2.2000000000000002</v>
      </c>
      <c r="L269">
        <f t="shared" si="3"/>
        <v>2200</v>
      </c>
      <c r="M269">
        <f t="shared" si="2"/>
        <v>2200</v>
      </c>
      <c r="N269">
        <f t="shared" si="2"/>
        <v>2200</v>
      </c>
      <c r="O269">
        <f t="shared" si="2"/>
        <v>2200</v>
      </c>
      <c r="P269">
        <f t="shared" si="2"/>
        <v>2200</v>
      </c>
      <c r="Q269">
        <f t="shared" si="2"/>
        <v>2200</v>
      </c>
      <c r="R269">
        <f t="shared" si="2"/>
        <v>2200</v>
      </c>
      <c r="S269">
        <f t="shared" si="2"/>
        <v>2200</v>
      </c>
      <c r="T269">
        <f t="shared" si="2"/>
        <v>2200</v>
      </c>
    </row>
    <row r="270" spans="1:20" x14ac:dyDescent="0.4">
      <c r="A270">
        <v>2031</v>
      </c>
      <c r="B270">
        <v>2.2000000000000002</v>
      </c>
      <c r="C270">
        <v>2.2000000000000002</v>
      </c>
      <c r="D270">
        <v>2.2000000000000002</v>
      </c>
      <c r="E270">
        <v>2.2000000000000002</v>
      </c>
      <c r="F270">
        <v>2.2000000000000002</v>
      </c>
      <c r="G270">
        <v>2.2000000000000002</v>
      </c>
      <c r="H270">
        <v>2.2000000000000002</v>
      </c>
      <c r="I270">
        <v>2.2000000000000002</v>
      </c>
      <c r="J270">
        <v>2.2000000000000002</v>
      </c>
      <c r="L270">
        <f t="shared" si="3"/>
        <v>2200</v>
      </c>
      <c r="M270">
        <f t="shared" si="2"/>
        <v>2200</v>
      </c>
      <c r="N270">
        <f t="shared" si="2"/>
        <v>2200</v>
      </c>
      <c r="O270">
        <f t="shared" si="2"/>
        <v>2200</v>
      </c>
      <c r="P270">
        <f t="shared" si="2"/>
        <v>2200</v>
      </c>
      <c r="Q270">
        <f t="shared" si="2"/>
        <v>2200</v>
      </c>
      <c r="R270">
        <f t="shared" si="2"/>
        <v>2200</v>
      </c>
      <c r="S270">
        <f t="shared" si="2"/>
        <v>2200</v>
      </c>
      <c r="T270">
        <f t="shared" si="2"/>
        <v>2200</v>
      </c>
    </row>
    <row r="271" spans="1:20" x14ac:dyDescent="0.4">
      <c r="A271">
        <v>2032</v>
      </c>
      <c r="B271">
        <v>2.2000000000000002</v>
      </c>
      <c r="C271">
        <v>2.2000000000000002</v>
      </c>
      <c r="D271">
        <v>2.2000000000000002</v>
      </c>
      <c r="E271">
        <v>2.2000000000000002</v>
      </c>
      <c r="F271">
        <v>2.2000000000000002</v>
      </c>
      <c r="G271">
        <v>2.2000000000000002</v>
      </c>
      <c r="H271">
        <v>2.2000000000000002</v>
      </c>
      <c r="I271">
        <v>2.2000000000000002</v>
      </c>
      <c r="J271">
        <v>2.2000000000000002</v>
      </c>
      <c r="L271">
        <f t="shared" si="3"/>
        <v>2200</v>
      </c>
      <c r="M271">
        <f t="shared" si="2"/>
        <v>2200</v>
      </c>
      <c r="N271">
        <f t="shared" si="2"/>
        <v>2200</v>
      </c>
      <c r="O271">
        <f t="shared" si="2"/>
        <v>2200</v>
      </c>
      <c r="P271">
        <f t="shared" si="2"/>
        <v>2200</v>
      </c>
      <c r="Q271">
        <f t="shared" si="2"/>
        <v>2200</v>
      </c>
      <c r="R271">
        <f t="shared" si="2"/>
        <v>2200</v>
      </c>
      <c r="S271">
        <f t="shared" si="2"/>
        <v>2200</v>
      </c>
      <c r="T271">
        <f t="shared" si="2"/>
        <v>2200</v>
      </c>
    </row>
    <row r="272" spans="1:20" x14ac:dyDescent="0.4">
      <c r="A272">
        <v>2033</v>
      </c>
      <c r="B272">
        <v>2.2000000000000002</v>
      </c>
      <c r="C272">
        <v>2.2000000000000002</v>
      </c>
      <c r="D272">
        <v>2.2000000000000002</v>
      </c>
      <c r="E272">
        <v>2.2000000000000002</v>
      </c>
      <c r="F272">
        <v>2.2000000000000002</v>
      </c>
      <c r="G272">
        <v>2.2000000000000002</v>
      </c>
      <c r="H272">
        <v>2.2000000000000002</v>
      </c>
      <c r="I272">
        <v>2.2000000000000002</v>
      </c>
      <c r="J272">
        <v>2.2000000000000002</v>
      </c>
      <c r="L272">
        <f t="shared" si="3"/>
        <v>2200</v>
      </c>
      <c r="M272">
        <f t="shared" si="2"/>
        <v>2200</v>
      </c>
      <c r="N272">
        <f t="shared" si="2"/>
        <v>2200</v>
      </c>
      <c r="O272">
        <f t="shared" si="2"/>
        <v>2200</v>
      </c>
      <c r="P272">
        <f t="shared" si="2"/>
        <v>2200</v>
      </c>
      <c r="Q272">
        <f t="shared" si="2"/>
        <v>2200</v>
      </c>
      <c r="R272">
        <f t="shared" si="2"/>
        <v>2200</v>
      </c>
      <c r="S272">
        <f t="shared" si="2"/>
        <v>2200</v>
      </c>
      <c r="T272">
        <f t="shared" si="2"/>
        <v>2200</v>
      </c>
    </row>
    <row r="273" spans="1:20" x14ac:dyDescent="0.4">
      <c r="A273">
        <v>2034</v>
      </c>
      <c r="B273">
        <v>2.2000000000000002</v>
      </c>
      <c r="C273">
        <v>2.2000000000000002</v>
      </c>
      <c r="D273">
        <v>2.2000000000000002</v>
      </c>
      <c r="E273">
        <v>2.2000000000000002</v>
      </c>
      <c r="F273">
        <v>2.2000000000000002</v>
      </c>
      <c r="G273">
        <v>2.2000000000000002</v>
      </c>
      <c r="H273">
        <v>2.2000000000000002</v>
      </c>
      <c r="I273">
        <v>2.2000000000000002</v>
      </c>
      <c r="J273">
        <v>2.2000000000000002</v>
      </c>
      <c r="L273">
        <f t="shared" si="3"/>
        <v>2200</v>
      </c>
      <c r="M273">
        <f t="shared" si="2"/>
        <v>2200</v>
      </c>
      <c r="N273">
        <f t="shared" si="2"/>
        <v>2200</v>
      </c>
      <c r="O273">
        <f t="shared" si="2"/>
        <v>2200</v>
      </c>
      <c r="P273">
        <f t="shared" si="2"/>
        <v>2200</v>
      </c>
      <c r="Q273">
        <f t="shared" si="2"/>
        <v>2200</v>
      </c>
      <c r="R273">
        <f t="shared" si="2"/>
        <v>2200</v>
      </c>
      <c r="S273">
        <f t="shared" si="2"/>
        <v>2200</v>
      </c>
      <c r="T273">
        <f t="shared" si="2"/>
        <v>2200</v>
      </c>
    </row>
    <row r="275" spans="1:20" x14ac:dyDescent="0.4">
      <c r="A275" t="s">
        <v>26</v>
      </c>
      <c r="B275" t="s">
        <v>25</v>
      </c>
      <c r="C275" t="s">
        <v>24</v>
      </c>
    </row>
    <row r="277" spans="1:20" x14ac:dyDescent="0.4">
      <c r="A277" t="s">
        <v>22</v>
      </c>
      <c r="B277" t="s">
        <v>34</v>
      </c>
      <c r="C277" t="s">
        <v>33</v>
      </c>
    </row>
    <row r="278" spans="1:20" x14ac:dyDescent="0.4">
      <c r="A278">
        <v>2021</v>
      </c>
      <c r="B278">
        <v>0.52700000000000002</v>
      </c>
      <c r="C278">
        <v>9.4899999999999998E-2</v>
      </c>
    </row>
    <row r="279" spans="1:20" x14ac:dyDescent="0.4">
      <c r="A279">
        <v>2022</v>
      </c>
      <c r="B279">
        <v>0.37259999999999999</v>
      </c>
      <c r="C279">
        <v>7.4999999999999997E-2</v>
      </c>
    </row>
    <row r="280" spans="1:20" x14ac:dyDescent="0.4">
      <c r="A280">
        <v>2023</v>
      </c>
      <c r="B280">
        <v>0.38140000000000002</v>
      </c>
      <c r="C280">
        <v>9.0800000000000006E-2</v>
      </c>
    </row>
    <row r="281" spans="1:20" x14ac:dyDescent="0.4">
      <c r="A281">
        <v>2024</v>
      </c>
      <c r="B281">
        <v>0.4239</v>
      </c>
      <c r="C281">
        <v>0.1202</v>
      </c>
    </row>
    <row r="282" spans="1:20" x14ac:dyDescent="0.4">
      <c r="A282">
        <v>2025</v>
      </c>
      <c r="B282">
        <v>0.69840000000000002</v>
      </c>
      <c r="C282">
        <v>0.2717</v>
      </c>
    </row>
    <row r="283" spans="1:20" x14ac:dyDescent="0.4">
      <c r="A283">
        <v>2026</v>
      </c>
      <c r="B283">
        <v>0.6109</v>
      </c>
      <c r="C283">
        <v>0.33639999999999998</v>
      </c>
    </row>
    <row r="284" spans="1:20" x14ac:dyDescent="0.4">
      <c r="A284">
        <v>2027</v>
      </c>
      <c r="B284">
        <v>0.6603</v>
      </c>
      <c r="C284">
        <v>0.44429999999999997</v>
      </c>
    </row>
    <row r="285" spans="1:20" x14ac:dyDescent="0.4">
      <c r="A285">
        <v>2028</v>
      </c>
      <c r="B285">
        <v>0.61560000000000004</v>
      </c>
      <c r="C285">
        <v>0.4405</v>
      </c>
    </row>
    <row r="286" spans="1:20" x14ac:dyDescent="0.4">
      <c r="A286">
        <v>2029</v>
      </c>
      <c r="B286">
        <v>0.6149</v>
      </c>
      <c r="C286">
        <v>0.43740000000000001</v>
      </c>
    </row>
    <row r="287" spans="1:20" x14ac:dyDescent="0.4">
      <c r="A287">
        <v>2030</v>
      </c>
      <c r="B287">
        <v>0.61629999999999996</v>
      </c>
      <c r="C287">
        <v>0.4466</v>
      </c>
    </row>
    <row r="288" spans="1:20" x14ac:dyDescent="0.4">
      <c r="A288">
        <v>2031</v>
      </c>
      <c r="B288">
        <v>0.61819999999999997</v>
      </c>
      <c r="C288">
        <v>0.46260000000000001</v>
      </c>
    </row>
    <row r="289" spans="1:21" x14ac:dyDescent="0.4">
      <c r="A289">
        <v>2032</v>
      </c>
      <c r="B289">
        <v>0.61880000000000002</v>
      </c>
      <c r="C289">
        <v>0.47660000000000002</v>
      </c>
    </row>
    <row r="290" spans="1:21" x14ac:dyDescent="0.4">
      <c r="A290">
        <v>2033</v>
      </c>
      <c r="B290">
        <v>0.61829999999999996</v>
      </c>
      <c r="C290">
        <v>0.47149999999999997</v>
      </c>
    </row>
    <row r="291" spans="1:21" x14ac:dyDescent="0.4">
      <c r="A291">
        <v>2034</v>
      </c>
      <c r="B291">
        <v>0.61799999999999999</v>
      </c>
      <c r="C291">
        <v>0.4667</v>
      </c>
    </row>
    <row r="293" spans="1:21" x14ac:dyDescent="0.4">
      <c r="A293" t="s">
        <v>26</v>
      </c>
      <c r="B293" t="s">
        <v>25</v>
      </c>
      <c r="C293" t="s">
        <v>24</v>
      </c>
      <c r="D293" t="s">
        <v>32</v>
      </c>
    </row>
    <row r="295" spans="1:21" x14ac:dyDescent="0.4">
      <c r="A295" t="s">
        <v>22</v>
      </c>
      <c r="B295" s="2">
        <v>0.01</v>
      </c>
      <c r="C295" s="2">
        <v>0.05</v>
      </c>
      <c r="D295" s="2">
        <v>0.1</v>
      </c>
      <c r="E295" s="2">
        <v>0.25</v>
      </c>
      <c r="F295" s="2">
        <v>0.5</v>
      </c>
      <c r="G295" s="2">
        <v>0.75</v>
      </c>
      <c r="H295" s="2">
        <v>0.9</v>
      </c>
      <c r="I295" s="2">
        <v>0.95</v>
      </c>
      <c r="J295" s="2">
        <v>0.99</v>
      </c>
      <c r="L295" t="s">
        <v>22</v>
      </c>
      <c r="M295" s="2">
        <v>0.01</v>
      </c>
      <c r="N295" s="2">
        <v>0.05</v>
      </c>
      <c r="O295" s="2">
        <v>0.1</v>
      </c>
      <c r="P295" s="2">
        <v>0.25</v>
      </c>
      <c r="Q295" s="2">
        <v>0.5</v>
      </c>
      <c r="R295" s="2">
        <v>0.75</v>
      </c>
      <c r="S295" s="2">
        <v>0.9</v>
      </c>
      <c r="T295" s="2">
        <v>0.95</v>
      </c>
      <c r="U295" s="2">
        <v>0.99</v>
      </c>
    </row>
    <row r="296" spans="1:21" x14ac:dyDescent="0.4">
      <c r="A296">
        <v>2021</v>
      </c>
      <c r="B296">
        <v>0.28360000000000002</v>
      </c>
      <c r="C296">
        <v>0.38619999999999999</v>
      </c>
      <c r="D296">
        <v>0.41810000000000003</v>
      </c>
      <c r="E296">
        <v>0.46310000000000001</v>
      </c>
      <c r="F296">
        <v>0.52449999999999997</v>
      </c>
      <c r="G296">
        <v>0.58340000000000003</v>
      </c>
      <c r="H296">
        <v>0.63739999999999997</v>
      </c>
      <c r="I296">
        <v>0.67230000000000001</v>
      </c>
      <c r="J296">
        <v>0.82850000000000001</v>
      </c>
      <c r="L296">
        <v>2021</v>
      </c>
      <c r="M296" s="14">
        <f>B296*0.63</f>
        <v>0.17866800000000002</v>
      </c>
      <c r="N296" s="14">
        <f t="shared" ref="N296:U309" si="4">C296*0.63</f>
        <v>0.24330599999999999</v>
      </c>
      <c r="O296" s="14">
        <f t="shared" si="4"/>
        <v>0.263403</v>
      </c>
      <c r="P296" s="14">
        <f t="shared" si="4"/>
        <v>0.29175299999999998</v>
      </c>
      <c r="Q296" s="14">
        <f t="shared" si="4"/>
        <v>0.33043499999999998</v>
      </c>
      <c r="R296" s="14">
        <f t="shared" si="4"/>
        <v>0.36754200000000004</v>
      </c>
      <c r="S296" s="14">
        <f t="shared" si="4"/>
        <v>0.40156199999999997</v>
      </c>
      <c r="T296" s="14">
        <f t="shared" si="4"/>
        <v>0.42354900000000001</v>
      </c>
      <c r="U296" s="14">
        <f t="shared" si="4"/>
        <v>0.52195500000000006</v>
      </c>
    </row>
    <row r="297" spans="1:21" x14ac:dyDescent="0.4">
      <c r="A297">
        <v>2022</v>
      </c>
      <c r="B297">
        <v>0.2258</v>
      </c>
      <c r="C297">
        <v>0.26040000000000002</v>
      </c>
      <c r="D297">
        <v>0.28010000000000002</v>
      </c>
      <c r="E297">
        <v>0.32490000000000002</v>
      </c>
      <c r="F297">
        <v>0.36380000000000001</v>
      </c>
      <c r="G297">
        <v>0.41489999999999999</v>
      </c>
      <c r="H297">
        <v>0.47249999999999998</v>
      </c>
      <c r="I297">
        <v>0.50970000000000004</v>
      </c>
      <c r="J297">
        <v>0.58789999999999998</v>
      </c>
      <c r="L297">
        <v>2022</v>
      </c>
      <c r="M297" s="14">
        <f t="shared" ref="M297:M309" si="5">B297*0.63</f>
        <v>0.14225399999999999</v>
      </c>
      <c r="N297" s="14">
        <f t="shared" si="4"/>
        <v>0.164052</v>
      </c>
      <c r="O297" s="14">
        <f t="shared" si="4"/>
        <v>0.17646300000000001</v>
      </c>
      <c r="P297" s="14">
        <f t="shared" si="4"/>
        <v>0.20468700000000001</v>
      </c>
      <c r="Q297" s="14">
        <f t="shared" si="4"/>
        <v>0.22919400000000001</v>
      </c>
      <c r="R297" s="14">
        <f t="shared" si="4"/>
        <v>0.26138699999999998</v>
      </c>
      <c r="S297" s="14">
        <f t="shared" si="4"/>
        <v>0.29767499999999997</v>
      </c>
      <c r="T297" s="14">
        <f t="shared" si="4"/>
        <v>0.32111100000000004</v>
      </c>
      <c r="U297" s="14">
        <f t="shared" si="4"/>
        <v>0.37037700000000001</v>
      </c>
    </row>
    <row r="298" spans="1:21" x14ac:dyDescent="0.4">
      <c r="A298">
        <v>2023</v>
      </c>
      <c r="B298">
        <v>0.2238</v>
      </c>
      <c r="C298">
        <v>0.25530000000000003</v>
      </c>
      <c r="D298">
        <v>0.27650000000000002</v>
      </c>
      <c r="E298">
        <v>0.31769999999999998</v>
      </c>
      <c r="F298">
        <v>0.36940000000000001</v>
      </c>
      <c r="G298">
        <v>0.43149999999999999</v>
      </c>
      <c r="H298">
        <v>0.50280000000000002</v>
      </c>
      <c r="I298">
        <v>0.55089999999999995</v>
      </c>
      <c r="J298">
        <v>0.64949999999999997</v>
      </c>
      <c r="L298">
        <v>2023</v>
      </c>
      <c r="M298" s="14">
        <f t="shared" si="5"/>
        <v>0.14099400000000001</v>
      </c>
      <c r="N298" s="14">
        <f t="shared" si="4"/>
        <v>0.16083900000000001</v>
      </c>
      <c r="O298" s="14">
        <f t="shared" si="4"/>
        <v>0.17419500000000002</v>
      </c>
      <c r="P298" s="14">
        <f t="shared" si="4"/>
        <v>0.200151</v>
      </c>
      <c r="Q298" s="14">
        <f t="shared" si="4"/>
        <v>0.23272200000000001</v>
      </c>
      <c r="R298" s="14">
        <f t="shared" si="4"/>
        <v>0.271845</v>
      </c>
      <c r="S298" s="14">
        <f t="shared" si="4"/>
        <v>0.31676400000000005</v>
      </c>
      <c r="T298" s="14">
        <f t="shared" si="4"/>
        <v>0.34706699999999996</v>
      </c>
      <c r="U298" s="14">
        <f t="shared" si="4"/>
        <v>0.40918499999999997</v>
      </c>
    </row>
    <row r="299" spans="1:21" x14ac:dyDescent="0.4">
      <c r="A299">
        <v>2024</v>
      </c>
      <c r="B299">
        <v>0.23280000000000001</v>
      </c>
      <c r="C299">
        <v>0.27100000000000002</v>
      </c>
      <c r="D299">
        <v>0.29449999999999998</v>
      </c>
      <c r="E299">
        <v>0.3397</v>
      </c>
      <c r="F299">
        <v>0.40279999999999999</v>
      </c>
      <c r="G299">
        <v>0.48430000000000001</v>
      </c>
      <c r="H299">
        <v>0.57979999999999998</v>
      </c>
      <c r="I299">
        <v>0.64880000000000004</v>
      </c>
      <c r="J299">
        <v>0.81040000000000001</v>
      </c>
      <c r="L299">
        <v>2024</v>
      </c>
      <c r="M299" s="14">
        <f t="shared" si="5"/>
        <v>0.14666400000000002</v>
      </c>
      <c r="N299" s="14">
        <f t="shared" si="4"/>
        <v>0.17073000000000002</v>
      </c>
      <c r="O299" s="14">
        <f t="shared" si="4"/>
        <v>0.18553499999999998</v>
      </c>
      <c r="P299" s="14">
        <f t="shared" si="4"/>
        <v>0.21401100000000001</v>
      </c>
      <c r="Q299" s="14">
        <f t="shared" si="4"/>
        <v>0.25376399999999999</v>
      </c>
      <c r="R299" s="14">
        <f t="shared" si="4"/>
        <v>0.30510900000000002</v>
      </c>
      <c r="S299" s="14">
        <f t="shared" si="4"/>
        <v>0.36527399999999999</v>
      </c>
      <c r="T299" s="14">
        <f t="shared" si="4"/>
        <v>0.40874400000000005</v>
      </c>
      <c r="U299" s="14">
        <f t="shared" si="4"/>
        <v>0.51055200000000001</v>
      </c>
    </row>
    <row r="300" spans="1:21" x14ac:dyDescent="0.4">
      <c r="A300">
        <v>2025</v>
      </c>
      <c r="B300">
        <v>0.33460000000000001</v>
      </c>
      <c r="C300">
        <v>0.40200000000000002</v>
      </c>
      <c r="D300">
        <v>0.44140000000000001</v>
      </c>
      <c r="E300">
        <v>0.52029999999999998</v>
      </c>
      <c r="F300">
        <v>0.63739999999999997</v>
      </c>
      <c r="G300">
        <v>0.80420000000000003</v>
      </c>
      <c r="H300">
        <v>1.0209999999999999</v>
      </c>
      <c r="I300">
        <v>1.1937</v>
      </c>
      <c r="J300">
        <v>1.6615</v>
      </c>
      <c r="L300">
        <v>2025</v>
      </c>
      <c r="M300" s="14">
        <f t="shared" si="5"/>
        <v>0.21079800000000001</v>
      </c>
      <c r="N300" s="14">
        <f t="shared" si="4"/>
        <v>0.25326000000000004</v>
      </c>
      <c r="O300" s="14">
        <f t="shared" si="4"/>
        <v>0.278082</v>
      </c>
      <c r="P300" s="14">
        <f t="shared" si="4"/>
        <v>0.327789</v>
      </c>
      <c r="Q300" s="14">
        <f t="shared" si="4"/>
        <v>0.40156199999999997</v>
      </c>
      <c r="R300" s="14">
        <f t="shared" si="4"/>
        <v>0.50664600000000004</v>
      </c>
      <c r="S300" s="14">
        <f t="shared" si="4"/>
        <v>0.64322999999999997</v>
      </c>
      <c r="T300" s="14">
        <f t="shared" si="4"/>
        <v>0.75203100000000001</v>
      </c>
      <c r="U300" s="14">
        <f t="shared" si="4"/>
        <v>1.046745</v>
      </c>
    </row>
    <row r="301" spans="1:21" x14ac:dyDescent="0.4">
      <c r="A301">
        <v>2026</v>
      </c>
      <c r="B301">
        <v>0.25469999999999998</v>
      </c>
      <c r="C301">
        <v>0.31390000000000001</v>
      </c>
      <c r="D301">
        <v>0.34899999999999998</v>
      </c>
      <c r="E301">
        <v>0.41980000000000001</v>
      </c>
      <c r="F301">
        <v>0.53110000000000002</v>
      </c>
      <c r="G301">
        <v>0.70009999999999994</v>
      </c>
      <c r="H301">
        <v>0.93700000000000006</v>
      </c>
      <c r="I301">
        <v>1.1473</v>
      </c>
      <c r="J301">
        <v>1.8367</v>
      </c>
      <c r="L301">
        <v>2026</v>
      </c>
      <c r="M301" s="14">
        <f t="shared" si="5"/>
        <v>0.16046099999999999</v>
      </c>
      <c r="N301" s="14">
        <f t="shared" si="4"/>
        <v>0.19775700000000002</v>
      </c>
      <c r="O301" s="14">
        <f t="shared" si="4"/>
        <v>0.21986999999999998</v>
      </c>
      <c r="P301" s="14">
        <f t="shared" si="4"/>
        <v>0.26447399999999999</v>
      </c>
      <c r="Q301" s="14">
        <f t="shared" si="4"/>
        <v>0.33459300000000003</v>
      </c>
      <c r="R301" s="14">
        <f t="shared" si="4"/>
        <v>0.44106299999999998</v>
      </c>
      <c r="S301" s="14">
        <f t="shared" si="4"/>
        <v>0.59031</v>
      </c>
      <c r="T301" s="14">
        <f t="shared" si="4"/>
        <v>0.72279899999999997</v>
      </c>
      <c r="U301" s="14">
        <f t="shared" si="4"/>
        <v>1.1571210000000001</v>
      </c>
    </row>
    <row r="302" spans="1:21" x14ac:dyDescent="0.4">
      <c r="A302">
        <v>2027</v>
      </c>
      <c r="B302">
        <v>0.25230000000000002</v>
      </c>
      <c r="C302">
        <v>0.318</v>
      </c>
      <c r="D302">
        <v>0.35549999999999998</v>
      </c>
      <c r="E302">
        <v>0.433</v>
      </c>
      <c r="F302">
        <v>0.55589999999999995</v>
      </c>
      <c r="G302">
        <v>0.74729999999999996</v>
      </c>
      <c r="H302">
        <v>1.0357000000000001</v>
      </c>
      <c r="I302">
        <v>1.3055000000000001</v>
      </c>
      <c r="J302">
        <v>2.2761</v>
      </c>
      <c r="L302">
        <v>2027</v>
      </c>
      <c r="M302" s="14">
        <f t="shared" si="5"/>
        <v>0.15894900000000001</v>
      </c>
      <c r="N302" s="14">
        <f t="shared" si="4"/>
        <v>0.20034000000000002</v>
      </c>
      <c r="O302" s="14">
        <f t="shared" si="4"/>
        <v>0.223965</v>
      </c>
      <c r="P302" s="14">
        <f t="shared" si="4"/>
        <v>0.27278999999999998</v>
      </c>
      <c r="Q302" s="14">
        <f t="shared" si="4"/>
        <v>0.35021699999999995</v>
      </c>
      <c r="R302" s="14">
        <f t="shared" si="4"/>
        <v>0.47079899999999997</v>
      </c>
      <c r="S302" s="14">
        <f t="shared" si="4"/>
        <v>0.65249100000000004</v>
      </c>
      <c r="T302" s="14">
        <f t="shared" si="4"/>
        <v>0.82246500000000011</v>
      </c>
      <c r="U302" s="14">
        <f t="shared" si="4"/>
        <v>1.433943</v>
      </c>
    </row>
    <row r="303" spans="1:21" x14ac:dyDescent="0.4">
      <c r="A303">
        <v>2028</v>
      </c>
      <c r="B303">
        <v>0.2303</v>
      </c>
      <c r="C303">
        <v>0.28960000000000002</v>
      </c>
      <c r="D303">
        <v>0.32469999999999999</v>
      </c>
      <c r="E303">
        <v>0.39710000000000001</v>
      </c>
      <c r="F303">
        <v>0.51149999999999995</v>
      </c>
      <c r="G303">
        <v>0.69269999999999998</v>
      </c>
      <c r="H303">
        <v>0.97489999999999999</v>
      </c>
      <c r="I303">
        <v>1.2374000000000001</v>
      </c>
      <c r="J303">
        <v>2.2094</v>
      </c>
      <c r="L303">
        <v>2028</v>
      </c>
      <c r="M303" s="14">
        <f t="shared" si="5"/>
        <v>0.145089</v>
      </c>
      <c r="N303" s="14">
        <f t="shared" si="4"/>
        <v>0.18244800000000003</v>
      </c>
      <c r="O303" s="14">
        <f t="shared" si="4"/>
        <v>0.20456099999999999</v>
      </c>
      <c r="P303" s="14">
        <f t="shared" si="4"/>
        <v>0.25017300000000003</v>
      </c>
      <c r="Q303" s="14">
        <f t="shared" si="4"/>
        <v>0.32224499999999995</v>
      </c>
      <c r="R303" s="14">
        <f t="shared" si="4"/>
        <v>0.43640099999999998</v>
      </c>
      <c r="S303" s="14">
        <f t="shared" si="4"/>
        <v>0.61418700000000004</v>
      </c>
      <c r="T303" s="14">
        <f t="shared" si="4"/>
        <v>0.77956200000000009</v>
      </c>
      <c r="U303" s="14">
        <f t="shared" si="4"/>
        <v>1.3919220000000001</v>
      </c>
    </row>
    <row r="304" spans="1:21" x14ac:dyDescent="0.4">
      <c r="A304">
        <v>2029</v>
      </c>
      <c r="B304">
        <v>0.22850000000000001</v>
      </c>
      <c r="C304">
        <v>0.2873</v>
      </c>
      <c r="D304">
        <v>0.32219999999999999</v>
      </c>
      <c r="E304">
        <v>0.39510000000000001</v>
      </c>
      <c r="F304">
        <v>0.50970000000000004</v>
      </c>
      <c r="G304">
        <v>0.69320000000000004</v>
      </c>
      <c r="H304">
        <v>0.97519999999999996</v>
      </c>
      <c r="I304">
        <v>1.2508999999999999</v>
      </c>
      <c r="J304">
        <v>2.2650999999999999</v>
      </c>
      <c r="L304">
        <v>2029</v>
      </c>
      <c r="M304" s="14">
        <f t="shared" si="5"/>
        <v>0.143955</v>
      </c>
      <c r="N304" s="14">
        <f t="shared" si="4"/>
        <v>0.18099899999999999</v>
      </c>
      <c r="O304" s="14">
        <f t="shared" si="4"/>
        <v>0.202986</v>
      </c>
      <c r="P304" s="14">
        <f t="shared" si="4"/>
        <v>0.248913</v>
      </c>
      <c r="Q304" s="14">
        <f t="shared" si="4"/>
        <v>0.32111100000000004</v>
      </c>
      <c r="R304" s="14">
        <f t="shared" si="4"/>
        <v>0.43671600000000005</v>
      </c>
      <c r="S304" s="14">
        <f t="shared" si="4"/>
        <v>0.61437599999999992</v>
      </c>
      <c r="T304" s="14">
        <f t="shared" si="4"/>
        <v>0.78806699999999996</v>
      </c>
      <c r="U304" s="14">
        <f t="shared" si="4"/>
        <v>1.4270129999999999</v>
      </c>
    </row>
    <row r="305" spans="1:21" x14ac:dyDescent="0.4">
      <c r="A305">
        <v>2030</v>
      </c>
      <c r="B305">
        <v>0.22789999999999999</v>
      </c>
      <c r="C305">
        <v>0.28610000000000002</v>
      </c>
      <c r="D305">
        <v>0.32050000000000001</v>
      </c>
      <c r="E305">
        <v>0.39329999999999998</v>
      </c>
      <c r="F305">
        <v>0.5081</v>
      </c>
      <c r="G305">
        <v>0.69259999999999999</v>
      </c>
      <c r="H305">
        <v>0.97809999999999997</v>
      </c>
      <c r="I305">
        <v>1.2595000000000001</v>
      </c>
      <c r="J305">
        <v>2.3367</v>
      </c>
      <c r="L305">
        <v>2030</v>
      </c>
      <c r="M305" s="14">
        <f t="shared" si="5"/>
        <v>0.14357699999999998</v>
      </c>
      <c r="N305" s="14">
        <f t="shared" si="4"/>
        <v>0.18024300000000001</v>
      </c>
      <c r="O305" s="14">
        <f t="shared" si="4"/>
        <v>0.20191500000000001</v>
      </c>
      <c r="P305" s="14">
        <f t="shared" si="4"/>
        <v>0.247779</v>
      </c>
      <c r="Q305" s="14">
        <f t="shared" si="4"/>
        <v>0.32010300000000003</v>
      </c>
      <c r="R305" s="14">
        <f t="shared" si="4"/>
        <v>0.436338</v>
      </c>
      <c r="S305" s="14">
        <f t="shared" si="4"/>
        <v>0.61620299999999995</v>
      </c>
      <c r="T305" s="14">
        <f t="shared" si="4"/>
        <v>0.793485</v>
      </c>
      <c r="U305" s="14">
        <f t="shared" si="4"/>
        <v>1.472121</v>
      </c>
    </row>
    <row r="306" spans="1:21" x14ac:dyDescent="0.4">
      <c r="A306">
        <v>2031</v>
      </c>
      <c r="B306">
        <v>0.2278</v>
      </c>
      <c r="C306">
        <v>0.2853</v>
      </c>
      <c r="D306">
        <v>0.32019999999999998</v>
      </c>
      <c r="E306">
        <v>0.39200000000000002</v>
      </c>
      <c r="F306">
        <v>0.50690000000000002</v>
      </c>
      <c r="G306">
        <v>0.69340000000000002</v>
      </c>
      <c r="H306">
        <v>0.98170000000000002</v>
      </c>
      <c r="I306">
        <v>1.2665</v>
      </c>
      <c r="J306">
        <v>2.3935</v>
      </c>
      <c r="L306">
        <v>2031</v>
      </c>
      <c r="M306" s="14">
        <f t="shared" si="5"/>
        <v>0.143514</v>
      </c>
      <c r="N306" s="14">
        <f t="shared" si="4"/>
        <v>0.17973900000000001</v>
      </c>
      <c r="O306" s="14">
        <f t="shared" si="4"/>
        <v>0.20172599999999999</v>
      </c>
      <c r="P306" s="14">
        <f t="shared" si="4"/>
        <v>0.24696000000000001</v>
      </c>
      <c r="Q306" s="14">
        <f t="shared" si="4"/>
        <v>0.31934699999999999</v>
      </c>
      <c r="R306" s="14">
        <f t="shared" si="4"/>
        <v>0.43684200000000001</v>
      </c>
      <c r="S306" s="14">
        <f t="shared" si="4"/>
        <v>0.61847099999999999</v>
      </c>
      <c r="T306" s="14">
        <f t="shared" si="4"/>
        <v>0.79789500000000002</v>
      </c>
      <c r="U306" s="14">
        <f t="shared" si="4"/>
        <v>1.5079050000000001</v>
      </c>
    </row>
    <row r="307" spans="1:21" x14ac:dyDescent="0.4">
      <c r="A307">
        <v>2032</v>
      </c>
      <c r="B307">
        <v>0.2258</v>
      </c>
      <c r="C307">
        <v>0.28420000000000001</v>
      </c>
      <c r="D307">
        <v>0.31940000000000002</v>
      </c>
      <c r="E307">
        <v>0.39119999999999999</v>
      </c>
      <c r="F307">
        <v>0.50619999999999998</v>
      </c>
      <c r="G307">
        <v>0.69369999999999998</v>
      </c>
      <c r="H307">
        <v>0.98350000000000004</v>
      </c>
      <c r="I307">
        <v>1.2697000000000001</v>
      </c>
      <c r="J307">
        <v>2.3557999999999999</v>
      </c>
      <c r="L307">
        <v>2032</v>
      </c>
      <c r="M307" s="14">
        <f t="shared" si="5"/>
        <v>0.14225399999999999</v>
      </c>
      <c r="N307" s="14">
        <f t="shared" si="4"/>
        <v>0.17904600000000001</v>
      </c>
      <c r="O307" s="14">
        <f t="shared" si="4"/>
        <v>0.20122200000000001</v>
      </c>
      <c r="P307" s="14">
        <f t="shared" si="4"/>
        <v>0.24645600000000001</v>
      </c>
      <c r="Q307" s="14">
        <f t="shared" si="4"/>
        <v>0.31890599999999997</v>
      </c>
      <c r="R307" s="14">
        <f t="shared" si="4"/>
        <v>0.437031</v>
      </c>
      <c r="S307" s="14">
        <f t="shared" si="4"/>
        <v>0.61960500000000007</v>
      </c>
      <c r="T307" s="14">
        <f t="shared" si="4"/>
        <v>0.79991100000000004</v>
      </c>
      <c r="U307" s="14">
        <f t="shared" si="4"/>
        <v>1.484154</v>
      </c>
    </row>
    <row r="308" spans="1:21" x14ac:dyDescent="0.4">
      <c r="A308">
        <v>2033</v>
      </c>
      <c r="B308">
        <v>0.22539999999999999</v>
      </c>
      <c r="C308">
        <v>0.28349999999999997</v>
      </c>
      <c r="D308">
        <v>0.31869999999999998</v>
      </c>
      <c r="E308">
        <v>0.39050000000000001</v>
      </c>
      <c r="F308">
        <v>0.50590000000000002</v>
      </c>
      <c r="G308">
        <v>0.69369999999999998</v>
      </c>
      <c r="H308">
        <v>0.98560000000000003</v>
      </c>
      <c r="I308">
        <v>1.2729999999999999</v>
      </c>
      <c r="J308">
        <v>2.3306</v>
      </c>
      <c r="L308">
        <v>2033</v>
      </c>
      <c r="M308" s="14">
        <f t="shared" si="5"/>
        <v>0.14200199999999999</v>
      </c>
      <c r="N308" s="14">
        <f t="shared" si="4"/>
        <v>0.17860499999999999</v>
      </c>
      <c r="O308" s="14">
        <f t="shared" si="4"/>
        <v>0.20078099999999999</v>
      </c>
      <c r="P308" s="14">
        <f t="shared" si="4"/>
        <v>0.24601500000000001</v>
      </c>
      <c r="Q308" s="14">
        <f t="shared" si="4"/>
        <v>0.31871700000000003</v>
      </c>
      <c r="R308" s="14">
        <f t="shared" si="4"/>
        <v>0.437031</v>
      </c>
      <c r="S308" s="14">
        <f t="shared" si="4"/>
        <v>0.62092800000000004</v>
      </c>
      <c r="T308" s="14">
        <f t="shared" si="4"/>
        <v>0.80198999999999998</v>
      </c>
      <c r="U308" s="14">
        <f t="shared" si="4"/>
        <v>1.468278</v>
      </c>
    </row>
    <row r="309" spans="1:21" x14ac:dyDescent="0.4">
      <c r="A309">
        <v>2034</v>
      </c>
      <c r="B309">
        <v>0.22509999999999999</v>
      </c>
      <c r="C309">
        <v>0.2838</v>
      </c>
      <c r="D309">
        <v>0.31850000000000001</v>
      </c>
      <c r="E309">
        <v>0.3901</v>
      </c>
      <c r="F309">
        <v>0.50539999999999996</v>
      </c>
      <c r="G309">
        <v>0.69120000000000004</v>
      </c>
      <c r="H309">
        <v>0.98929999999999996</v>
      </c>
      <c r="I309">
        <v>1.2765</v>
      </c>
      <c r="J309">
        <v>2.3458000000000001</v>
      </c>
      <c r="L309">
        <v>2034</v>
      </c>
      <c r="M309" s="14">
        <f t="shared" si="5"/>
        <v>0.14181299999999999</v>
      </c>
      <c r="N309" s="14">
        <f t="shared" si="4"/>
        <v>0.17879400000000001</v>
      </c>
      <c r="O309" s="14">
        <f t="shared" si="4"/>
        <v>0.200655</v>
      </c>
      <c r="P309" s="14">
        <f t="shared" si="4"/>
        <v>0.24576300000000001</v>
      </c>
      <c r="Q309" s="14">
        <f t="shared" si="4"/>
        <v>0.31840199999999996</v>
      </c>
      <c r="R309" s="14">
        <f t="shared" si="4"/>
        <v>0.43545600000000001</v>
      </c>
      <c r="S309" s="14">
        <f t="shared" si="4"/>
        <v>0.62325900000000001</v>
      </c>
      <c r="T309" s="14">
        <f t="shared" si="4"/>
        <v>0.80419499999999999</v>
      </c>
      <c r="U309" s="14">
        <f t="shared" si="4"/>
        <v>1.477854</v>
      </c>
    </row>
    <row r="311" spans="1:21" x14ac:dyDescent="0.4">
      <c r="A311" s="1">
        <v>45658</v>
      </c>
      <c r="B311" t="s">
        <v>3</v>
      </c>
      <c r="C311" t="s">
        <v>2</v>
      </c>
      <c r="D311" t="s">
        <v>1</v>
      </c>
      <c r="E311" t="s">
        <v>0</v>
      </c>
      <c r="F311" t="s">
        <v>31</v>
      </c>
      <c r="G311">
        <v>1000</v>
      </c>
      <c r="H311" t="s">
        <v>30</v>
      </c>
    </row>
    <row r="313" spans="1:21" x14ac:dyDescent="0.4">
      <c r="A313">
        <v>2021</v>
      </c>
    </row>
    <row r="315" spans="1:21" x14ac:dyDescent="0.4">
      <c r="A315" t="s">
        <v>0</v>
      </c>
      <c r="B315" s="2">
        <v>0.01</v>
      </c>
      <c r="C315" s="2">
        <v>0.05</v>
      </c>
      <c r="D315" s="2">
        <v>0.1</v>
      </c>
      <c r="E315" s="2">
        <v>0.25</v>
      </c>
      <c r="F315" s="2">
        <v>0.5</v>
      </c>
      <c r="G315" s="2">
        <v>0.75</v>
      </c>
      <c r="H315" s="2">
        <v>0.9</v>
      </c>
      <c r="I315" s="2">
        <v>0.95</v>
      </c>
      <c r="J315" s="2">
        <v>0.99</v>
      </c>
    </row>
    <row r="316" spans="1:21" x14ac:dyDescent="0.4">
      <c r="A316">
        <v>1</v>
      </c>
      <c r="B316">
        <v>140.23699999999999</v>
      </c>
      <c r="C316">
        <v>175.09</v>
      </c>
      <c r="D316">
        <v>184.83199999999999</v>
      </c>
      <c r="E316">
        <v>216.71299999999999</v>
      </c>
      <c r="F316">
        <v>261.14800000000002</v>
      </c>
      <c r="G316">
        <v>317.36900000000003</v>
      </c>
      <c r="H316">
        <v>385.62900000000002</v>
      </c>
      <c r="I316">
        <v>409.50799999999998</v>
      </c>
      <c r="J316">
        <v>464.92500000000001</v>
      </c>
    </row>
    <row r="317" spans="1:21" x14ac:dyDescent="0.4">
      <c r="A317">
        <v>2</v>
      </c>
      <c r="B317">
        <v>58.938899999999997</v>
      </c>
      <c r="C317">
        <v>77.947699999999998</v>
      </c>
      <c r="D317">
        <v>80.861999999999995</v>
      </c>
      <c r="E317">
        <v>85.445099999999996</v>
      </c>
      <c r="F317">
        <v>100.4175</v>
      </c>
      <c r="G317">
        <v>112.524</v>
      </c>
      <c r="H317">
        <v>125.34699999999999</v>
      </c>
      <c r="I317">
        <v>138.49799999999999</v>
      </c>
      <c r="J317">
        <v>148.43899999999999</v>
      </c>
    </row>
    <row r="318" spans="1:21" x14ac:dyDescent="0.4">
      <c r="A318">
        <v>3</v>
      </c>
      <c r="B318">
        <v>34.198599999999999</v>
      </c>
      <c r="C318">
        <v>41.346600000000002</v>
      </c>
      <c r="D318">
        <v>43.517699999999998</v>
      </c>
      <c r="E318">
        <v>47.938099999999999</v>
      </c>
      <c r="F318">
        <v>54.8765</v>
      </c>
      <c r="G318">
        <v>60.445500000000003</v>
      </c>
      <c r="H318">
        <v>67.3245</v>
      </c>
      <c r="I318">
        <v>74.481700000000004</v>
      </c>
      <c r="J318">
        <v>84.833500000000001</v>
      </c>
    </row>
    <row r="319" spans="1:21" x14ac:dyDescent="0.4">
      <c r="A319">
        <v>4</v>
      </c>
      <c r="B319">
        <v>4.4701000000000004</v>
      </c>
      <c r="C319">
        <v>6.3288000000000002</v>
      </c>
      <c r="D319">
        <v>7.3712</v>
      </c>
      <c r="E319">
        <v>8.3369</v>
      </c>
      <c r="F319">
        <v>9.5329999999999995</v>
      </c>
      <c r="G319">
        <v>10.835800000000001</v>
      </c>
      <c r="H319">
        <v>12.5169</v>
      </c>
      <c r="I319">
        <v>14.0136</v>
      </c>
      <c r="J319">
        <v>20.605399999999999</v>
      </c>
    </row>
    <row r="320" spans="1:21" x14ac:dyDescent="0.4">
      <c r="A320">
        <v>5</v>
      </c>
      <c r="B320">
        <v>1.2938000000000001</v>
      </c>
      <c r="C320">
        <v>1.6031</v>
      </c>
      <c r="D320">
        <v>1.7337</v>
      </c>
      <c r="E320">
        <v>2.2441</v>
      </c>
      <c r="F320">
        <v>2.6907000000000001</v>
      </c>
      <c r="G320">
        <v>3.2694999999999999</v>
      </c>
      <c r="H320">
        <v>4.2092000000000001</v>
      </c>
      <c r="I320">
        <v>4.8898000000000001</v>
      </c>
      <c r="J320">
        <v>7.4995000000000003</v>
      </c>
    </row>
    <row r="321" spans="1:10" x14ac:dyDescent="0.4">
      <c r="A321">
        <v>6</v>
      </c>
      <c r="B321">
        <v>0.29170000000000001</v>
      </c>
      <c r="C321">
        <v>0.48420000000000002</v>
      </c>
      <c r="D321">
        <v>0.60240000000000005</v>
      </c>
      <c r="E321">
        <v>0.69359999999999999</v>
      </c>
      <c r="F321">
        <v>0.96650000000000003</v>
      </c>
      <c r="G321">
        <v>1.2286999999999999</v>
      </c>
      <c r="H321">
        <v>1.8233999999999999</v>
      </c>
      <c r="I321">
        <v>2.1764999999999999</v>
      </c>
      <c r="J321">
        <v>5.0518000000000001</v>
      </c>
    </row>
    <row r="322" spans="1:10" x14ac:dyDescent="0.4">
      <c r="A322">
        <v>7</v>
      </c>
      <c r="B322">
        <v>2.7799999999999998E-2</v>
      </c>
      <c r="C322">
        <v>5.8400000000000001E-2</v>
      </c>
      <c r="D322">
        <v>7.3899999999999993E-2</v>
      </c>
      <c r="E322">
        <v>0.10249999999999999</v>
      </c>
      <c r="F322">
        <v>0.15909999999999999</v>
      </c>
      <c r="G322">
        <v>0.2261</v>
      </c>
      <c r="H322">
        <v>0.31640000000000001</v>
      </c>
      <c r="I322">
        <v>0.39960000000000001</v>
      </c>
      <c r="J322">
        <v>1.3048999999999999</v>
      </c>
    </row>
    <row r="323" spans="1:10" x14ac:dyDescent="0.4">
      <c r="A323">
        <v>8</v>
      </c>
      <c r="B323">
        <v>8.2000000000000007E-3</v>
      </c>
      <c r="C323">
        <v>2.92E-2</v>
      </c>
      <c r="D323">
        <v>3.6999999999999998E-2</v>
      </c>
      <c r="E323">
        <v>5.8400000000000001E-2</v>
      </c>
      <c r="F323">
        <v>0.10920000000000001</v>
      </c>
      <c r="G323">
        <v>0.16700000000000001</v>
      </c>
      <c r="H323">
        <v>0.25750000000000001</v>
      </c>
      <c r="I323">
        <v>0.4456</v>
      </c>
      <c r="J323">
        <v>2.1858</v>
      </c>
    </row>
    <row r="324" spans="1:10" x14ac:dyDescent="0.4">
      <c r="A324">
        <v>9</v>
      </c>
      <c r="B324">
        <v>2.9999999999999997E-4</v>
      </c>
      <c r="C324">
        <v>1.4E-3</v>
      </c>
      <c r="D324">
        <v>2.0999999999999999E-3</v>
      </c>
      <c r="E324">
        <v>3.5000000000000001E-3</v>
      </c>
      <c r="F324">
        <v>8.5000000000000006E-3</v>
      </c>
      <c r="G324">
        <v>1.44E-2</v>
      </c>
      <c r="H324">
        <v>2.23E-2</v>
      </c>
      <c r="I324">
        <v>3.3399999999999999E-2</v>
      </c>
      <c r="J324">
        <v>0.2402</v>
      </c>
    </row>
    <row r="325" spans="1:10" x14ac:dyDescent="0.4">
      <c r="A325">
        <v>10</v>
      </c>
      <c r="B325">
        <v>1E-4</v>
      </c>
      <c r="C325">
        <v>5.0000000000000001E-4</v>
      </c>
      <c r="D325">
        <v>6.9999999999999999E-4</v>
      </c>
      <c r="E325">
        <v>1.5E-3</v>
      </c>
      <c r="F325">
        <v>4.3E-3</v>
      </c>
      <c r="G325">
        <v>6.8999999999999999E-3</v>
      </c>
      <c r="H325">
        <v>1.43E-2</v>
      </c>
      <c r="I325">
        <v>2.4199999999999999E-2</v>
      </c>
      <c r="J325">
        <v>0.26090000000000002</v>
      </c>
    </row>
    <row r="326" spans="1:10" x14ac:dyDescent="0.4">
      <c r="A326">
        <v>11</v>
      </c>
      <c r="B326">
        <v>0</v>
      </c>
      <c r="C326">
        <v>1E-4</v>
      </c>
      <c r="D326">
        <v>2.0000000000000001E-4</v>
      </c>
      <c r="E326">
        <v>4.0000000000000002E-4</v>
      </c>
      <c r="F326">
        <v>1.4E-3</v>
      </c>
      <c r="G326">
        <v>2.8E-3</v>
      </c>
      <c r="H326">
        <v>5.1000000000000004E-3</v>
      </c>
      <c r="I326">
        <v>8.2000000000000007E-3</v>
      </c>
      <c r="J326">
        <v>0.1988</v>
      </c>
    </row>
    <row r="327" spans="1:10" x14ac:dyDescent="0.4">
      <c r="A327">
        <v>12</v>
      </c>
      <c r="B327">
        <v>0</v>
      </c>
      <c r="C327">
        <v>0</v>
      </c>
      <c r="D327">
        <v>0</v>
      </c>
      <c r="E327">
        <v>0</v>
      </c>
      <c r="F327">
        <v>1E-4</v>
      </c>
      <c r="G327">
        <v>2.9999999999999997E-4</v>
      </c>
      <c r="H327">
        <v>5.0000000000000001E-4</v>
      </c>
      <c r="I327">
        <v>8.0000000000000004E-4</v>
      </c>
      <c r="J327">
        <v>2.8000000000000001E-2</v>
      </c>
    </row>
    <row r="328" spans="1:10" x14ac:dyDescent="0.4">
      <c r="A328">
        <v>13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2.0000000000000001E-4</v>
      </c>
      <c r="H328">
        <v>2.9999999999999997E-4</v>
      </c>
      <c r="I328">
        <v>5.0000000000000001E-4</v>
      </c>
      <c r="J328">
        <v>3.1600000000000003E-2</v>
      </c>
    </row>
    <row r="329" spans="1:10" x14ac:dyDescent="0.4">
      <c r="A329">
        <v>14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1E-4</v>
      </c>
      <c r="I329">
        <v>1E-4</v>
      </c>
      <c r="J329">
        <v>1.83E-2</v>
      </c>
    </row>
    <row r="330" spans="1:10" x14ac:dyDescent="0.4">
      <c r="A330" t="s">
        <v>29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1.2699999999999999E-2</v>
      </c>
    </row>
    <row r="332" spans="1:10" x14ac:dyDescent="0.4">
      <c r="A332">
        <v>2022</v>
      </c>
    </row>
    <row r="334" spans="1:10" x14ac:dyDescent="0.4">
      <c r="A334" t="s">
        <v>0</v>
      </c>
      <c r="B334" s="2">
        <v>0.01</v>
      </c>
      <c r="C334" s="2">
        <v>0.05</v>
      </c>
      <c r="D334" s="2">
        <v>0.1</v>
      </c>
      <c r="E334" s="2">
        <v>0.25</v>
      </c>
      <c r="F334" s="2">
        <v>0.5</v>
      </c>
      <c r="G334" s="2">
        <v>0.75</v>
      </c>
      <c r="H334" s="2">
        <v>0.9</v>
      </c>
      <c r="I334" s="2">
        <v>0.95</v>
      </c>
      <c r="J334" s="2">
        <v>0.99</v>
      </c>
    </row>
    <row r="335" spans="1:10" x14ac:dyDescent="0.4">
      <c r="A335">
        <v>1</v>
      </c>
      <c r="B335">
        <v>68.625500000000002</v>
      </c>
      <c r="C335">
        <v>70.597399999999993</v>
      </c>
      <c r="D335">
        <v>79.130899999999997</v>
      </c>
      <c r="E335">
        <v>104.7516</v>
      </c>
      <c r="F335">
        <v>168.54839999999999</v>
      </c>
      <c r="G335">
        <v>236.24850000000001</v>
      </c>
      <c r="H335">
        <v>278.2079</v>
      </c>
      <c r="I335">
        <v>305.68669999999997</v>
      </c>
      <c r="J335">
        <v>325.32900000000001</v>
      </c>
    </row>
    <row r="336" spans="1:10" x14ac:dyDescent="0.4">
      <c r="A336">
        <v>2</v>
      </c>
      <c r="B336">
        <v>87.806399999999996</v>
      </c>
      <c r="C336">
        <v>104.10250000000001</v>
      </c>
      <c r="D336">
        <v>110.9385</v>
      </c>
      <c r="E336">
        <v>128.11539999999999</v>
      </c>
      <c r="F336">
        <v>156.38300000000001</v>
      </c>
      <c r="G336">
        <v>191.53110000000001</v>
      </c>
      <c r="H336">
        <v>232.785</v>
      </c>
      <c r="I336">
        <v>253.62119999999999</v>
      </c>
      <c r="J336">
        <v>289.22109999999998</v>
      </c>
    </row>
    <row r="337" spans="1:10" x14ac:dyDescent="0.4">
      <c r="A337">
        <v>3</v>
      </c>
      <c r="B337">
        <v>30.159199999999998</v>
      </c>
      <c r="C337">
        <v>40.689100000000003</v>
      </c>
      <c r="D337">
        <v>43.087499999999999</v>
      </c>
      <c r="E337">
        <v>46.791200000000003</v>
      </c>
      <c r="F337">
        <v>54.227800000000002</v>
      </c>
      <c r="G337">
        <v>62.760100000000001</v>
      </c>
      <c r="H337">
        <v>71.621099999999998</v>
      </c>
      <c r="I337">
        <v>78.549899999999994</v>
      </c>
      <c r="J337">
        <v>89.336100000000002</v>
      </c>
    </row>
    <row r="338" spans="1:10" x14ac:dyDescent="0.4">
      <c r="A338">
        <v>4</v>
      </c>
      <c r="B338">
        <v>15.1746</v>
      </c>
      <c r="C338">
        <v>18.615200000000002</v>
      </c>
      <c r="D338">
        <v>20.583400000000001</v>
      </c>
      <c r="E338">
        <v>23.125800000000002</v>
      </c>
      <c r="F338">
        <v>26.542300000000001</v>
      </c>
      <c r="G338">
        <v>30.7363</v>
      </c>
      <c r="H338">
        <v>35.506399999999999</v>
      </c>
      <c r="I338">
        <v>40.018000000000001</v>
      </c>
      <c r="J338">
        <v>49.905099999999997</v>
      </c>
    </row>
    <row r="339" spans="1:10" x14ac:dyDescent="0.4">
      <c r="A339">
        <v>5</v>
      </c>
      <c r="B339">
        <v>1.9766999999999999</v>
      </c>
      <c r="C339">
        <v>2.7492000000000001</v>
      </c>
      <c r="D339">
        <v>3.2517999999999998</v>
      </c>
      <c r="E339">
        <v>3.7738999999999998</v>
      </c>
      <c r="F339">
        <v>4.4690000000000003</v>
      </c>
      <c r="G339">
        <v>5.2525000000000004</v>
      </c>
      <c r="H339">
        <v>6.4302999999999999</v>
      </c>
      <c r="I339">
        <v>7.0868000000000002</v>
      </c>
      <c r="J339">
        <v>11.876200000000001</v>
      </c>
    </row>
    <row r="340" spans="1:10" x14ac:dyDescent="0.4">
      <c r="A340">
        <v>6</v>
      </c>
      <c r="B340">
        <v>0.54069999999999996</v>
      </c>
      <c r="C340">
        <v>0.65720000000000001</v>
      </c>
      <c r="D340">
        <v>0.74180000000000001</v>
      </c>
      <c r="E340">
        <v>1.0001</v>
      </c>
      <c r="F340">
        <v>1.2053</v>
      </c>
      <c r="G340">
        <v>1.5435000000000001</v>
      </c>
      <c r="H340">
        <v>2.0817999999999999</v>
      </c>
      <c r="I340">
        <v>2.4497</v>
      </c>
      <c r="J340">
        <v>4.5867000000000004</v>
      </c>
    </row>
    <row r="341" spans="1:10" x14ac:dyDescent="0.4">
      <c r="A341">
        <v>7</v>
      </c>
      <c r="B341">
        <v>0.13</v>
      </c>
      <c r="C341">
        <v>0.21679999999999999</v>
      </c>
      <c r="D341">
        <v>0.25140000000000001</v>
      </c>
      <c r="E341">
        <v>0.31019999999999998</v>
      </c>
      <c r="F341">
        <v>0.41959999999999997</v>
      </c>
      <c r="G341">
        <v>0.58279999999999998</v>
      </c>
      <c r="H341">
        <v>0.88900000000000001</v>
      </c>
      <c r="I341">
        <v>1.0814999999999999</v>
      </c>
      <c r="J341">
        <v>3.1030000000000002</v>
      </c>
    </row>
    <row r="342" spans="1:10" x14ac:dyDescent="0.4">
      <c r="A342">
        <v>8</v>
      </c>
      <c r="B342">
        <v>1.32E-2</v>
      </c>
      <c r="C342">
        <v>2.5499999999999998E-2</v>
      </c>
      <c r="D342">
        <v>3.2500000000000001E-2</v>
      </c>
      <c r="E342">
        <v>4.5199999999999997E-2</v>
      </c>
      <c r="F342">
        <v>6.9500000000000006E-2</v>
      </c>
      <c r="G342">
        <v>0.1067</v>
      </c>
      <c r="H342">
        <v>0.1605</v>
      </c>
      <c r="I342">
        <v>0.2069</v>
      </c>
      <c r="J342">
        <v>0.79510000000000003</v>
      </c>
    </row>
    <row r="343" spans="1:10" x14ac:dyDescent="0.4">
      <c r="A343">
        <v>9</v>
      </c>
      <c r="B343">
        <v>3.8999999999999998E-3</v>
      </c>
      <c r="C343">
        <v>1.2800000000000001E-2</v>
      </c>
      <c r="D343">
        <v>1.6500000000000001E-2</v>
      </c>
      <c r="E343">
        <v>2.7E-2</v>
      </c>
      <c r="F343">
        <v>4.9000000000000002E-2</v>
      </c>
      <c r="G343">
        <v>8.0199999999999994E-2</v>
      </c>
      <c r="H343">
        <v>0.12989999999999999</v>
      </c>
      <c r="I343">
        <v>0.21959999999999999</v>
      </c>
      <c r="J343">
        <v>1.3305</v>
      </c>
    </row>
    <row r="344" spans="1:10" x14ac:dyDescent="0.4">
      <c r="A344">
        <v>10</v>
      </c>
      <c r="B344">
        <v>1E-4</v>
      </c>
      <c r="C344">
        <v>5.9999999999999995E-4</v>
      </c>
      <c r="D344">
        <v>8.9999999999999998E-4</v>
      </c>
      <c r="E344">
        <v>1.6999999999999999E-3</v>
      </c>
      <c r="F344">
        <v>3.8E-3</v>
      </c>
      <c r="G344">
        <v>6.8999999999999999E-3</v>
      </c>
      <c r="H344">
        <v>1.11E-2</v>
      </c>
      <c r="I344">
        <v>1.78E-2</v>
      </c>
      <c r="J344">
        <v>0.1469</v>
      </c>
    </row>
    <row r="345" spans="1:10" x14ac:dyDescent="0.4">
      <c r="A345">
        <v>11</v>
      </c>
      <c r="B345">
        <v>0</v>
      </c>
      <c r="C345">
        <v>2.0000000000000001E-4</v>
      </c>
      <c r="D345">
        <v>2.9999999999999997E-4</v>
      </c>
      <c r="E345">
        <v>6.9999999999999999E-4</v>
      </c>
      <c r="F345">
        <v>2E-3</v>
      </c>
      <c r="G345">
        <v>3.3E-3</v>
      </c>
      <c r="H345">
        <v>7.6E-3</v>
      </c>
      <c r="I345">
        <v>1.23E-2</v>
      </c>
      <c r="J345">
        <v>0.16289999999999999</v>
      </c>
    </row>
    <row r="346" spans="1:10" x14ac:dyDescent="0.4">
      <c r="A346">
        <v>12</v>
      </c>
      <c r="B346">
        <v>0</v>
      </c>
      <c r="C346">
        <v>0</v>
      </c>
      <c r="D346">
        <v>1E-4</v>
      </c>
      <c r="E346">
        <v>2.0000000000000001E-4</v>
      </c>
      <c r="F346">
        <v>6.9999999999999999E-4</v>
      </c>
      <c r="G346">
        <v>1.2999999999999999E-3</v>
      </c>
      <c r="H346">
        <v>2.5999999999999999E-3</v>
      </c>
      <c r="I346">
        <v>4.1999999999999997E-3</v>
      </c>
      <c r="J346">
        <v>0.1273</v>
      </c>
    </row>
    <row r="347" spans="1:10" x14ac:dyDescent="0.4">
      <c r="A347">
        <v>13</v>
      </c>
      <c r="B347">
        <v>0</v>
      </c>
      <c r="C347">
        <v>0</v>
      </c>
      <c r="D347">
        <v>0</v>
      </c>
      <c r="E347">
        <v>0</v>
      </c>
      <c r="F347">
        <v>1E-4</v>
      </c>
      <c r="G347">
        <v>1E-4</v>
      </c>
      <c r="H347">
        <v>2.9999999999999997E-4</v>
      </c>
      <c r="I347">
        <v>4.0000000000000002E-4</v>
      </c>
      <c r="J347">
        <v>1.77E-2</v>
      </c>
    </row>
    <row r="348" spans="1:10" x14ac:dyDescent="0.4">
      <c r="A348">
        <v>14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1E-4</v>
      </c>
      <c r="H348">
        <v>1E-4</v>
      </c>
      <c r="I348">
        <v>2.9999999999999997E-4</v>
      </c>
      <c r="J348">
        <v>2.0199999999999999E-2</v>
      </c>
    </row>
    <row r="349" spans="1:10" x14ac:dyDescent="0.4">
      <c r="A349" t="s">
        <v>29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1E-4</v>
      </c>
      <c r="I349">
        <v>1E-4</v>
      </c>
      <c r="J349">
        <v>1.9900000000000001E-2</v>
      </c>
    </row>
    <row r="351" spans="1:10" x14ac:dyDescent="0.4">
      <c r="A351">
        <v>2023</v>
      </c>
    </row>
    <row r="353" spans="1:10" x14ac:dyDescent="0.4">
      <c r="A353" t="s">
        <v>0</v>
      </c>
      <c r="B353" s="2">
        <v>0.01</v>
      </c>
      <c r="C353" s="2">
        <v>0.05</v>
      </c>
      <c r="D353" s="2">
        <v>0.1</v>
      </c>
      <c r="E353" s="2">
        <v>0.25</v>
      </c>
      <c r="F353" s="2">
        <v>0.5</v>
      </c>
      <c r="G353" s="2">
        <v>0.75</v>
      </c>
      <c r="H353" s="2">
        <v>0.9</v>
      </c>
      <c r="I353" s="2">
        <v>0.95</v>
      </c>
      <c r="J353" s="2">
        <v>0.99</v>
      </c>
    </row>
    <row r="354" spans="1:10" x14ac:dyDescent="0.4">
      <c r="A354">
        <v>1</v>
      </c>
      <c r="B354">
        <v>68.652199999999993</v>
      </c>
      <c r="C354">
        <v>70.710599999999999</v>
      </c>
      <c r="D354">
        <v>79.007400000000004</v>
      </c>
      <c r="E354">
        <v>104.7086</v>
      </c>
      <c r="F354">
        <v>168.64400000000001</v>
      </c>
      <c r="G354">
        <v>237.34880000000001</v>
      </c>
      <c r="H354">
        <v>280.40120000000002</v>
      </c>
      <c r="I354">
        <v>307.08789999999999</v>
      </c>
      <c r="J354">
        <v>334.78089999999997</v>
      </c>
    </row>
    <row r="355" spans="1:10" x14ac:dyDescent="0.4">
      <c r="A355">
        <v>2</v>
      </c>
      <c r="B355">
        <v>39.846699999999998</v>
      </c>
      <c r="C355">
        <v>43.312399999999997</v>
      </c>
      <c r="D355">
        <v>47.464599999999997</v>
      </c>
      <c r="E355">
        <v>62.926299999999998</v>
      </c>
      <c r="F355">
        <v>101.5624</v>
      </c>
      <c r="G355">
        <v>143.1456</v>
      </c>
      <c r="H355">
        <v>170.6848</v>
      </c>
      <c r="I355">
        <v>185.3424</v>
      </c>
      <c r="J355">
        <v>207.38910000000001</v>
      </c>
    </row>
    <row r="356" spans="1:10" x14ac:dyDescent="0.4">
      <c r="A356">
        <v>3</v>
      </c>
      <c r="B356">
        <v>48.246400000000001</v>
      </c>
      <c r="C356">
        <v>57.811700000000002</v>
      </c>
      <c r="D356">
        <v>62.3249</v>
      </c>
      <c r="E356">
        <v>72.710599999999999</v>
      </c>
      <c r="F356">
        <v>90.722200000000001</v>
      </c>
      <c r="G356">
        <v>112.15649999999999</v>
      </c>
      <c r="H356">
        <v>137.79400000000001</v>
      </c>
      <c r="I356">
        <v>151.96719999999999</v>
      </c>
      <c r="J356">
        <v>175.09299999999999</v>
      </c>
    </row>
    <row r="357" spans="1:10" x14ac:dyDescent="0.4">
      <c r="A357">
        <v>4</v>
      </c>
      <c r="B357">
        <v>14.802899999999999</v>
      </c>
      <c r="C357">
        <v>20.567299999999999</v>
      </c>
      <c r="D357">
        <v>22.3568</v>
      </c>
      <c r="E357">
        <v>24.974499999999999</v>
      </c>
      <c r="F357">
        <v>29.4862</v>
      </c>
      <c r="G357">
        <v>34.950499999999998</v>
      </c>
      <c r="H357">
        <v>40.571399999999997</v>
      </c>
      <c r="I357">
        <v>44.719299999999997</v>
      </c>
      <c r="J357">
        <v>51.7408</v>
      </c>
    </row>
    <row r="358" spans="1:10" x14ac:dyDescent="0.4">
      <c r="A358">
        <v>5</v>
      </c>
      <c r="B358">
        <v>7.0435999999999996</v>
      </c>
      <c r="C358">
        <v>9.0314999999999994</v>
      </c>
      <c r="D358">
        <v>10.3081</v>
      </c>
      <c r="E358">
        <v>11.915100000000001</v>
      </c>
      <c r="F358">
        <v>13.906499999999999</v>
      </c>
      <c r="G358">
        <v>16.667999999999999</v>
      </c>
      <c r="H358">
        <v>19.5441</v>
      </c>
      <c r="I358">
        <v>22.487500000000001</v>
      </c>
      <c r="J358">
        <v>29.207999999999998</v>
      </c>
    </row>
    <row r="359" spans="1:10" x14ac:dyDescent="0.4">
      <c r="A359">
        <v>6</v>
      </c>
      <c r="B359">
        <v>0.88470000000000004</v>
      </c>
      <c r="C359">
        <v>1.3466</v>
      </c>
      <c r="D359">
        <v>1.6077999999999999</v>
      </c>
      <c r="E359">
        <v>1.907</v>
      </c>
      <c r="F359">
        <v>2.2913999999999999</v>
      </c>
      <c r="G359">
        <v>2.7694999999999999</v>
      </c>
      <c r="H359">
        <v>3.4961000000000002</v>
      </c>
      <c r="I359">
        <v>3.9009</v>
      </c>
      <c r="J359">
        <v>6.8132999999999999</v>
      </c>
    </row>
    <row r="360" spans="1:10" x14ac:dyDescent="0.4">
      <c r="A360">
        <v>7</v>
      </c>
      <c r="B360">
        <v>0.25130000000000002</v>
      </c>
      <c r="C360">
        <v>0.30420000000000003</v>
      </c>
      <c r="D360">
        <v>0.36840000000000001</v>
      </c>
      <c r="E360">
        <v>0.49630000000000002</v>
      </c>
      <c r="F360">
        <v>0.61760000000000004</v>
      </c>
      <c r="G360">
        <v>0.8054</v>
      </c>
      <c r="H360">
        <v>1.1196999999999999</v>
      </c>
      <c r="I360">
        <v>1.3154999999999999</v>
      </c>
      <c r="J360">
        <v>2.7528000000000001</v>
      </c>
    </row>
    <row r="361" spans="1:10" x14ac:dyDescent="0.4">
      <c r="A361">
        <v>8</v>
      </c>
      <c r="B361">
        <v>6.0199999999999997E-2</v>
      </c>
      <c r="C361">
        <v>0.1074</v>
      </c>
      <c r="D361">
        <v>0.1201</v>
      </c>
      <c r="E361">
        <v>0.15740000000000001</v>
      </c>
      <c r="F361">
        <v>0.21820000000000001</v>
      </c>
      <c r="G361">
        <v>0.30359999999999998</v>
      </c>
      <c r="H361">
        <v>0.48349999999999999</v>
      </c>
      <c r="I361">
        <v>0.57789999999999997</v>
      </c>
      <c r="J361">
        <v>1.79</v>
      </c>
    </row>
    <row r="362" spans="1:10" x14ac:dyDescent="0.4">
      <c r="A362">
        <v>9</v>
      </c>
      <c r="B362">
        <v>6.7999999999999996E-3</v>
      </c>
      <c r="C362">
        <v>1.2800000000000001E-2</v>
      </c>
      <c r="D362">
        <v>1.6299999999999999E-2</v>
      </c>
      <c r="E362">
        <v>2.3199999999999998E-2</v>
      </c>
      <c r="F362">
        <v>3.5700000000000003E-2</v>
      </c>
      <c r="G362">
        <v>5.5599999999999997E-2</v>
      </c>
      <c r="H362">
        <v>8.6599999999999996E-2</v>
      </c>
      <c r="I362">
        <v>0.1114</v>
      </c>
      <c r="J362">
        <v>0.48749999999999999</v>
      </c>
    </row>
    <row r="363" spans="1:10" x14ac:dyDescent="0.4">
      <c r="A363">
        <v>10</v>
      </c>
      <c r="B363">
        <v>2.0999999999999999E-3</v>
      </c>
      <c r="C363">
        <v>6.3E-3</v>
      </c>
      <c r="D363">
        <v>8.3999999999999995E-3</v>
      </c>
      <c r="E363">
        <v>1.4200000000000001E-2</v>
      </c>
      <c r="F363">
        <v>2.5000000000000001E-2</v>
      </c>
      <c r="G363">
        <v>4.2299999999999997E-2</v>
      </c>
      <c r="H363">
        <v>7.1199999999999999E-2</v>
      </c>
      <c r="I363">
        <v>0.11600000000000001</v>
      </c>
      <c r="J363">
        <v>0.80730000000000002</v>
      </c>
    </row>
    <row r="364" spans="1:10" x14ac:dyDescent="0.4">
      <c r="A364">
        <v>11</v>
      </c>
      <c r="B364">
        <v>1E-4</v>
      </c>
      <c r="C364">
        <v>2.9999999999999997E-4</v>
      </c>
      <c r="D364">
        <v>4.0000000000000002E-4</v>
      </c>
      <c r="E364">
        <v>8.9999999999999998E-4</v>
      </c>
      <c r="F364">
        <v>1.9E-3</v>
      </c>
      <c r="G364">
        <v>3.7000000000000002E-3</v>
      </c>
      <c r="H364">
        <v>6.1000000000000004E-3</v>
      </c>
      <c r="I364">
        <v>9.7999999999999997E-3</v>
      </c>
      <c r="J364">
        <v>9.0300000000000005E-2</v>
      </c>
    </row>
    <row r="365" spans="1:10" x14ac:dyDescent="0.4">
      <c r="A365">
        <v>12</v>
      </c>
      <c r="B365">
        <v>0</v>
      </c>
      <c r="C365">
        <v>1E-4</v>
      </c>
      <c r="D365">
        <v>2.0000000000000001E-4</v>
      </c>
      <c r="E365">
        <v>4.0000000000000002E-4</v>
      </c>
      <c r="F365">
        <v>1E-3</v>
      </c>
      <c r="G365">
        <v>1.8E-3</v>
      </c>
      <c r="H365">
        <v>4.1999999999999997E-3</v>
      </c>
      <c r="I365">
        <v>6.7000000000000002E-3</v>
      </c>
      <c r="J365">
        <v>0.10150000000000001</v>
      </c>
    </row>
    <row r="366" spans="1:10" x14ac:dyDescent="0.4">
      <c r="A366">
        <v>13</v>
      </c>
      <c r="B366">
        <v>0</v>
      </c>
      <c r="C366">
        <v>0</v>
      </c>
      <c r="D366">
        <v>0</v>
      </c>
      <c r="E366">
        <v>1E-4</v>
      </c>
      <c r="F366">
        <v>2.9999999999999997E-4</v>
      </c>
      <c r="G366">
        <v>6.9999999999999999E-4</v>
      </c>
      <c r="H366">
        <v>1.4E-3</v>
      </c>
      <c r="I366">
        <v>2.3E-3</v>
      </c>
      <c r="J366">
        <v>7.8E-2</v>
      </c>
    </row>
    <row r="367" spans="1:10" x14ac:dyDescent="0.4">
      <c r="A367">
        <v>14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1E-4</v>
      </c>
      <c r="H367">
        <v>2.0000000000000001E-4</v>
      </c>
      <c r="I367">
        <v>2.0000000000000001E-4</v>
      </c>
      <c r="J367">
        <v>1.11E-2</v>
      </c>
    </row>
    <row r="368" spans="1:10" x14ac:dyDescent="0.4">
      <c r="A368" t="s">
        <v>29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1E-4</v>
      </c>
      <c r="H368">
        <v>1E-4</v>
      </c>
      <c r="I368">
        <v>2.0000000000000001E-4</v>
      </c>
      <c r="J368">
        <v>2.3800000000000002E-2</v>
      </c>
    </row>
    <row r="370" spans="1:10" x14ac:dyDescent="0.4">
      <c r="A370">
        <v>2024</v>
      </c>
    </row>
    <row r="372" spans="1:10" x14ac:dyDescent="0.4">
      <c r="A372" t="s">
        <v>0</v>
      </c>
      <c r="B372" s="2">
        <v>0.01</v>
      </c>
      <c r="C372" s="2">
        <v>0.05</v>
      </c>
      <c r="D372" s="2">
        <v>0.1</v>
      </c>
      <c r="E372" s="2">
        <v>0.25</v>
      </c>
      <c r="F372" s="2">
        <v>0.5</v>
      </c>
      <c r="G372" s="2">
        <v>0.75</v>
      </c>
      <c r="H372" s="2">
        <v>0.9</v>
      </c>
      <c r="I372" s="2">
        <v>0.95</v>
      </c>
      <c r="J372" s="2">
        <v>0.99</v>
      </c>
    </row>
    <row r="373" spans="1:10" x14ac:dyDescent="0.4">
      <c r="A373">
        <v>1</v>
      </c>
      <c r="B373">
        <v>68.671000000000006</v>
      </c>
      <c r="C373">
        <v>70.550899999999999</v>
      </c>
      <c r="D373">
        <v>79.015000000000001</v>
      </c>
      <c r="E373">
        <v>104.67829999999999</v>
      </c>
      <c r="F373">
        <v>168.613</v>
      </c>
      <c r="G373">
        <v>236.90280000000001</v>
      </c>
      <c r="H373">
        <v>280.26029999999997</v>
      </c>
      <c r="I373">
        <v>307.48469999999998</v>
      </c>
      <c r="J373">
        <v>350.32069999999999</v>
      </c>
    </row>
    <row r="374" spans="1:10" x14ac:dyDescent="0.4">
      <c r="A374">
        <v>2</v>
      </c>
      <c r="B374">
        <v>40.064700000000002</v>
      </c>
      <c r="C374">
        <v>43.5777</v>
      </c>
      <c r="D374">
        <v>47.735399999999998</v>
      </c>
      <c r="E374">
        <v>63.185699999999997</v>
      </c>
      <c r="F374">
        <v>102.291</v>
      </c>
      <c r="G374">
        <v>144.79050000000001</v>
      </c>
      <c r="H374">
        <v>172.4631</v>
      </c>
      <c r="I374">
        <v>187.1172</v>
      </c>
      <c r="J374">
        <v>212.9058</v>
      </c>
    </row>
    <row r="375" spans="1:10" x14ac:dyDescent="0.4">
      <c r="A375">
        <v>3</v>
      </c>
      <c r="B375">
        <v>21.9529</v>
      </c>
      <c r="C375">
        <v>24.7315</v>
      </c>
      <c r="D375">
        <v>27.185199999999998</v>
      </c>
      <c r="E375">
        <v>36.122700000000002</v>
      </c>
      <c r="F375">
        <v>58.843299999999999</v>
      </c>
      <c r="G375">
        <v>83.755799999999994</v>
      </c>
      <c r="H375">
        <v>101.8095</v>
      </c>
      <c r="I375">
        <v>110.90519999999999</v>
      </c>
      <c r="J375">
        <v>127.0727</v>
      </c>
    </row>
    <row r="376" spans="1:10" x14ac:dyDescent="0.4">
      <c r="A376">
        <v>4</v>
      </c>
      <c r="B376">
        <v>23.7943</v>
      </c>
      <c r="C376">
        <v>29.340499999999999</v>
      </c>
      <c r="D376">
        <v>32.404000000000003</v>
      </c>
      <c r="E376">
        <v>38.765700000000002</v>
      </c>
      <c r="F376">
        <v>50.075899999999997</v>
      </c>
      <c r="G376">
        <v>63.151600000000002</v>
      </c>
      <c r="H376">
        <v>79.376300000000001</v>
      </c>
      <c r="I376">
        <v>88.763099999999994</v>
      </c>
      <c r="J376">
        <v>103.9619</v>
      </c>
    </row>
    <row r="377" spans="1:10" x14ac:dyDescent="0.4">
      <c r="A377">
        <v>5</v>
      </c>
      <c r="B377">
        <v>6.9489999999999998</v>
      </c>
      <c r="C377">
        <v>9.7357999999999993</v>
      </c>
      <c r="D377">
        <v>11.0593</v>
      </c>
      <c r="E377">
        <v>12.9603</v>
      </c>
      <c r="F377">
        <v>15.755800000000001</v>
      </c>
      <c r="G377">
        <v>19.049199999999999</v>
      </c>
      <c r="H377">
        <v>22.707000000000001</v>
      </c>
      <c r="I377">
        <v>25.161200000000001</v>
      </c>
      <c r="J377">
        <v>29.802099999999999</v>
      </c>
    </row>
    <row r="378" spans="1:10" x14ac:dyDescent="0.4">
      <c r="A378">
        <v>6</v>
      </c>
      <c r="B378">
        <v>3.1608999999999998</v>
      </c>
      <c r="C378">
        <v>4.2839</v>
      </c>
      <c r="D378">
        <v>4.9355000000000002</v>
      </c>
      <c r="E378">
        <v>5.9790999999999999</v>
      </c>
      <c r="F378">
        <v>7.2431000000000001</v>
      </c>
      <c r="G378">
        <v>8.8491999999999997</v>
      </c>
      <c r="H378">
        <v>10.657500000000001</v>
      </c>
      <c r="I378">
        <v>12.346</v>
      </c>
      <c r="J378">
        <v>16.542000000000002</v>
      </c>
    </row>
    <row r="379" spans="1:10" x14ac:dyDescent="0.4">
      <c r="A379">
        <v>7</v>
      </c>
      <c r="B379">
        <v>0.37830000000000003</v>
      </c>
      <c r="C379">
        <v>0.63449999999999995</v>
      </c>
      <c r="D379">
        <v>0.76959999999999995</v>
      </c>
      <c r="E379">
        <v>0.9496</v>
      </c>
      <c r="F379">
        <v>1.1648000000000001</v>
      </c>
      <c r="G379">
        <v>1.4573</v>
      </c>
      <c r="H379">
        <v>1.8856999999999999</v>
      </c>
      <c r="I379">
        <v>2.1602999999999999</v>
      </c>
      <c r="J379">
        <v>3.8340999999999998</v>
      </c>
    </row>
    <row r="380" spans="1:10" x14ac:dyDescent="0.4">
      <c r="A380">
        <v>8</v>
      </c>
      <c r="B380">
        <v>0.112</v>
      </c>
      <c r="C380">
        <v>0.14119999999999999</v>
      </c>
      <c r="D380">
        <v>0.1782</v>
      </c>
      <c r="E380">
        <v>0.24310000000000001</v>
      </c>
      <c r="F380">
        <v>0.31680000000000003</v>
      </c>
      <c r="G380">
        <v>0.41770000000000002</v>
      </c>
      <c r="H380">
        <v>0.59340000000000004</v>
      </c>
      <c r="I380">
        <v>0.71430000000000005</v>
      </c>
      <c r="J380">
        <v>1.5258</v>
      </c>
    </row>
    <row r="381" spans="1:10" x14ac:dyDescent="0.4">
      <c r="A381">
        <v>9</v>
      </c>
      <c r="B381">
        <v>2.81E-2</v>
      </c>
      <c r="C381">
        <v>5.0999999999999997E-2</v>
      </c>
      <c r="D381">
        <v>5.7500000000000002E-2</v>
      </c>
      <c r="E381">
        <v>7.8200000000000006E-2</v>
      </c>
      <c r="F381">
        <v>0.11269999999999999</v>
      </c>
      <c r="G381">
        <v>0.15659999999999999</v>
      </c>
      <c r="H381">
        <v>0.26040000000000002</v>
      </c>
      <c r="I381">
        <v>0.31169999999999998</v>
      </c>
      <c r="J381">
        <v>1.0081</v>
      </c>
    </row>
    <row r="382" spans="1:10" x14ac:dyDescent="0.4">
      <c r="A382">
        <v>10</v>
      </c>
      <c r="B382">
        <v>3.2000000000000002E-3</v>
      </c>
      <c r="C382">
        <v>6.3E-3</v>
      </c>
      <c r="D382">
        <v>7.9000000000000008E-3</v>
      </c>
      <c r="E382">
        <v>1.17E-2</v>
      </c>
      <c r="F382">
        <v>1.8100000000000002E-2</v>
      </c>
      <c r="G382">
        <v>2.87E-2</v>
      </c>
      <c r="H382">
        <v>4.5900000000000003E-2</v>
      </c>
      <c r="I382">
        <v>0.06</v>
      </c>
      <c r="J382">
        <v>0.28949999999999998</v>
      </c>
    </row>
    <row r="383" spans="1:10" x14ac:dyDescent="0.4">
      <c r="A383">
        <v>11</v>
      </c>
      <c r="B383">
        <v>1.1000000000000001E-3</v>
      </c>
      <c r="C383">
        <v>3.0999999999999999E-3</v>
      </c>
      <c r="D383">
        <v>4.1999999999999997E-3</v>
      </c>
      <c r="E383">
        <v>7.3000000000000001E-3</v>
      </c>
      <c r="F383">
        <v>1.2699999999999999E-2</v>
      </c>
      <c r="G383">
        <v>2.1999999999999999E-2</v>
      </c>
      <c r="H383">
        <v>3.9199999999999999E-2</v>
      </c>
      <c r="I383">
        <v>6.0199999999999997E-2</v>
      </c>
      <c r="J383">
        <v>0.48320000000000002</v>
      </c>
    </row>
    <row r="384" spans="1:10" x14ac:dyDescent="0.4">
      <c r="A384">
        <v>12</v>
      </c>
      <c r="B384">
        <v>0</v>
      </c>
      <c r="C384">
        <v>1E-4</v>
      </c>
      <c r="D384">
        <v>2.0000000000000001E-4</v>
      </c>
      <c r="E384">
        <v>4.0000000000000002E-4</v>
      </c>
      <c r="F384">
        <v>1E-3</v>
      </c>
      <c r="G384">
        <v>1.9E-3</v>
      </c>
      <c r="H384">
        <v>3.3999999999999998E-3</v>
      </c>
      <c r="I384">
        <v>5.3E-3</v>
      </c>
      <c r="J384">
        <v>5.16E-2</v>
      </c>
    </row>
    <row r="385" spans="1:10" x14ac:dyDescent="0.4">
      <c r="A385">
        <v>13</v>
      </c>
      <c r="B385">
        <v>0</v>
      </c>
      <c r="C385">
        <v>1E-4</v>
      </c>
      <c r="D385">
        <v>1E-4</v>
      </c>
      <c r="E385">
        <v>2.0000000000000001E-4</v>
      </c>
      <c r="F385">
        <v>5.0000000000000001E-4</v>
      </c>
      <c r="G385">
        <v>8.9999999999999998E-4</v>
      </c>
      <c r="H385">
        <v>2.3E-3</v>
      </c>
      <c r="I385">
        <v>3.7000000000000002E-3</v>
      </c>
      <c r="J385">
        <v>5.8400000000000001E-2</v>
      </c>
    </row>
    <row r="386" spans="1:10" x14ac:dyDescent="0.4">
      <c r="A386">
        <v>14</v>
      </c>
      <c r="B386">
        <v>0</v>
      </c>
      <c r="C386">
        <v>0</v>
      </c>
      <c r="D386">
        <v>0</v>
      </c>
      <c r="E386">
        <v>1E-4</v>
      </c>
      <c r="F386">
        <v>2.0000000000000001E-4</v>
      </c>
      <c r="G386">
        <v>4.0000000000000002E-4</v>
      </c>
      <c r="H386">
        <v>8.0000000000000004E-4</v>
      </c>
      <c r="I386">
        <v>1.2999999999999999E-3</v>
      </c>
      <c r="J386">
        <v>4.7300000000000002E-2</v>
      </c>
    </row>
    <row r="387" spans="1:10" x14ac:dyDescent="0.4">
      <c r="A387" t="s">
        <v>29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1E-4</v>
      </c>
      <c r="H387">
        <v>1E-4</v>
      </c>
      <c r="I387">
        <v>2.0000000000000001E-4</v>
      </c>
      <c r="J387">
        <v>2.07E-2</v>
      </c>
    </row>
    <row r="389" spans="1:10" x14ac:dyDescent="0.4">
      <c r="A389">
        <v>2025</v>
      </c>
    </row>
    <row r="391" spans="1:10" x14ac:dyDescent="0.4">
      <c r="A391" t="s">
        <v>0</v>
      </c>
      <c r="B391" s="2">
        <v>0.01</v>
      </c>
      <c r="C391" s="2">
        <v>0.05</v>
      </c>
      <c r="D391" s="2">
        <v>0.1</v>
      </c>
      <c r="E391" s="2">
        <v>0.25</v>
      </c>
      <c r="F391" s="2">
        <v>0.5</v>
      </c>
      <c r="G391" s="2">
        <v>0.75</v>
      </c>
      <c r="H391" s="2">
        <v>0.9</v>
      </c>
      <c r="I391" s="2">
        <v>0.95</v>
      </c>
      <c r="J391" s="2">
        <v>0.99</v>
      </c>
    </row>
    <row r="392" spans="1:10" x14ac:dyDescent="0.4">
      <c r="A392">
        <v>1</v>
      </c>
      <c r="B392">
        <v>68.661799999999999</v>
      </c>
      <c r="C392">
        <v>70.7881</v>
      </c>
      <c r="D392">
        <v>79.104200000000006</v>
      </c>
      <c r="E392">
        <v>105.06399999999999</v>
      </c>
      <c r="F392">
        <v>168.631</v>
      </c>
      <c r="G392">
        <v>237.33680000000001</v>
      </c>
      <c r="H392">
        <v>281.30369999999999</v>
      </c>
      <c r="I392">
        <v>307.51990000000001</v>
      </c>
      <c r="J392">
        <v>357.50380000000001</v>
      </c>
    </row>
    <row r="393" spans="1:10" x14ac:dyDescent="0.4">
      <c r="A393">
        <v>2</v>
      </c>
      <c r="B393">
        <v>39.001899999999999</v>
      </c>
      <c r="C393">
        <v>42.568800000000003</v>
      </c>
      <c r="D393">
        <v>46.617699999999999</v>
      </c>
      <c r="E393">
        <v>61.839500000000001</v>
      </c>
      <c r="F393">
        <v>99.9893</v>
      </c>
      <c r="G393">
        <v>141.57990000000001</v>
      </c>
      <c r="H393">
        <v>169.27420000000001</v>
      </c>
      <c r="I393">
        <v>184.03559999999999</v>
      </c>
      <c r="J393">
        <v>213.2227</v>
      </c>
    </row>
    <row r="394" spans="1:10" x14ac:dyDescent="0.4">
      <c r="A394">
        <v>3</v>
      </c>
      <c r="B394">
        <v>20.310099999999998</v>
      </c>
      <c r="C394">
        <v>23.381399999999999</v>
      </c>
      <c r="D394">
        <v>25.794799999999999</v>
      </c>
      <c r="E394">
        <v>34.421199999999999</v>
      </c>
      <c r="F394">
        <v>56.444400000000002</v>
      </c>
      <c r="G394">
        <v>81.311999999999998</v>
      </c>
      <c r="H394">
        <v>99.297399999999996</v>
      </c>
      <c r="I394">
        <v>107.9991</v>
      </c>
      <c r="J394">
        <v>126.5994</v>
      </c>
    </row>
    <row r="395" spans="1:10" x14ac:dyDescent="0.4">
      <c r="A395">
        <v>4</v>
      </c>
      <c r="B395">
        <v>9.5768000000000004</v>
      </c>
      <c r="C395">
        <v>11.7761</v>
      </c>
      <c r="D395">
        <v>13.3649</v>
      </c>
      <c r="E395">
        <v>18.145199999999999</v>
      </c>
      <c r="F395">
        <v>30.354900000000001</v>
      </c>
      <c r="G395">
        <v>44.5533</v>
      </c>
      <c r="H395">
        <v>56.222099999999998</v>
      </c>
      <c r="I395">
        <v>61.924399999999999</v>
      </c>
      <c r="J395">
        <v>73.347300000000004</v>
      </c>
    </row>
    <row r="396" spans="1:10" x14ac:dyDescent="0.4">
      <c r="A396">
        <v>5</v>
      </c>
      <c r="B396">
        <v>9.7281999999999993</v>
      </c>
      <c r="C396">
        <v>12.955500000000001</v>
      </c>
      <c r="D396">
        <v>14.914099999999999</v>
      </c>
      <c r="E396">
        <v>18.863</v>
      </c>
      <c r="F396">
        <v>25.338899999999999</v>
      </c>
      <c r="G396">
        <v>33.212400000000002</v>
      </c>
      <c r="H396">
        <v>42.963200000000001</v>
      </c>
      <c r="I396">
        <v>48.899500000000003</v>
      </c>
      <c r="J396">
        <v>58.796700000000001</v>
      </c>
    </row>
    <row r="397" spans="1:10" x14ac:dyDescent="0.4">
      <c r="A397">
        <v>6</v>
      </c>
      <c r="B397">
        <v>2.8460000000000001</v>
      </c>
      <c r="C397">
        <v>4.0891000000000002</v>
      </c>
      <c r="D397">
        <v>4.9077999999999999</v>
      </c>
      <c r="E397">
        <v>6.2133000000000003</v>
      </c>
      <c r="F397">
        <v>7.8678999999999997</v>
      </c>
      <c r="G397">
        <v>9.7969000000000008</v>
      </c>
      <c r="H397">
        <v>12.0266</v>
      </c>
      <c r="I397">
        <v>13.4983</v>
      </c>
      <c r="J397">
        <v>16.4422</v>
      </c>
    </row>
    <row r="398" spans="1:10" x14ac:dyDescent="0.4">
      <c r="A398">
        <v>7</v>
      </c>
      <c r="B398">
        <v>1.3043</v>
      </c>
      <c r="C398">
        <v>1.8586</v>
      </c>
      <c r="D398">
        <v>2.2113999999999998</v>
      </c>
      <c r="E398">
        <v>2.8472</v>
      </c>
      <c r="F398">
        <v>3.6189</v>
      </c>
      <c r="G398">
        <v>4.548</v>
      </c>
      <c r="H398">
        <v>5.6592000000000002</v>
      </c>
      <c r="I398">
        <v>6.5862999999999996</v>
      </c>
      <c r="J398">
        <v>8.9463000000000008</v>
      </c>
    </row>
    <row r="399" spans="1:10" x14ac:dyDescent="0.4">
      <c r="A399">
        <v>8</v>
      </c>
      <c r="B399">
        <v>0.15459999999999999</v>
      </c>
      <c r="C399">
        <v>0.27360000000000001</v>
      </c>
      <c r="D399">
        <v>0.35089999999999999</v>
      </c>
      <c r="E399">
        <v>0.45629999999999998</v>
      </c>
      <c r="F399">
        <v>0.58340000000000003</v>
      </c>
      <c r="G399">
        <v>0.75590000000000002</v>
      </c>
      <c r="H399">
        <v>1.0011000000000001</v>
      </c>
      <c r="I399">
        <v>1.1831</v>
      </c>
      <c r="J399">
        <v>2.0857000000000001</v>
      </c>
    </row>
    <row r="400" spans="1:10" x14ac:dyDescent="0.4">
      <c r="A400">
        <v>9</v>
      </c>
      <c r="B400">
        <v>4.7699999999999999E-2</v>
      </c>
      <c r="C400">
        <v>6.5199999999999994E-2</v>
      </c>
      <c r="D400">
        <v>8.2299999999999998E-2</v>
      </c>
      <c r="E400">
        <v>0.1188</v>
      </c>
      <c r="F400">
        <v>0.16120000000000001</v>
      </c>
      <c r="G400">
        <v>0.21759999999999999</v>
      </c>
      <c r="H400">
        <v>0.31209999999999999</v>
      </c>
      <c r="I400">
        <v>0.38840000000000002</v>
      </c>
      <c r="J400">
        <v>0.84289999999999998</v>
      </c>
    </row>
    <row r="401" spans="1:10" x14ac:dyDescent="0.4">
      <c r="A401">
        <v>10</v>
      </c>
      <c r="B401">
        <v>1.3100000000000001E-2</v>
      </c>
      <c r="C401">
        <v>2.29E-2</v>
      </c>
      <c r="D401">
        <v>2.75E-2</v>
      </c>
      <c r="E401">
        <v>3.8699999999999998E-2</v>
      </c>
      <c r="F401">
        <v>5.74E-2</v>
      </c>
      <c r="G401">
        <v>8.14E-2</v>
      </c>
      <c r="H401">
        <v>0.1391</v>
      </c>
      <c r="I401">
        <v>0.1699</v>
      </c>
      <c r="J401">
        <v>0.5595</v>
      </c>
    </row>
    <row r="402" spans="1:10" x14ac:dyDescent="0.4">
      <c r="A402">
        <v>11</v>
      </c>
      <c r="B402">
        <v>1.5E-3</v>
      </c>
      <c r="C402">
        <v>3.0000000000000001E-3</v>
      </c>
      <c r="D402">
        <v>3.8E-3</v>
      </c>
      <c r="E402">
        <v>5.8999999999999999E-3</v>
      </c>
      <c r="F402">
        <v>9.1999999999999998E-3</v>
      </c>
      <c r="G402">
        <v>1.49E-2</v>
      </c>
      <c r="H402">
        <v>2.46E-2</v>
      </c>
      <c r="I402">
        <v>3.2099999999999997E-2</v>
      </c>
      <c r="J402">
        <v>0.16900000000000001</v>
      </c>
    </row>
    <row r="403" spans="1:10" x14ac:dyDescent="0.4">
      <c r="A403">
        <v>12</v>
      </c>
      <c r="B403">
        <v>5.9999999999999995E-4</v>
      </c>
      <c r="C403">
        <v>1.5E-3</v>
      </c>
      <c r="D403">
        <v>2.0999999999999999E-3</v>
      </c>
      <c r="E403">
        <v>3.7000000000000002E-3</v>
      </c>
      <c r="F403">
        <v>6.6E-3</v>
      </c>
      <c r="G403">
        <v>1.15E-2</v>
      </c>
      <c r="H403">
        <v>2.1600000000000001E-2</v>
      </c>
      <c r="I403">
        <v>3.1899999999999998E-2</v>
      </c>
      <c r="J403">
        <v>0.27460000000000001</v>
      </c>
    </row>
    <row r="404" spans="1:10" x14ac:dyDescent="0.4">
      <c r="A404">
        <v>13</v>
      </c>
      <c r="B404">
        <v>0</v>
      </c>
      <c r="C404">
        <v>1E-4</v>
      </c>
      <c r="D404">
        <v>1E-4</v>
      </c>
      <c r="E404">
        <v>2.0000000000000001E-4</v>
      </c>
      <c r="F404">
        <v>5.0000000000000001E-4</v>
      </c>
      <c r="G404">
        <v>1E-3</v>
      </c>
      <c r="H404">
        <v>1.9E-3</v>
      </c>
      <c r="I404">
        <v>2.8E-3</v>
      </c>
      <c r="J404">
        <v>2.92E-2</v>
      </c>
    </row>
    <row r="405" spans="1:10" x14ac:dyDescent="0.4">
      <c r="A405">
        <v>14</v>
      </c>
      <c r="B405">
        <v>0</v>
      </c>
      <c r="C405">
        <v>0</v>
      </c>
      <c r="D405">
        <v>0</v>
      </c>
      <c r="E405">
        <v>1E-4</v>
      </c>
      <c r="F405">
        <v>2.9999999999999997E-4</v>
      </c>
      <c r="G405">
        <v>5.0000000000000001E-4</v>
      </c>
      <c r="H405">
        <v>1.2999999999999999E-3</v>
      </c>
      <c r="I405">
        <v>2E-3</v>
      </c>
      <c r="J405">
        <v>3.3000000000000002E-2</v>
      </c>
    </row>
    <row r="406" spans="1:10" x14ac:dyDescent="0.4">
      <c r="A406" t="s">
        <v>29</v>
      </c>
      <c r="B406">
        <v>0</v>
      </c>
      <c r="C406">
        <v>0</v>
      </c>
      <c r="D406">
        <v>0</v>
      </c>
      <c r="E406">
        <v>0</v>
      </c>
      <c r="F406">
        <v>1E-4</v>
      </c>
      <c r="G406">
        <v>2.0000000000000001E-4</v>
      </c>
      <c r="H406">
        <v>5.0000000000000001E-4</v>
      </c>
      <c r="I406">
        <v>8.0000000000000004E-4</v>
      </c>
      <c r="J406">
        <v>4.02E-2</v>
      </c>
    </row>
    <row r="408" spans="1:10" x14ac:dyDescent="0.4">
      <c r="A408">
        <v>2026</v>
      </c>
    </row>
    <row r="410" spans="1:10" x14ac:dyDescent="0.4">
      <c r="A410" t="s">
        <v>0</v>
      </c>
      <c r="B410" s="2">
        <v>0.01</v>
      </c>
      <c r="C410" s="2">
        <v>0.05</v>
      </c>
      <c r="D410" s="2">
        <v>0.1</v>
      </c>
      <c r="E410" s="2">
        <v>0.25</v>
      </c>
      <c r="F410" s="2">
        <v>0.5</v>
      </c>
      <c r="G410" s="2">
        <v>0.75</v>
      </c>
      <c r="H410" s="2">
        <v>0.9</v>
      </c>
      <c r="I410" s="2">
        <v>0.95</v>
      </c>
      <c r="J410" s="2">
        <v>0.99</v>
      </c>
    </row>
    <row r="411" spans="1:10" x14ac:dyDescent="0.4">
      <c r="A411">
        <v>1</v>
      </c>
      <c r="B411">
        <v>68.661900000000003</v>
      </c>
      <c r="C411">
        <v>70.544799999999995</v>
      </c>
      <c r="D411">
        <v>78.931899999999999</v>
      </c>
      <c r="E411">
        <v>104.7484</v>
      </c>
      <c r="F411">
        <v>168.53120000000001</v>
      </c>
      <c r="G411">
        <v>236.76779999999999</v>
      </c>
      <c r="H411">
        <v>279.64359999999999</v>
      </c>
      <c r="I411">
        <v>306.91230000000002</v>
      </c>
      <c r="J411">
        <v>351.31369999999998</v>
      </c>
    </row>
    <row r="412" spans="1:10" x14ac:dyDescent="0.4">
      <c r="A412">
        <v>2</v>
      </c>
      <c r="B412">
        <v>38.336799999999997</v>
      </c>
      <c r="C412">
        <v>42.085099999999997</v>
      </c>
      <c r="D412">
        <v>46.034399999999998</v>
      </c>
      <c r="E412">
        <v>61.081000000000003</v>
      </c>
      <c r="F412">
        <v>98.8797</v>
      </c>
      <c r="G412">
        <v>140.12629999999999</v>
      </c>
      <c r="H412">
        <v>167.77449999999999</v>
      </c>
      <c r="I412">
        <v>182.22049999999999</v>
      </c>
      <c r="J412">
        <v>213.67320000000001</v>
      </c>
    </row>
    <row r="413" spans="1:10" x14ac:dyDescent="0.4">
      <c r="A413">
        <v>3</v>
      </c>
      <c r="B413">
        <v>15.760999999999999</v>
      </c>
      <c r="C413">
        <v>19.893999999999998</v>
      </c>
      <c r="D413">
        <v>22.4818</v>
      </c>
      <c r="E413">
        <v>30.301100000000002</v>
      </c>
      <c r="F413">
        <v>50.185600000000001</v>
      </c>
      <c r="G413">
        <v>73.003200000000007</v>
      </c>
      <c r="H413">
        <v>91.089600000000004</v>
      </c>
      <c r="I413">
        <v>100.1267</v>
      </c>
      <c r="J413">
        <v>120.9768</v>
      </c>
    </row>
    <row r="414" spans="1:10" x14ac:dyDescent="0.4">
      <c r="A414">
        <v>4</v>
      </c>
      <c r="B414">
        <v>5.1916000000000002</v>
      </c>
      <c r="C414">
        <v>7.9756999999999998</v>
      </c>
      <c r="D414">
        <v>9.7043999999999997</v>
      </c>
      <c r="E414">
        <v>13.982100000000001</v>
      </c>
      <c r="F414">
        <v>24.1495</v>
      </c>
      <c r="G414">
        <v>36.955800000000004</v>
      </c>
      <c r="H414">
        <v>48.2455</v>
      </c>
      <c r="I414">
        <v>53.951300000000003</v>
      </c>
      <c r="J414">
        <v>66.777600000000007</v>
      </c>
    </row>
    <row r="415" spans="1:10" x14ac:dyDescent="0.4">
      <c r="A415">
        <v>5</v>
      </c>
      <c r="B415">
        <v>2.0562</v>
      </c>
      <c r="C415">
        <v>3.5266000000000002</v>
      </c>
      <c r="D415">
        <v>4.5152000000000001</v>
      </c>
      <c r="E415">
        <v>6.8826000000000001</v>
      </c>
      <c r="F415">
        <v>12.1333</v>
      </c>
      <c r="G415">
        <v>19.190899999999999</v>
      </c>
      <c r="H415">
        <v>26.045999999999999</v>
      </c>
      <c r="I415">
        <v>29.723400000000002</v>
      </c>
      <c r="J415">
        <v>37.465299999999999</v>
      </c>
    </row>
    <row r="416" spans="1:10" x14ac:dyDescent="0.4">
      <c r="A416">
        <v>6</v>
      </c>
      <c r="B416">
        <v>1.9414</v>
      </c>
      <c r="C416">
        <v>3.6021000000000001</v>
      </c>
      <c r="D416">
        <v>4.6947000000000001</v>
      </c>
      <c r="E416">
        <v>6.8753000000000002</v>
      </c>
      <c r="F416">
        <v>10.135199999999999</v>
      </c>
      <c r="G416">
        <v>14.3767</v>
      </c>
      <c r="H416">
        <v>19.458400000000001</v>
      </c>
      <c r="I416">
        <v>22.909400000000002</v>
      </c>
      <c r="J416">
        <v>29.075900000000001</v>
      </c>
    </row>
    <row r="417" spans="1:10" x14ac:dyDescent="0.4">
      <c r="A417">
        <v>7</v>
      </c>
      <c r="B417">
        <v>0.60529999999999995</v>
      </c>
      <c r="C417">
        <v>1.1534</v>
      </c>
      <c r="D417">
        <v>1.5371999999999999</v>
      </c>
      <c r="E417">
        <v>2.2574999999999998</v>
      </c>
      <c r="F417">
        <v>3.1808999999999998</v>
      </c>
      <c r="G417">
        <v>4.2606999999999999</v>
      </c>
      <c r="H417">
        <v>5.4687000000000001</v>
      </c>
      <c r="I417">
        <v>6.3132999999999999</v>
      </c>
      <c r="J417">
        <v>8.0086999999999993</v>
      </c>
    </row>
    <row r="418" spans="1:10" x14ac:dyDescent="0.4">
      <c r="A418">
        <v>8</v>
      </c>
      <c r="B418">
        <v>0.28839999999999999</v>
      </c>
      <c r="C418">
        <v>0.54649999999999999</v>
      </c>
      <c r="D418">
        <v>0.72009999999999996</v>
      </c>
      <c r="E418">
        <v>1.0565</v>
      </c>
      <c r="F418">
        <v>1.4898</v>
      </c>
      <c r="G418">
        <v>2.0034999999999998</v>
      </c>
      <c r="H418">
        <v>2.6181000000000001</v>
      </c>
      <c r="I418">
        <v>3.0912999999999999</v>
      </c>
      <c r="J418">
        <v>4.2329999999999997</v>
      </c>
    </row>
    <row r="419" spans="1:10" x14ac:dyDescent="0.4">
      <c r="A419">
        <v>9</v>
      </c>
      <c r="B419">
        <v>4.02E-2</v>
      </c>
      <c r="C419">
        <v>8.2699999999999996E-2</v>
      </c>
      <c r="D419">
        <v>0.1154</v>
      </c>
      <c r="E419">
        <v>0.17419999999999999</v>
      </c>
      <c r="F419">
        <v>0.2455</v>
      </c>
      <c r="G419">
        <v>0.33910000000000001</v>
      </c>
      <c r="H419">
        <v>0.46650000000000003</v>
      </c>
      <c r="I419">
        <v>0.57350000000000001</v>
      </c>
      <c r="J419">
        <v>0.9869</v>
      </c>
    </row>
    <row r="420" spans="1:10" x14ac:dyDescent="0.4">
      <c r="A420">
        <v>10</v>
      </c>
      <c r="B420">
        <v>1.2200000000000001E-2</v>
      </c>
      <c r="C420">
        <v>2.2100000000000002E-2</v>
      </c>
      <c r="D420">
        <v>2.9499999999999998E-2</v>
      </c>
      <c r="E420">
        <v>4.6699999999999998E-2</v>
      </c>
      <c r="F420">
        <v>6.9199999999999998E-2</v>
      </c>
      <c r="G420">
        <v>9.8799999999999999E-2</v>
      </c>
      <c r="H420">
        <v>0.14499999999999999</v>
      </c>
      <c r="I420">
        <v>0.18720000000000001</v>
      </c>
      <c r="J420">
        <v>0.40439999999999998</v>
      </c>
    </row>
    <row r="421" spans="1:10" x14ac:dyDescent="0.4">
      <c r="A421">
        <v>11</v>
      </c>
      <c r="B421">
        <v>3.8999999999999998E-3</v>
      </c>
      <c r="C421">
        <v>7.4000000000000003E-3</v>
      </c>
      <c r="D421">
        <v>1.0200000000000001E-2</v>
      </c>
      <c r="E421">
        <v>1.5800000000000002E-2</v>
      </c>
      <c r="F421">
        <v>2.4799999999999999E-2</v>
      </c>
      <c r="G421">
        <v>3.7400000000000003E-2</v>
      </c>
      <c r="H421">
        <v>6.4699999999999994E-2</v>
      </c>
      <c r="I421">
        <v>8.3099999999999993E-2</v>
      </c>
      <c r="J421">
        <v>0.27</v>
      </c>
    </row>
    <row r="422" spans="1:10" x14ac:dyDescent="0.4">
      <c r="A422">
        <v>12</v>
      </c>
      <c r="B422">
        <v>5.0000000000000001E-4</v>
      </c>
      <c r="C422">
        <v>1E-3</v>
      </c>
      <c r="D422">
        <v>1.5E-3</v>
      </c>
      <c r="E422">
        <v>2.3999999999999998E-3</v>
      </c>
      <c r="F422">
        <v>4.0000000000000001E-3</v>
      </c>
      <c r="G422">
        <v>6.7999999999999996E-3</v>
      </c>
      <c r="H422">
        <v>1.1599999999999999E-2</v>
      </c>
      <c r="I422">
        <v>1.54E-2</v>
      </c>
      <c r="J422">
        <v>8.1699999999999995E-2</v>
      </c>
    </row>
    <row r="423" spans="1:10" x14ac:dyDescent="0.4">
      <c r="A423">
        <v>13</v>
      </c>
      <c r="B423">
        <v>2.0000000000000001E-4</v>
      </c>
      <c r="C423">
        <v>5.9999999999999995E-4</v>
      </c>
      <c r="D423">
        <v>8.0000000000000004E-4</v>
      </c>
      <c r="E423">
        <v>1.5E-3</v>
      </c>
      <c r="F423">
        <v>2.8999999999999998E-3</v>
      </c>
      <c r="G423">
        <v>5.1999999999999998E-3</v>
      </c>
      <c r="H423">
        <v>1.04E-2</v>
      </c>
      <c r="I423">
        <v>1.5100000000000001E-2</v>
      </c>
      <c r="J423">
        <v>0.1358</v>
      </c>
    </row>
    <row r="424" spans="1:10" x14ac:dyDescent="0.4">
      <c r="A424">
        <v>14</v>
      </c>
      <c r="B424">
        <v>0</v>
      </c>
      <c r="C424">
        <v>0</v>
      </c>
      <c r="D424">
        <v>0</v>
      </c>
      <c r="E424">
        <v>1E-4</v>
      </c>
      <c r="F424">
        <v>2.0000000000000001E-4</v>
      </c>
      <c r="G424">
        <v>5.0000000000000001E-4</v>
      </c>
      <c r="H424">
        <v>8.9999999999999998E-4</v>
      </c>
      <c r="I424">
        <v>1.2999999999999999E-3</v>
      </c>
      <c r="J424">
        <v>1.4500000000000001E-2</v>
      </c>
    </row>
    <row r="425" spans="1:10" x14ac:dyDescent="0.4">
      <c r="A425" t="s">
        <v>29</v>
      </c>
      <c r="B425">
        <v>0</v>
      </c>
      <c r="C425">
        <v>0</v>
      </c>
      <c r="D425">
        <v>0</v>
      </c>
      <c r="E425">
        <v>1E-4</v>
      </c>
      <c r="F425">
        <v>2.0000000000000001E-4</v>
      </c>
      <c r="G425">
        <v>2.9999999999999997E-4</v>
      </c>
      <c r="H425">
        <v>8.0000000000000004E-4</v>
      </c>
      <c r="I425">
        <v>1.4E-3</v>
      </c>
      <c r="J425">
        <v>3.6799999999999999E-2</v>
      </c>
    </row>
    <row r="427" spans="1:10" x14ac:dyDescent="0.4">
      <c r="A427">
        <v>2027</v>
      </c>
    </row>
    <row r="429" spans="1:10" x14ac:dyDescent="0.4">
      <c r="A429" t="s">
        <v>0</v>
      </c>
      <c r="B429" s="2">
        <v>0.01</v>
      </c>
      <c r="C429" s="2">
        <v>0.05</v>
      </c>
      <c r="D429" s="2">
        <v>0.1</v>
      </c>
      <c r="E429" s="2">
        <v>0.25</v>
      </c>
      <c r="F429" s="2">
        <v>0.5</v>
      </c>
      <c r="G429" s="2">
        <v>0.75</v>
      </c>
      <c r="H429" s="2">
        <v>0.9</v>
      </c>
      <c r="I429" s="2">
        <v>0.95</v>
      </c>
      <c r="J429" s="2">
        <v>0.99</v>
      </c>
    </row>
    <row r="430" spans="1:10" x14ac:dyDescent="0.4">
      <c r="A430">
        <v>1</v>
      </c>
      <c r="B430">
        <v>68.663300000000007</v>
      </c>
      <c r="C430">
        <v>70.835499999999996</v>
      </c>
      <c r="D430">
        <v>79.017700000000005</v>
      </c>
      <c r="E430">
        <v>104.8682</v>
      </c>
      <c r="F430">
        <v>168.58150000000001</v>
      </c>
      <c r="G430">
        <v>237.38919999999999</v>
      </c>
      <c r="H430">
        <v>280.54259999999999</v>
      </c>
      <c r="I430">
        <v>307.16180000000003</v>
      </c>
      <c r="J430">
        <v>338.14550000000003</v>
      </c>
    </row>
    <row r="431" spans="1:10" x14ac:dyDescent="0.4">
      <c r="A431">
        <v>2</v>
      </c>
      <c r="B431">
        <v>38.782200000000003</v>
      </c>
      <c r="C431">
        <v>42.511800000000001</v>
      </c>
      <c r="D431">
        <v>46.481699999999996</v>
      </c>
      <c r="E431">
        <v>61.723599999999998</v>
      </c>
      <c r="F431">
        <v>99.823499999999996</v>
      </c>
      <c r="G431">
        <v>141.23220000000001</v>
      </c>
      <c r="H431">
        <v>169.05009999999999</v>
      </c>
      <c r="I431">
        <v>183.80179999999999</v>
      </c>
      <c r="J431">
        <v>214.2972</v>
      </c>
    </row>
    <row r="432" spans="1:10" x14ac:dyDescent="0.4">
      <c r="A432">
        <v>3</v>
      </c>
      <c r="B432">
        <v>15.234400000000001</v>
      </c>
      <c r="C432">
        <v>20.2562</v>
      </c>
      <c r="D432">
        <v>23.088799999999999</v>
      </c>
      <c r="E432">
        <v>31.2118</v>
      </c>
      <c r="F432">
        <v>51.5869</v>
      </c>
      <c r="G432">
        <v>75.048400000000001</v>
      </c>
      <c r="H432">
        <v>93.669399999999996</v>
      </c>
      <c r="I432">
        <v>102.74720000000001</v>
      </c>
      <c r="J432">
        <v>124.709</v>
      </c>
    </row>
    <row r="433" spans="1:10" x14ac:dyDescent="0.4">
      <c r="A433">
        <v>4</v>
      </c>
      <c r="B433">
        <v>3.6728999999999998</v>
      </c>
      <c r="C433">
        <v>6.9371999999999998</v>
      </c>
      <c r="D433">
        <v>8.8714999999999993</v>
      </c>
      <c r="E433">
        <v>13.166399999999999</v>
      </c>
      <c r="F433">
        <v>22.905200000000001</v>
      </c>
      <c r="G433">
        <v>35.529200000000003</v>
      </c>
      <c r="H433">
        <v>47.1158</v>
      </c>
      <c r="I433">
        <v>53.144199999999998</v>
      </c>
      <c r="J433">
        <v>67.3596</v>
      </c>
    </row>
    <row r="434" spans="1:10" x14ac:dyDescent="0.4">
      <c r="A434">
        <v>5</v>
      </c>
      <c r="B434">
        <v>0.96950000000000003</v>
      </c>
      <c r="C434">
        <v>2.4325999999999999</v>
      </c>
      <c r="D434">
        <v>3.4342000000000001</v>
      </c>
      <c r="E434">
        <v>5.7191999999999998</v>
      </c>
      <c r="F434">
        <v>10.4956</v>
      </c>
      <c r="G434">
        <v>17.360600000000002</v>
      </c>
      <c r="H434">
        <v>24.1311</v>
      </c>
      <c r="I434">
        <v>27.9542</v>
      </c>
      <c r="J434">
        <v>36.354700000000001</v>
      </c>
    </row>
    <row r="435" spans="1:10" x14ac:dyDescent="0.4">
      <c r="A435">
        <v>6</v>
      </c>
      <c r="B435">
        <v>0.35799999999999998</v>
      </c>
      <c r="C435">
        <v>1.0387999999999999</v>
      </c>
      <c r="D435">
        <v>1.5541</v>
      </c>
      <c r="E435">
        <v>2.7665999999999999</v>
      </c>
      <c r="F435">
        <v>5.1763000000000003</v>
      </c>
      <c r="G435">
        <v>8.8687000000000005</v>
      </c>
      <c r="H435">
        <v>12.782500000000001</v>
      </c>
      <c r="I435">
        <v>15.1038</v>
      </c>
      <c r="J435">
        <v>19.979399999999998</v>
      </c>
    </row>
    <row r="436" spans="1:10" x14ac:dyDescent="0.4">
      <c r="A436">
        <v>7</v>
      </c>
      <c r="B436">
        <v>0.33100000000000002</v>
      </c>
      <c r="C436">
        <v>1.0459000000000001</v>
      </c>
      <c r="D436">
        <v>1.5779000000000001</v>
      </c>
      <c r="E436">
        <v>2.7263000000000002</v>
      </c>
      <c r="F436">
        <v>4.4640000000000004</v>
      </c>
      <c r="G436">
        <v>6.798</v>
      </c>
      <c r="H436">
        <v>9.6152999999999995</v>
      </c>
      <c r="I436">
        <v>11.588100000000001</v>
      </c>
      <c r="J436">
        <v>15.3764</v>
      </c>
    </row>
    <row r="437" spans="1:10" x14ac:dyDescent="0.4">
      <c r="A437">
        <v>8</v>
      </c>
      <c r="B437">
        <v>0.11219999999999999</v>
      </c>
      <c r="C437">
        <v>0.3473</v>
      </c>
      <c r="D437">
        <v>0.52429999999999999</v>
      </c>
      <c r="E437">
        <v>0.9032</v>
      </c>
      <c r="F437">
        <v>1.4261999999999999</v>
      </c>
      <c r="G437">
        <v>2.0518999999999998</v>
      </c>
      <c r="H437">
        <v>2.7406999999999999</v>
      </c>
      <c r="I437">
        <v>3.2389000000000001</v>
      </c>
      <c r="J437">
        <v>4.2542999999999997</v>
      </c>
    </row>
    <row r="438" spans="1:10" x14ac:dyDescent="0.4">
      <c r="A438">
        <v>9</v>
      </c>
      <c r="B438">
        <v>5.7099999999999998E-2</v>
      </c>
      <c r="C438">
        <v>0.16889999999999999</v>
      </c>
      <c r="D438">
        <v>0.255</v>
      </c>
      <c r="E438">
        <v>0.43359999999999999</v>
      </c>
      <c r="F438">
        <v>0.68049999999999999</v>
      </c>
      <c r="G438">
        <v>0.98280000000000001</v>
      </c>
      <c r="H438">
        <v>1.3321000000000001</v>
      </c>
      <c r="I438">
        <v>1.5965</v>
      </c>
      <c r="J438">
        <v>2.2338</v>
      </c>
    </row>
    <row r="439" spans="1:10" x14ac:dyDescent="0.4">
      <c r="A439">
        <v>10</v>
      </c>
      <c r="B439">
        <v>8.8999999999999999E-3</v>
      </c>
      <c r="C439">
        <v>2.7099999999999999E-2</v>
      </c>
      <c r="D439">
        <v>4.1399999999999999E-2</v>
      </c>
      <c r="E439">
        <v>7.2999999999999995E-2</v>
      </c>
      <c r="F439">
        <v>0.1144</v>
      </c>
      <c r="G439">
        <v>0.16789999999999999</v>
      </c>
      <c r="H439">
        <v>0.23980000000000001</v>
      </c>
      <c r="I439">
        <v>0.30049999999999999</v>
      </c>
      <c r="J439">
        <v>0.51129999999999998</v>
      </c>
    </row>
    <row r="440" spans="1:10" x14ac:dyDescent="0.4">
      <c r="A440">
        <v>11</v>
      </c>
      <c r="B440">
        <v>2.7000000000000001E-3</v>
      </c>
      <c r="C440">
        <v>7.7000000000000002E-3</v>
      </c>
      <c r="D440">
        <v>1.14E-2</v>
      </c>
      <c r="E440">
        <v>1.9900000000000001E-2</v>
      </c>
      <c r="F440">
        <v>3.2599999999999997E-2</v>
      </c>
      <c r="G440">
        <v>4.9299999999999997E-2</v>
      </c>
      <c r="H440">
        <v>7.4099999999999999E-2</v>
      </c>
      <c r="I440">
        <v>9.7900000000000001E-2</v>
      </c>
      <c r="J440">
        <v>0.2074</v>
      </c>
    </row>
    <row r="441" spans="1:10" x14ac:dyDescent="0.4">
      <c r="A441">
        <v>12</v>
      </c>
      <c r="B441">
        <v>1E-3</v>
      </c>
      <c r="C441">
        <v>2.7000000000000001E-3</v>
      </c>
      <c r="D441">
        <v>4.0000000000000001E-3</v>
      </c>
      <c r="E441">
        <v>7.0000000000000001E-3</v>
      </c>
      <c r="F441">
        <v>1.18E-2</v>
      </c>
      <c r="G441">
        <v>1.89E-2</v>
      </c>
      <c r="H441">
        <v>3.2599999999999997E-2</v>
      </c>
      <c r="I441">
        <v>4.3799999999999999E-2</v>
      </c>
      <c r="J441">
        <v>0.14130000000000001</v>
      </c>
    </row>
    <row r="442" spans="1:10" x14ac:dyDescent="0.4">
      <c r="A442">
        <v>13</v>
      </c>
      <c r="B442">
        <v>1E-4</v>
      </c>
      <c r="C442">
        <v>4.0000000000000002E-4</v>
      </c>
      <c r="D442">
        <v>5.9999999999999995E-4</v>
      </c>
      <c r="E442">
        <v>1.1000000000000001E-3</v>
      </c>
      <c r="F442">
        <v>1.9E-3</v>
      </c>
      <c r="G442">
        <v>3.3999999999999998E-3</v>
      </c>
      <c r="H442">
        <v>5.8999999999999999E-3</v>
      </c>
      <c r="I442">
        <v>8.0999999999999996E-3</v>
      </c>
      <c r="J442">
        <v>4.2999999999999997E-2</v>
      </c>
    </row>
    <row r="443" spans="1:10" x14ac:dyDescent="0.4">
      <c r="A443">
        <v>14</v>
      </c>
      <c r="B443">
        <v>1E-4</v>
      </c>
      <c r="C443">
        <v>2.0000000000000001E-4</v>
      </c>
      <c r="D443">
        <v>4.0000000000000002E-4</v>
      </c>
      <c r="E443">
        <v>6.9999999999999999E-4</v>
      </c>
      <c r="F443">
        <v>1.4E-3</v>
      </c>
      <c r="G443">
        <v>2.5999999999999999E-3</v>
      </c>
      <c r="H443">
        <v>5.1999999999999998E-3</v>
      </c>
      <c r="I443">
        <v>7.9000000000000008E-3</v>
      </c>
      <c r="J443">
        <v>7.1499999999999994E-2</v>
      </c>
    </row>
    <row r="444" spans="1:10" x14ac:dyDescent="0.4">
      <c r="A444" t="s">
        <v>29</v>
      </c>
      <c r="B444">
        <v>0</v>
      </c>
      <c r="C444">
        <v>0</v>
      </c>
      <c r="D444">
        <v>0</v>
      </c>
      <c r="E444">
        <v>1E-4</v>
      </c>
      <c r="F444">
        <v>2.0000000000000001E-4</v>
      </c>
      <c r="G444">
        <v>4.0000000000000002E-4</v>
      </c>
      <c r="H444">
        <v>8.9999999999999998E-4</v>
      </c>
      <c r="I444">
        <v>1.4E-3</v>
      </c>
      <c r="J444">
        <v>2.75E-2</v>
      </c>
    </row>
    <row r="446" spans="1:10" x14ac:dyDescent="0.4">
      <c r="A446">
        <v>2028</v>
      </c>
    </row>
    <row r="448" spans="1:10" x14ac:dyDescent="0.4">
      <c r="A448" t="s">
        <v>0</v>
      </c>
      <c r="B448" s="2">
        <v>0.01</v>
      </c>
      <c r="C448" s="2">
        <v>0.05</v>
      </c>
      <c r="D448" s="2">
        <v>0.1</v>
      </c>
      <c r="E448" s="2">
        <v>0.25</v>
      </c>
      <c r="F448" s="2">
        <v>0.5</v>
      </c>
      <c r="G448" s="2">
        <v>0.75</v>
      </c>
      <c r="H448" s="2">
        <v>0.9</v>
      </c>
      <c r="I448" s="2">
        <v>0.95</v>
      </c>
      <c r="J448" s="2">
        <v>0.99</v>
      </c>
    </row>
    <row r="449" spans="1:10" x14ac:dyDescent="0.4">
      <c r="A449">
        <v>1</v>
      </c>
      <c r="B449">
        <v>68.668400000000005</v>
      </c>
      <c r="C449">
        <v>70.8262</v>
      </c>
      <c r="D449">
        <v>79.016900000000007</v>
      </c>
      <c r="E449">
        <v>105.01819999999999</v>
      </c>
      <c r="F449">
        <v>168.59829999999999</v>
      </c>
      <c r="G449">
        <v>237.08860000000001</v>
      </c>
      <c r="H449">
        <v>279.83850000000001</v>
      </c>
      <c r="I449">
        <v>307.02620000000002</v>
      </c>
      <c r="J449">
        <v>333.70030000000003</v>
      </c>
    </row>
    <row r="450" spans="1:10" x14ac:dyDescent="0.4">
      <c r="A450">
        <v>2</v>
      </c>
      <c r="B450">
        <v>38.521799999999999</v>
      </c>
      <c r="C450">
        <v>42.460099999999997</v>
      </c>
      <c r="D450">
        <v>46.423099999999998</v>
      </c>
      <c r="E450">
        <v>61.564399999999999</v>
      </c>
      <c r="F450">
        <v>99.549599999999998</v>
      </c>
      <c r="G450">
        <v>141.4941</v>
      </c>
      <c r="H450">
        <v>169.2961</v>
      </c>
      <c r="I450">
        <v>183.92949999999999</v>
      </c>
      <c r="J450">
        <v>210.279</v>
      </c>
    </row>
    <row r="451" spans="1:10" x14ac:dyDescent="0.4">
      <c r="A451">
        <v>3</v>
      </c>
      <c r="B451">
        <v>13.912800000000001</v>
      </c>
      <c r="C451">
        <v>19.991399999999999</v>
      </c>
      <c r="D451">
        <v>22.906500000000001</v>
      </c>
      <c r="E451">
        <v>31.051500000000001</v>
      </c>
      <c r="F451">
        <v>51.626600000000003</v>
      </c>
      <c r="G451">
        <v>75.208200000000005</v>
      </c>
      <c r="H451">
        <v>94.054299999999998</v>
      </c>
      <c r="I451">
        <v>103.3612</v>
      </c>
      <c r="J451">
        <v>124.7026</v>
      </c>
    </row>
    <row r="452" spans="1:10" x14ac:dyDescent="0.4">
      <c r="A452">
        <v>4</v>
      </c>
      <c r="B452">
        <v>2.7564000000000002</v>
      </c>
      <c r="C452">
        <v>6.5576999999999996</v>
      </c>
      <c r="D452">
        <v>8.7403999999999993</v>
      </c>
      <c r="E452">
        <v>13.2323</v>
      </c>
      <c r="F452">
        <v>23.167999999999999</v>
      </c>
      <c r="G452">
        <v>36.062899999999999</v>
      </c>
      <c r="H452">
        <v>48.160200000000003</v>
      </c>
      <c r="I452">
        <v>54.269399999999997</v>
      </c>
      <c r="J452">
        <v>69.577500000000001</v>
      </c>
    </row>
    <row r="453" spans="1:10" x14ac:dyDescent="0.4">
      <c r="A453">
        <v>5</v>
      </c>
      <c r="B453">
        <v>0.51029999999999998</v>
      </c>
      <c r="C453">
        <v>1.8875</v>
      </c>
      <c r="D453">
        <v>2.9186999999999999</v>
      </c>
      <c r="E453">
        <v>5.2133000000000003</v>
      </c>
      <c r="F453">
        <v>9.7803000000000004</v>
      </c>
      <c r="G453">
        <v>16.5898</v>
      </c>
      <c r="H453">
        <v>23.3886</v>
      </c>
      <c r="I453">
        <v>27.346599999999999</v>
      </c>
      <c r="J453">
        <v>36.5931</v>
      </c>
    </row>
    <row r="454" spans="1:10" x14ac:dyDescent="0.4">
      <c r="A454">
        <v>6</v>
      </c>
      <c r="B454">
        <v>0.12189999999999999</v>
      </c>
      <c r="C454">
        <v>0.63229999999999997</v>
      </c>
      <c r="D454">
        <v>1.0929</v>
      </c>
      <c r="E454">
        <v>2.2044999999999999</v>
      </c>
      <c r="F454">
        <v>4.4050000000000002</v>
      </c>
      <c r="G454">
        <v>7.9386999999999999</v>
      </c>
      <c r="H454">
        <v>11.7584</v>
      </c>
      <c r="I454">
        <v>14.086499999999999</v>
      </c>
      <c r="J454">
        <v>19.4803</v>
      </c>
    </row>
    <row r="455" spans="1:10" x14ac:dyDescent="0.4">
      <c r="A455">
        <v>7</v>
      </c>
      <c r="B455">
        <v>4.65E-2</v>
      </c>
      <c r="C455">
        <v>0.27439999999999998</v>
      </c>
      <c r="D455">
        <v>0.49480000000000002</v>
      </c>
      <c r="E455">
        <v>1.0738000000000001</v>
      </c>
      <c r="F455">
        <v>2.1886000000000001</v>
      </c>
      <c r="G455">
        <v>4.0659000000000001</v>
      </c>
      <c r="H455">
        <v>6.2165999999999997</v>
      </c>
      <c r="I455">
        <v>7.6230000000000002</v>
      </c>
      <c r="J455">
        <v>10.635</v>
      </c>
    </row>
    <row r="456" spans="1:10" x14ac:dyDescent="0.4">
      <c r="A456">
        <v>8</v>
      </c>
      <c r="B456">
        <v>4.4200000000000003E-2</v>
      </c>
      <c r="C456">
        <v>0.27639999999999998</v>
      </c>
      <c r="D456">
        <v>0.50219999999999998</v>
      </c>
      <c r="E456">
        <v>1.0552999999999999</v>
      </c>
      <c r="F456">
        <v>1.9571000000000001</v>
      </c>
      <c r="G456">
        <v>3.2088999999999999</v>
      </c>
      <c r="H456">
        <v>4.7655000000000003</v>
      </c>
      <c r="I456">
        <v>5.8983999999999996</v>
      </c>
      <c r="J456">
        <v>8.2015999999999991</v>
      </c>
    </row>
    <row r="457" spans="1:10" x14ac:dyDescent="0.4">
      <c r="A457">
        <v>9</v>
      </c>
      <c r="B457">
        <v>1.6E-2</v>
      </c>
      <c r="C457">
        <v>9.4700000000000006E-2</v>
      </c>
      <c r="D457">
        <v>0.1711</v>
      </c>
      <c r="E457">
        <v>0.35549999999999998</v>
      </c>
      <c r="F457">
        <v>0.63739999999999997</v>
      </c>
      <c r="G457">
        <v>0.98980000000000001</v>
      </c>
      <c r="H457">
        <v>1.3898999999999999</v>
      </c>
      <c r="I457">
        <v>1.6734</v>
      </c>
      <c r="J457">
        <v>2.2843</v>
      </c>
    </row>
    <row r="458" spans="1:10" x14ac:dyDescent="0.4">
      <c r="A458">
        <v>10</v>
      </c>
      <c r="B458">
        <v>8.5000000000000006E-3</v>
      </c>
      <c r="C458">
        <v>4.87E-2</v>
      </c>
      <c r="D458">
        <v>8.5999999999999993E-2</v>
      </c>
      <c r="E458">
        <v>0.17560000000000001</v>
      </c>
      <c r="F458">
        <v>0.31</v>
      </c>
      <c r="G458">
        <v>0.48249999999999998</v>
      </c>
      <c r="H458">
        <v>0.68149999999999999</v>
      </c>
      <c r="I458">
        <v>0.83230000000000004</v>
      </c>
      <c r="J458">
        <v>1.1882999999999999</v>
      </c>
    </row>
    <row r="459" spans="1:10" x14ac:dyDescent="0.4">
      <c r="A459">
        <v>11</v>
      </c>
      <c r="B459">
        <v>1.5E-3</v>
      </c>
      <c r="C459">
        <v>8.0999999999999996E-3</v>
      </c>
      <c r="D459">
        <v>1.4500000000000001E-2</v>
      </c>
      <c r="E459">
        <v>2.9899999999999999E-2</v>
      </c>
      <c r="F459">
        <v>5.2999999999999999E-2</v>
      </c>
      <c r="G459">
        <v>8.3299999999999999E-2</v>
      </c>
      <c r="H459">
        <v>0.12330000000000001</v>
      </c>
      <c r="I459">
        <v>0.15670000000000001</v>
      </c>
      <c r="J459">
        <v>0.26329999999999998</v>
      </c>
    </row>
    <row r="460" spans="1:10" x14ac:dyDescent="0.4">
      <c r="A460">
        <v>12</v>
      </c>
      <c r="B460">
        <v>5.0000000000000001E-4</v>
      </c>
      <c r="C460">
        <v>2.3999999999999998E-3</v>
      </c>
      <c r="D460">
        <v>4.1000000000000003E-3</v>
      </c>
      <c r="E460">
        <v>8.3999999999999995E-3</v>
      </c>
      <c r="F460">
        <v>1.52E-2</v>
      </c>
      <c r="G460">
        <v>2.46E-2</v>
      </c>
      <c r="H460">
        <v>3.7999999999999999E-2</v>
      </c>
      <c r="I460">
        <v>5.0999999999999997E-2</v>
      </c>
      <c r="J460">
        <v>0.1072</v>
      </c>
    </row>
    <row r="461" spans="1:10" x14ac:dyDescent="0.4">
      <c r="A461">
        <v>13</v>
      </c>
      <c r="B461">
        <v>2.0000000000000001E-4</v>
      </c>
      <c r="C461">
        <v>8.9999999999999998E-4</v>
      </c>
      <c r="D461">
        <v>1.5E-3</v>
      </c>
      <c r="E461">
        <v>3.0000000000000001E-3</v>
      </c>
      <c r="F461">
        <v>5.4999999999999997E-3</v>
      </c>
      <c r="G461">
        <v>9.4999999999999998E-3</v>
      </c>
      <c r="H461">
        <v>1.6400000000000001E-2</v>
      </c>
      <c r="I461">
        <v>2.3E-2</v>
      </c>
      <c r="J461">
        <v>7.2599999999999998E-2</v>
      </c>
    </row>
    <row r="462" spans="1:10" x14ac:dyDescent="0.4">
      <c r="A462">
        <v>14</v>
      </c>
      <c r="B462">
        <v>0</v>
      </c>
      <c r="C462">
        <v>1E-4</v>
      </c>
      <c r="D462">
        <v>2.0000000000000001E-4</v>
      </c>
      <c r="E462">
        <v>5.0000000000000001E-4</v>
      </c>
      <c r="F462">
        <v>8.9999999999999998E-4</v>
      </c>
      <c r="G462">
        <v>1.6999999999999999E-3</v>
      </c>
      <c r="H462">
        <v>3.0000000000000001E-3</v>
      </c>
      <c r="I462">
        <v>4.3E-3</v>
      </c>
      <c r="J462">
        <v>2.2100000000000002E-2</v>
      </c>
    </row>
    <row r="463" spans="1:10" x14ac:dyDescent="0.4">
      <c r="A463" t="s">
        <v>29</v>
      </c>
      <c r="B463">
        <v>0</v>
      </c>
      <c r="C463">
        <v>1E-4</v>
      </c>
      <c r="D463">
        <v>2.0000000000000001E-4</v>
      </c>
      <c r="E463">
        <v>2.9999999999999997E-4</v>
      </c>
      <c r="F463">
        <v>6.9999999999999999E-4</v>
      </c>
      <c r="G463">
        <v>1.5E-3</v>
      </c>
      <c r="H463">
        <v>3.0999999999999999E-3</v>
      </c>
      <c r="I463">
        <v>4.7999999999999996E-3</v>
      </c>
      <c r="J463">
        <v>5.1200000000000002E-2</v>
      </c>
    </row>
    <row r="465" spans="1:10" x14ac:dyDescent="0.4">
      <c r="A465">
        <v>2029</v>
      </c>
    </row>
    <row r="467" spans="1:10" x14ac:dyDescent="0.4">
      <c r="A467" t="s">
        <v>0</v>
      </c>
      <c r="B467" s="2">
        <v>0.01</v>
      </c>
      <c r="C467" s="2">
        <v>0.05</v>
      </c>
      <c r="D467" s="2">
        <v>0.1</v>
      </c>
      <c r="E467" s="2">
        <v>0.25</v>
      </c>
      <c r="F467" s="2">
        <v>0.5</v>
      </c>
      <c r="G467" s="2">
        <v>0.75</v>
      </c>
      <c r="H467" s="2">
        <v>0.9</v>
      </c>
      <c r="I467" s="2">
        <v>0.95</v>
      </c>
      <c r="J467" s="2">
        <v>0.99</v>
      </c>
    </row>
    <row r="468" spans="1:10" x14ac:dyDescent="0.4">
      <c r="A468">
        <v>1</v>
      </c>
      <c r="B468">
        <v>68.658500000000004</v>
      </c>
      <c r="C468">
        <v>70.7684</v>
      </c>
      <c r="D468">
        <v>79.092600000000004</v>
      </c>
      <c r="E468">
        <v>104.2825</v>
      </c>
      <c r="F468">
        <v>168.52629999999999</v>
      </c>
      <c r="G468">
        <v>237.17850000000001</v>
      </c>
      <c r="H468">
        <v>280.99829999999997</v>
      </c>
      <c r="I468">
        <v>307.55419999999998</v>
      </c>
      <c r="J468">
        <v>326.28429999999997</v>
      </c>
    </row>
    <row r="469" spans="1:10" x14ac:dyDescent="0.4">
      <c r="A469">
        <v>2</v>
      </c>
      <c r="B469">
        <v>38.1036</v>
      </c>
      <c r="C469">
        <v>42.1036</v>
      </c>
      <c r="D469">
        <v>46.058500000000002</v>
      </c>
      <c r="E469">
        <v>61.143500000000003</v>
      </c>
      <c r="F469">
        <v>99.013099999999994</v>
      </c>
      <c r="G469">
        <v>140.41139999999999</v>
      </c>
      <c r="H469">
        <v>167.91650000000001</v>
      </c>
      <c r="I469">
        <v>182.71520000000001</v>
      </c>
      <c r="J469">
        <v>208.6781</v>
      </c>
    </row>
    <row r="470" spans="1:10" x14ac:dyDescent="0.4">
      <c r="A470">
        <v>3</v>
      </c>
      <c r="B470">
        <v>14.066599999999999</v>
      </c>
      <c r="C470">
        <v>20.102900000000002</v>
      </c>
      <c r="D470">
        <v>23.007000000000001</v>
      </c>
      <c r="E470">
        <v>31.205200000000001</v>
      </c>
      <c r="F470">
        <v>51.822499999999998</v>
      </c>
      <c r="G470">
        <v>75.680099999999996</v>
      </c>
      <c r="H470">
        <v>94.686800000000005</v>
      </c>
      <c r="I470">
        <v>103.8391</v>
      </c>
      <c r="J470">
        <v>123.9135</v>
      </c>
    </row>
    <row r="471" spans="1:10" x14ac:dyDescent="0.4">
      <c r="A471">
        <v>4</v>
      </c>
      <c r="B471">
        <v>2.6694</v>
      </c>
      <c r="C471">
        <v>6.7870999999999997</v>
      </c>
      <c r="D471">
        <v>9.0273000000000003</v>
      </c>
      <c r="E471">
        <v>13.667999999999999</v>
      </c>
      <c r="F471">
        <v>23.913499999999999</v>
      </c>
      <c r="G471">
        <v>37.1404</v>
      </c>
      <c r="H471">
        <v>49.529400000000003</v>
      </c>
      <c r="I471">
        <v>55.778199999999998</v>
      </c>
      <c r="J471">
        <v>70.557299999999998</v>
      </c>
    </row>
    <row r="472" spans="1:10" x14ac:dyDescent="0.4">
      <c r="A472">
        <v>5</v>
      </c>
      <c r="B472">
        <v>0.39500000000000002</v>
      </c>
      <c r="C472">
        <v>1.9077</v>
      </c>
      <c r="D472">
        <v>3.0272999999999999</v>
      </c>
      <c r="E472">
        <v>5.5113000000000003</v>
      </c>
      <c r="F472">
        <v>10.315</v>
      </c>
      <c r="G472">
        <v>17.4069</v>
      </c>
      <c r="H472">
        <v>24.639900000000001</v>
      </c>
      <c r="I472">
        <v>28.7593</v>
      </c>
      <c r="J472">
        <v>38.4908</v>
      </c>
    </row>
    <row r="473" spans="1:10" x14ac:dyDescent="0.4">
      <c r="A473">
        <v>6</v>
      </c>
      <c r="B473">
        <v>6.6699999999999995E-2</v>
      </c>
      <c r="C473">
        <v>0.51759999999999995</v>
      </c>
      <c r="D473">
        <v>0.97399999999999998</v>
      </c>
      <c r="E473">
        <v>2.1114999999999999</v>
      </c>
      <c r="F473">
        <v>4.3052999999999999</v>
      </c>
      <c r="G473">
        <v>7.9055999999999997</v>
      </c>
      <c r="H473">
        <v>11.7715</v>
      </c>
      <c r="I473">
        <v>14.2599</v>
      </c>
      <c r="J473">
        <v>19.976900000000001</v>
      </c>
    </row>
    <row r="474" spans="1:10" x14ac:dyDescent="0.4">
      <c r="A474">
        <v>7</v>
      </c>
      <c r="B474">
        <v>1.6299999999999999E-2</v>
      </c>
      <c r="C474">
        <v>0.17749999999999999</v>
      </c>
      <c r="D474">
        <v>0.36549999999999999</v>
      </c>
      <c r="E474">
        <v>0.89349999999999996</v>
      </c>
      <c r="F474">
        <v>1.9609000000000001</v>
      </c>
      <c r="G474">
        <v>3.7957000000000001</v>
      </c>
      <c r="H474">
        <v>5.9210000000000003</v>
      </c>
      <c r="I474">
        <v>7.3329000000000004</v>
      </c>
      <c r="J474">
        <v>10.649100000000001</v>
      </c>
    </row>
    <row r="475" spans="1:10" x14ac:dyDescent="0.4">
      <c r="A475">
        <v>8</v>
      </c>
      <c r="B475">
        <v>6.3E-3</v>
      </c>
      <c r="C475">
        <v>7.9000000000000001E-2</v>
      </c>
      <c r="D475">
        <v>0.16930000000000001</v>
      </c>
      <c r="E475">
        <v>0.44009999999999999</v>
      </c>
      <c r="F475">
        <v>0.99239999999999995</v>
      </c>
      <c r="G475">
        <v>1.9611000000000001</v>
      </c>
      <c r="H475">
        <v>3.149</v>
      </c>
      <c r="I475">
        <v>3.9910000000000001</v>
      </c>
      <c r="J475">
        <v>5.8205999999999998</v>
      </c>
    </row>
    <row r="476" spans="1:10" x14ac:dyDescent="0.4">
      <c r="A476">
        <v>9</v>
      </c>
      <c r="B476">
        <v>6.3E-3</v>
      </c>
      <c r="C476">
        <v>8.0699999999999994E-2</v>
      </c>
      <c r="D476">
        <v>0.17299999999999999</v>
      </c>
      <c r="E476">
        <v>0.43530000000000002</v>
      </c>
      <c r="F476">
        <v>0.90610000000000002</v>
      </c>
      <c r="G476">
        <v>1.5940000000000001</v>
      </c>
      <c r="H476">
        <v>2.472</v>
      </c>
      <c r="I476">
        <v>3.1084999999999998</v>
      </c>
      <c r="J476">
        <v>4.4962</v>
      </c>
    </row>
    <row r="477" spans="1:10" x14ac:dyDescent="0.4">
      <c r="A477">
        <v>10</v>
      </c>
      <c r="B477">
        <v>2.5000000000000001E-3</v>
      </c>
      <c r="C477">
        <v>2.8400000000000002E-2</v>
      </c>
      <c r="D477">
        <v>6.1199999999999997E-2</v>
      </c>
      <c r="E477">
        <v>0.14949999999999999</v>
      </c>
      <c r="F477">
        <v>0.29920000000000002</v>
      </c>
      <c r="G477">
        <v>0.50049999999999994</v>
      </c>
      <c r="H477">
        <v>0.7319</v>
      </c>
      <c r="I477">
        <v>0.90010000000000001</v>
      </c>
      <c r="J477">
        <v>1.2722</v>
      </c>
    </row>
    <row r="478" spans="1:10" x14ac:dyDescent="0.4">
      <c r="A478">
        <v>11</v>
      </c>
      <c r="B478">
        <v>1.4E-3</v>
      </c>
      <c r="C478">
        <v>1.4999999999999999E-2</v>
      </c>
      <c r="D478">
        <v>3.1399999999999997E-2</v>
      </c>
      <c r="E478">
        <v>7.4999999999999997E-2</v>
      </c>
      <c r="F478">
        <v>0.14779999999999999</v>
      </c>
      <c r="G478">
        <v>0.24660000000000001</v>
      </c>
      <c r="H478">
        <v>0.36130000000000001</v>
      </c>
      <c r="I478">
        <v>0.44900000000000001</v>
      </c>
      <c r="J478">
        <v>0.65949999999999998</v>
      </c>
    </row>
    <row r="479" spans="1:10" x14ac:dyDescent="0.4">
      <c r="A479">
        <v>12</v>
      </c>
      <c r="B479">
        <v>2.9999999999999997E-4</v>
      </c>
      <c r="C479">
        <v>2.5999999999999999E-3</v>
      </c>
      <c r="D479">
        <v>5.4000000000000003E-3</v>
      </c>
      <c r="E479">
        <v>1.2999999999999999E-2</v>
      </c>
      <c r="F479">
        <v>2.5600000000000001E-2</v>
      </c>
      <c r="G479">
        <v>4.2900000000000001E-2</v>
      </c>
      <c r="H479">
        <v>6.5699999999999995E-2</v>
      </c>
      <c r="I479">
        <v>8.4500000000000006E-2</v>
      </c>
      <c r="J479">
        <v>0.1426</v>
      </c>
    </row>
    <row r="480" spans="1:10" x14ac:dyDescent="0.4">
      <c r="A480">
        <v>13</v>
      </c>
      <c r="B480">
        <v>1E-4</v>
      </c>
      <c r="C480">
        <v>8.0000000000000004E-4</v>
      </c>
      <c r="D480">
        <v>1.6000000000000001E-3</v>
      </c>
      <c r="E480">
        <v>3.7000000000000002E-3</v>
      </c>
      <c r="F480">
        <v>7.4000000000000003E-3</v>
      </c>
      <c r="G480">
        <v>1.2699999999999999E-2</v>
      </c>
      <c r="H480">
        <v>2.0199999999999999E-2</v>
      </c>
      <c r="I480">
        <v>2.75E-2</v>
      </c>
      <c r="J480">
        <v>5.6899999999999999E-2</v>
      </c>
    </row>
    <row r="481" spans="1:10" x14ac:dyDescent="0.4">
      <c r="A481">
        <v>14</v>
      </c>
      <c r="B481">
        <v>0</v>
      </c>
      <c r="C481">
        <v>2.9999999999999997E-4</v>
      </c>
      <c r="D481">
        <v>5.9999999999999995E-4</v>
      </c>
      <c r="E481">
        <v>1.2999999999999999E-3</v>
      </c>
      <c r="F481">
        <v>2.7000000000000001E-3</v>
      </c>
      <c r="G481">
        <v>4.8999999999999998E-3</v>
      </c>
      <c r="H481">
        <v>8.6E-3</v>
      </c>
      <c r="I481">
        <v>1.23E-2</v>
      </c>
      <c r="J481">
        <v>3.7699999999999997E-2</v>
      </c>
    </row>
    <row r="482" spans="1:10" x14ac:dyDescent="0.4">
      <c r="A482" t="s">
        <v>29</v>
      </c>
      <c r="B482">
        <v>0</v>
      </c>
      <c r="C482">
        <v>1E-4</v>
      </c>
      <c r="D482">
        <v>2.0000000000000001E-4</v>
      </c>
      <c r="E482">
        <v>4.0000000000000002E-4</v>
      </c>
      <c r="F482">
        <v>8.0000000000000004E-4</v>
      </c>
      <c r="G482">
        <v>1.6000000000000001E-3</v>
      </c>
      <c r="H482">
        <v>3.2000000000000002E-3</v>
      </c>
      <c r="I482">
        <v>4.8999999999999998E-3</v>
      </c>
      <c r="J482">
        <v>3.8399999999999997E-2</v>
      </c>
    </row>
    <row r="484" spans="1:10" x14ac:dyDescent="0.4">
      <c r="A484">
        <v>2030</v>
      </c>
    </row>
    <row r="486" spans="1:10" x14ac:dyDescent="0.4">
      <c r="A486" t="s">
        <v>0</v>
      </c>
      <c r="B486" s="2">
        <v>0.01</v>
      </c>
      <c r="C486" s="2">
        <v>0.05</v>
      </c>
      <c r="D486" s="2">
        <v>0.1</v>
      </c>
      <c r="E486" s="2">
        <v>0.25</v>
      </c>
      <c r="F486" s="2">
        <v>0.5</v>
      </c>
      <c r="G486" s="2">
        <v>0.75</v>
      </c>
      <c r="H486" s="2">
        <v>0.9</v>
      </c>
      <c r="I486" s="2">
        <v>0.95</v>
      </c>
      <c r="J486" s="2">
        <v>0.99</v>
      </c>
    </row>
    <row r="487" spans="1:10" x14ac:dyDescent="0.4">
      <c r="A487">
        <v>1</v>
      </c>
      <c r="B487">
        <v>68.659800000000004</v>
      </c>
      <c r="C487">
        <v>70.732200000000006</v>
      </c>
      <c r="D487">
        <v>78.971800000000002</v>
      </c>
      <c r="E487">
        <v>104.381</v>
      </c>
      <c r="F487">
        <v>168.49799999999999</v>
      </c>
      <c r="G487">
        <v>236.7998</v>
      </c>
      <c r="H487">
        <v>279.5505</v>
      </c>
      <c r="I487">
        <v>306.78930000000003</v>
      </c>
      <c r="J487">
        <v>332.0204</v>
      </c>
    </row>
    <row r="488" spans="1:10" x14ac:dyDescent="0.4">
      <c r="A488">
        <v>2</v>
      </c>
      <c r="B488">
        <v>38.0578</v>
      </c>
      <c r="C488">
        <v>42.148600000000002</v>
      </c>
      <c r="D488">
        <v>46.075600000000001</v>
      </c>
      <c r="E488">
        <v>60.8703</v>
      </c>
      <c r="F488">
        <v>98.795599999999993</v>
      </c>
      <c r="G488">
        <v>140.6533</v>
      </c>
      <c r="H488">
        <v>168.56100000000001</v>
      </c>
      <c r="I488">
        <v>183.37970000000001</v>
      </c>
      <c r="J488">
        <v>207.26580000000001</v>
      </c>
    </row>
    <row r="489" spans="1:10" x14ac:dyDescent="0.4">
      <c r="A489">
        <v>3</v>
      </c>
      <c r="B489">
        <v>13.5962</v>
      </c>
      <c r="C489">
        <v>19.8888</v>
      </c>
      <c r="D489">
        <v>22.8721</v>
      </c>
      <c r="E489">
        <v>31.1113</v>
      </c>
      <c r="F489">
        <v>51.596200000000003</v>
      </c>
      <c r="G489">
        <v>74.869</v>
      </c>
      <c r="H489">
        <v>94.076700000000002</v>
      </c>
      <c r="I489">
        <v>103.34399999999999</v>
      </c>
      <c r="J489">
        <v>122.29049999999999</v>
      </c>
    </row>
    <row r="490" spans="1:10" x14ac:dyDescent="0.4">
      <c r="A490">
        <v>4</v>
      </c>
      <c r="B490">
        <v>2.7239</v>
      </c>
      <c r="C490">
        <v>6.7869999999999999</v>
      </c>
      <c r="D490">
        <v>9.1153999999999993</v>
      </c>
      <c r="E490">
        <v>13.758100000000001</v>
      </c>
      <c r="F490">
        <v>24.072299999999998</v>
      </c>
      <c r="G490">
        <v>37.442700000000002</v>
      </c>
      <c r="H490">
        <v>49.929699999999997</v>
      </c>
      <c r="I490">
        <v>56.360199999999999</v>
      </c>
      <c r="J490">
        <v>70.107600000000005</v>
      </c>
    </row>
    <row r="491" spans="1:10" x14ac:dyDescent="0.4">
      <c r="A491">
        <v>5</v>
      </c>
      <c r="B491">
        <v>0.37859999999999999</v>
      </c>
      <c r="C491">
        <v>1.9524999999999999</v>
      </c>
      <c r="D491">
        <v>3.1478999999999999</v>
      </c>
      <c r="E491">
        <v>5.6989000000000001</v>
      </c>
      <c r="F491">
        <v>10.661199999999999</v>
      </c>
      <c r="G491">
        <v>17.991700000000002</v>
      </c>
      <c r="H491">
        <v>25.3992</v>
      </c>
      <c r="I491">
        <v>29.527699999999999</v>
      </c>
      <c r="J491">
        <v>39.383499999999998</v>
      </c>
    </row>
    <row r="492" spans="1:10" x14ac:dyDescent="0.4">
      <c r="A492">
        <v>6</v>
      </c>
      <c r="B492">
        <v>5.4300000000000001E-2</v>
      </c>
      <c r="C492">
        <v>0.52190000000000003</v>
      </c>
      <c r="D492">
        <v>1.0041</v>
      </c>
      <c r="E492">
        <v>2.2298</v>
      </c>
      <c r="F492">
        <v>4.5525000000000002</v>
      </c>
      <c r="G492">
        <v>8.3181999999999992</v>
      </c>
      <c r="H492">
        <v>12.4459</v>
      </c>
      <c r="I492">
        <v>15.0555</v>
      </c>
      <c r="J492">
        <v>21.072299999999998</v>
      </c>
    </row>
    <row r="493" spans="1:10" x14ac:dyDescent="0.4">
      <c r="A493">
        <v>7</v>
      </c>
      <c r="B493">
        <v>9.1999999999999998E-3</v>
      </c>
      <c r="C493">
        <v>0.14249999999999999</v>
      </c>
      <c r="D493">
        <v>0.32229999999999998</v>
      </c>
      <c r="E493">
        <v>0.85119999999999996</v>
      </c>
      <c r="F493">
        <v>1.9198</v>
      </c>
      <c r="G493">
        <v>3.7745000000000002</v>
      </c>
      <c r="H493">
        <v>5.9451000000000001</v>
      </c>
      <c r="I493">
        <v>7.4326999999999996</v>
      </c>
      <c r="J493">
        <v>10.926600000000001</v>
      </c>
    </row>
    <row r="494" spans="1:10" x14ac:dyDescent="0.4">
      <c r="A494">
        <v>8</v>
      </c>
      <c r="B494">
        <v>2.3E-3</v>
      </c>
      <c r="C494">
        <v>4.99E-2</v>
      </c>
      <c r="D494">
        <v>0.1239</v>
      </c>
      <c r="E494">
        <v>0.36459999999999998</v>
      </c>
      <c r="F494">
        <v>0.88580000000000003</v>
      </c>
      <c r="G494">
        <v>1.8323</v>
      </c>
      <c r="H494">
        <v>3.0110999999999999</v>
      </c>
      <c r="I494">
        <v>3.8460999999999999</v>
      </c>
      <c r="J494">
        <v>5.8398000000000003</v>
      </c>
    </row>
    <row r="495" spans="1:10" x14ac:dyDescent="0.4">
      <c r="A495">
        <v>9</v>
      </c>
      <c r="B495">
        <v>1E-3</v>
      </c>
      <c r="C495">
        <v>2.3099999999999999E-2</v>
      </c>
      <c r="D495">
        <v>5.8999999999999997E-2</v>
      </c>
      <c r="E495">
        <v>0.18240000000000001</v>
      </c>
      <c r="F495">
        <v>0.45789999999999997</v>
      </c>
      <c r="G495">
        <v>0.96220000000000006</v>
      </c>
      <c r="H495">
        <v>1.6208</v>
      </c>
      <c r="I495">
        <v>2.1135999999999999</v>
      </c>
      <c r="J495">
        <v>3.2143999999999999</v>
      </c>
    </row>
    <row r="496" spans="1:10" x14ac:dyDescent="0.4">
      <c r="A496">
        <v>10</v>
      </c>
      <c r="B496">
        <v>1E-3</v>
      </c>
      <c r="C496">
        <v>2.3900000000000001E-2</v>
      </c>
      <c r="D496">
        <v>6.1100000000000002E-2</v>
      </c>
      <c r="E496">
        <v>0.18279999999999999</v>
      </c>
      <c r="F496">
        <v>0.42630000000000001</v>
      </c>
      <c r="G496">
        <v>0.80169999999999997</v>
      </c>
      <c r="H496">
        <v>1.2937000000000001</v>
      </c>
      <c r="I496">
        <v>1.6671</v>
      </c>
      <c r="J496">
        <v>2.5034000000000001</v>
      </c>
    </row>
    <row r="497" spans="1:10" x14ac:dyDescent="0.4">
      <c r="A497">
        <v>11</v>
      </c>
      <c r="B497">
        <v>4.0000000000000002E-4</v>
      </c>
      <c r="C497">
        <v>8.6999999999999994E-3</v>
      </c>
      <c r="D497">
        <v>2.2100000000000002E-2</v>
      </c>
      <c r="E497">
        <v>6.3700000000000007E-2</v>
      </c>
      <c r="F497">
        <v>0.14249999999999999</v>
      </c>
      <c r="G497">
        <v>0.25530000000000003</v>
      </c>
      <c r="H497">
        <v>0.3891</v>
      </c>
      <c r="I497">
        <v>0.4879</v>
      </c>
      <c r="J497">
        <v>0.71330000000000005</v>
      </c>
    </row>
    <row r="498" spans="1:10" x14ac:dyDescent="0.4">
      <c r="A498">
        <v>12</v>
      </c>
      <c r="B498">
        <v>2.9999999999999997E-4</v>
      </c>
      <c r="C498">
        <v>4.7000000000000002E-3</v>
      </c>
      <c r="D498">
        <v>1.1599999999999999E-2</v>
      </c>
      <c r="E498">
        <v>3.2300000000000002E-2</v>
      </c>
      <c r="F498">
        <v>7.1099999999999997E-2</v>
      </c>
      <c r="G498">
        <v>0.12659999999999999</v>
      </c>
      <c r="H498">
        <v>0.193</v>
      </c>
      <c r="I498">
        <v>0.24379999999999999</v>
      </c>
      <c r="J498">
        <v>0.36699999999999999</v>
      </c>
    </row>
    <row r="499" spans="1:10" x14ac:dyDescent="0.4">
      <c r="A499">
        <v>13</v>
      </c>
      <c r="B499">
        <v>0</v>
      </c>
      <c r="C499">
        <v>8.0000000000000004E-4</v>
      </c>
      <c r="D499">
        <v>2E-3</v>
      </c>
      <c r="E499">
        <v>5.7000000000000002E-3</v>
      </c>
      <c r="F499">
        <v>1.24E-2</v>
      </c>
      <c r="G499">
        <v>2.2200000000000001E-2</v>
      </c>
      <c r="H499">
        <v>3.5099999999999999E-2</v>
      </c>
      <c r="I499">
        <v>4.5900000000000003E-2</v>
      </c>
      <c r="J499">
        <v>7.7700000000000005E-2</v>
      </c>
    </row>
    <row r="500" spans="1:10" x14ac:dyDescent="0.4">
      <c r="A500">
        <v>14</v>
      </c>
      <c r="B500">
        <v>0</v>
      </c>
      <c r="C500">
        <v>2.9999999999999997E-4</v>
      </c>
      <c r="D500">
        <v>5.9999999999999995E-4</v>
      </c>
      <c r="E500">
        <v>1.6000000000000001E-3</v>
      </c>
      <c r="F500">
        <v>3.5999999999999999E-3</v>
      </c>
      <c r="G500">
        <v>6.6E-3</v>
      </c>
      <c r="H500">
        <v>1.0800000000000001E-2</v>
      </c>
      <c r="I500">
        <v>1.4800000000000001E-2</v>
      </c>
      <c r="J500">
        <v>3.0200000000000001E-2</v>
      </c>
    </row>
    <row r="501" spans="1:10" x14ac:dyDescent="0.4">
      <c r="A501" t="s">
        <v>29</v>
      </c>
      <c r="B501">
        <v>0</v>
      </c>
      <c r="C501">
        <v>1E-4</v>
      </c>
      <c r="D501">
        <v>2.9999999999999997E-4</v>
      </c>
      <c r="E501">
        <v>8.0000000000000004E-4</v>
      </c>
      <c r="F501">
        <v>1.6999999999999999E-3</v>
      </c>
      <c r="G501">
        <v>3.3999999999999998E-3</v>
      </c>
      <c r="H501">
        <v>6.1999999999999998E-3</v>
      </c>
      <c r="I501">
        <v>9.2999999999999992E-3</v>
      </c>
      <c r="J501">
        <v>3.9600000000000003E-2</v>
      </c>
    </row>
    <row r="503" spans="1:10" x14ac:dyDescent="0.4">
      <c r="A503">
        <v>2031</v>
      </c>
    </row>
    <row r="505" spans="1:10" x14ac:dyDescent="0.4">
      <c r="A505" t="s">
        <v>0</v>
      </c>
      <c r="B505" s="2">
        <v>0.01</v>
      </c>
      <c r="C505" s="2">
        <v>0.05</v>
      </c>
      <c r="D505" s="2">
        <v>0.1</v>
      </c>
      <c r="E505" s="2">
        <v>0.25</v>
      </c>
      <c r="F505" s="2">
        <v>0.5</v>
      </c>
      <c r="G505" s="2">
        <v>0.75</v>
      </c>
      <c r="H505" s="2">
        <v>0.9</v>
      </c>
      <c r="I505" s="2">
        <v>0.95</v>
      </c>
      <c r="J505" s="2">
        <v>0.99</v>
      </c>
    </row>
    <row r="506" spans="1:10" x14ac:dyDescent="0.4">
      <c r="A506">
        <v>1</v>
      </c>
      <c r="B506">
        <v>68.63</v>
      </c>
      <c r="C506">
        <v>70.5946</v>
      </c>
      <c r="D506">
        <v>79.066199999999995</v>
      </c>
      <c r="E506">
        <v>104.9687</v>
      </c>
      <c r="F506">
        <v>168.56780000000001</v>
      </c>
      <c r="G506">
        <v>236.97280000000001</v>
      </c>
      <c r="H506">
        <v>280.0369</v>
      </c>
      <c r="I506">
        <v>306.65120000000002</v>
      </c>
      <c r="J506">
        <v>336.33409999999998</v>
      </c>
    </row>
    <row r="507" spans="1:10" x14ac:dyDescent="0.4">
      <c r="A507">
        <v>2</v>
      </c>
      <c r="B507">
        <v>37.737299999999998</v>
      </c>
      <c r="C507">
        <v>42.0197</v>
      </c>
      <c r="D507">
        <v>45.962499999999999</v>
      </c>
      <c r="E507">
        <v>60.920999999999999</v>
      </c>
      <c r="F507">
        <v>98.844200000000001</v>
      </c>
      <c r="G507">
        <v>140.08680000000001</v>
      </c>
      <c r="H507">
        <v>168.06710000000001</v>
      </c>
      <c r="I507">
        <v>182.6652</v>
      </c>
      <c r="J507">
        <v>208.94800000000001</v>
      </c>
    </row>
    <row r="508" spans="1:10" x14ac:dyDescent="0.4">
      <c r="A508">
        <v>3</v>
      </c>
      <c r="B508">
        <v>13.2485</v>
      </c>
      <c r="C508">
        <v>19.900099999999998</v>
      </c>
      <c r="D508">
        <v>22.8963</v>
      </c>
      <c r="E508">
        <v>30.884899999999998</v>
      </c>
      <c r="F508">
        <v>51.454300000000003</v>
      </c>
      <c r="G508">
        <v>75.324799999999996</v>
      </c>
      <c r="H508">
        <v>94.486599999999996</v>
      </c>
      <c r="I508">
        <v>103.6249</v>
      </c>
      <c r="J508">
        <v>122.3781</v>
      </c>
    </row>
    <row r="509" spans="1:10" x14ac:dyDescent="0.4">
      <c r="A509">
        <v>4</v>
      </c>
      <c r="B509">
        <v>2.3765999999999998</v>
      </c>
      <c r="C509">
        <v>6.6650999999999998</v>
      </c>
      <c r="D509">
        <v>9.0048999999999992</v>
      </c>
      <c r="E509">
        <v>13.749499999999999</v>
      </c>
      <c r="F509">
        <v>23.999600000000001</v>
      </c>
      <c r="G509">
        <v>37.094200000000001</v>
      </c>
      <c r="H509">
        <v>49.608199999999997</v>
      </c>
      <c r="I509">
        <v>55.820599999999999</v>
      </c>
      <c r="J509">
        <v>69.302800000000005</v>
      </c>
    </row>
    <row r="510" spans="1:10" x14ac:dyDescent="0.4">
      <c r="A510">
        <v>5</v>
      </c>
      <c r="B510">
        <v>0.35199999999999998</v>
      </c>
      <c r="C510">
        <v>1.9077999999999999</v>
      </c>
      <c r="D510">
        <v>3.1646999999999998</v>
      </c>
      <c r="E510">
        <v>5.7586000000000004</v>
      </c>
      <c r="F510">
        <v>10.745799999999999</v>
      </c>
      <c r="G510">
        <v>18.146699999999999</v>
      </c>
      <c r="H510">
        <v>25.647600000000001</v>
      </c>
      <c r="I510">
        <v>29.9131</v>
      </c>
      <c r="J510">
        <v>39.138399999999997</v>
      </c>
    </row>
    <row r="511" spans="1:10" x14ac:dyDescent="0.4">
      <c r="A511">
        <v>6</v>
      </c>
      <c r="B511">
        <v>4.6899999999999997E-2</v>
      </c>
      <c r="C511">
        <v>0.52</v>
      </c>
      <c r="D511">
        <v>1.0397000000000001</v>
      </c>
      <c r="E511">
        <v>2.3079000000000001</v>
      </c>
      <c r="F511">
        <v>4.7130000000000001</v>
      </c>
      <c r="G511">
        <v>8.59</v>
      </c>
      <c r="H511">
        <v>12.8072</v>
      </c>
      <c r="I511">
        <v>15.459</v>
      </c>
      <c r="J511">
        <v>21.486499999999999</v>
      </c>
    </row>
    <row r="512" spans="1:10" x14ac:dyDescent="0.4">
      <c r="A512">
        <v>7</v>
      </c>
      <c r="B512">
        <v>7.0000000000000001E-3</v>
      </c>
      <c r="C512">
        <v>0.14050000000000001</v>
      </c>
      <c r="D512">
        <v>0.33069999999999999</v>
      </c>
      <c r="E512">
        <v>0.89849999999999997</v>
      </c>
      <c r="F512">
        <v>2.0243000000000002</v>
      </c>
      <c r="G512">
        <v>3.9819</v>
      </c>
      <c r="H512">
        <v>6.3106</v>
      </c>
      <c r="I512">
        <v>7.8754</v>
      </c>
      <c r="J512">
        <v>11.495699999999999</v>
      </c>
    </row>
    <row r="513" spans="1:10" x14ac:dyDescent="0.4">
      <c r="A513">
        <v>8</v>
      </c>
      <c r="B513">
        <v>1.2999999999999999E-3</v>
      </c>
      <c r="C513">
        <v>3.9300000000000002E-2</v>
      </c>
      <c r="D513">
        <v>0.1084</v>
      </c>
      <c r="E513">
        <v>0.34860000000000002</v>
      </c>
      <c r="F513">
        <v>0.87270000000000003</v>
      </c>
      <c r="G513">
        <v>1.8266</v>
      </c>
      <c r="H513">
        <v>3.0341</v>
      </c>
      <c r="I513">
        <v>3.9020000000000001</v>
      </c>
      <c r="J513">
        <v>5.9885999999999999</v>
      </c>
    </row>
    <row r="514" spans="1:10" x14ac:dyDescent="0.4">
      <c r="A514">
        <v>9</v>
      </c>
      <c r="B514">
        <v>4.0000000000000002E-4</v>
      </c>
      <c r="C514">
        <v>1.44E-2</v>
      </c>
      <c r="D514">
        <v>4.3200000000000002E-2</v>
      </c>
      <c r="E514">
        <v>0.15140000000000001</v>
      </c>
      <c r="F514">
        <v>0.40910000000000002</v>
      </c>
      <c r="G514">
        <v>0.89849999999999997</v>
      </c>
      <c r="H514">
        <v>1.5522</v>
      </c>
      <c r="I514">
        <v>2.0386000000000002</v>
      </c>
      <c r="J514">
        <v>3.2338</v>
      </c>
    </row>
    <row r="515" spans="1:10" x14ac:dyDescent="0.4">
      <c r="A515">
        <v>10</v>
      </c>
      <c r="B515">
        <v>2.0000000000000001E-4</v>
      </c>
      <c r="C515">
        <v>6.7999999999999996E-3</v>
      </c>
      <c r="D515">
        <v>2.12E-2</v>
      </c>
      <c r="E515">
        <v>7.7399999999999997E-2</v>
      </c>
      <c r="F515">
        <v>0.21410000000000001</v>
      </c>
      <c r="G515">
        <v>0.4778</v>
      </c>
      <c r="H515">
        <v>0.84289999999999998</v>
      </c>
      <c r="I515">
        <v>1.1282000000000001</v>
      </c>
      <c r="J515">
        <v>1.786</v>
      </c>
    </row>
    <row r="516" spans="1:10" x14ac:dyDescent="0.4">
      <c r="A516">
        <v>11</v>
      </c>
      <c r="B516">
        <v>2.0000000000000001E-4</v>
      </c>
      <c r="C516">
        <v>7.3000000000000001E-3</v>
      </c>
      <c r="D516">
        <v>2.23E-2</v>
      </c>
      <c r="E516">
        <v>7.8200000000000006E-2</v>
      </c>
      <c r="F516">
        <v>0.20200000000000001</v>
      </c>
      <c r="G516">
        <v>0.4073</v>
      </c>
      <c r="H516">
        <v>0.68189999999999995</v>
      </c>
      <c r="I516">
        <v>0.8972</v>
      </c>
      <c r="J516">
        <v>1.3982000000000001</v>
      </c>
    </row>
    <row r="517" spans="1:10" x14ac:dyDescent="0.4">
      <c r="A517">
        <v>12</v>
      </c>
      <c r="B517">
        <v>1E-4</v>
      </c>
      <c r="C517">
        <v>2.7000000000000001E-3</v>
      </c>
      <c r="D517">
        <v>8.0999999999999996E-3</v>
      </c>
      <c r="E517">
        <v>2.75E-2</v>
      </c>
      <c r="F517">
        <v>6.8199999999999997E-2</v>
      </c>
      <c r="G517">
        <v>0.13089999999999999</v>
      </c>
      <c r="H517">
        <v>0.20799999999999999</v>
      </c>
      <c r="I517">
        <v>0.26540000000000002</v>
      </c>
      <c r="J517">
        <v>0.40139999999999998</v>
      </c>
    </row>
    <row r="518" spans="1:10" x14ac:dyDescent="0.4">
      <c r="A518">
        <v>13</v>
      </c>
      <c r="B518">
        <v>0</v>
      </c>
      <c r="C518">
        <v>1.5E-3</v>
      </c>
      <c r="D518">
        <v>4.3E-3</v>
      </c>
      <c r="E518">
        <v>1.4200000000000001E-2</v>
      </c>
      <c r="F518">
        <v>3.44E-2</v>
      </c>
      <c r="G518">
        <v>6.5100000000000005E-2</v>
      </c>
      <c r="H518">
        <v>0.1038</v>
      </c>
      <c r="I518">
        <v>0.1333</v>
      </c>
      <c r="J518">
        <v>0.20569999999999999</v>
      </c>
    </row>
    <row r="519" spans="1:10" x14ac:dyDescent="0.4">
      <c r="A519">
        <v>14</v>
      </c>
      <c r="B519">
        <v>0</v>
      </c>
      <c r="C519">
        <v>2.9999999999999997E-4</v>
      </c>
      <c r="D519">
        <v>8.0000000000000004E-4</v>
      </c>
      <c r="E519">
        <v>2.5000000000000001E-3</v>
      </c>
      <c r="F519">
        <v>6.1000000000000004E-3</v>
      </c>
      <c r="G519">
        <v>1.15E-2</v>
      </c>
      <c r="H519">
        <v>1.8800000000000001E-2</v>
      </c>
      <c r="I519">
        <v>2.4899999999999999E-2</v>
      </c>
      <c r="J519">
        <v>4.2700000000000002E-2</v>
      </c>
    </row>
    <row r="520" spans="1:10" x14ac:dyDescent="0.4">
      <c r="A520" t="s">
        <v>29</v>
      </c>
      <c r="B520">
        <v>0</v>
      </c>
      <c r="C520">
        <v>1E-4</v>
      </c>
      <c r="D520">
        <v>4.0000000000000002E-4</v>
      </c>
      <c r="E520">
        <v>1.1000000000000001E-3</v>
      </c>
      <c r="F520">
        <v>2.7000000000000001E-3</v>
      </c>
      <c r="G520">
        <v>5.1999999999999998E-3</v>
      </c>
      <c r="H520">
        <v>8.9999999999999993E-3</v>
      </c>
      <c r="I520">
        <v>1.29E-2</v>
      </c>
      <c r="J520">
        <v>3.5400000000000001E-2</v>
      </c>
    </row>
    <row r="522" spans="1:10" x14ac:dyDescent="0.4">
      <c r="A522">
        <v>2032</v>
      </c>
    </row>
    <row r="524" spans="1:10" x14ac:dyDescent="0.4">
      <c r="A524" t="s">
        <v>0</v>
      </c>
      <c r="B524" s="2">
        <v>0.01</v>
      </c>
      <c r="C524" s="2">
        <v>0.05</v>
      </c>
      <c r="D524" s="2">
        <v>0.1</v>
      </c>
      <c r="E524" s="2">
        <v>0.25</v>
      </c>
      <c r="F524" s="2">
        <v>0.5</v>
      </c>
      <c r="G524" s="2">
        <v>0.75</v>
      </c>
      <c r="H524" s="2">
        <v>0.9</v>
      </c>
      <c r="I524" s="2">
        <v>0.95</v>
      </c>
      <c r="J524" s="2">
        <v>0.99</v>
      </c>
    </row>
    <row r="525" spans="1:10" x14ac:dyDescent="0.4">
      <c r="A525">
        <v>1</v>
      </c>
      <c r="B525">
        <v>68.658799999999999</v>
      </c>
      <c r="C525">
        <v>70.774000000000001</v>
      </c>
      <c r="D525">
        <v>78.985799999999998</v>
      </c>
      <c r="E525">
        <v>104.56740000000001</v>
      </c>
      <c r="F525">
        <v>168.55600000000001</v>
      </c>
      <c r="G525">
        <v>236.8357</v>
      </c>
      <c r="H525">
        <v>278.9325</v>
      </c>
      <c r="I525">
        <v>306.1585</v>
      </c>
      <c r="J525">
        <v>333.82310000000001</v>
      </c>
    </row>
    <row r="526" spans="1:10" x14ac:dyDescent="0.4">
      <c r="A526">
        <v>2</v>
      </c>
      <c r="B526">
        <v>37.758899999999997</v>
      </c>
      <c r="C526">
        <v>42.0227</v>
      </c>
      <c r="D526">
        <v>46.018999999999998</v>
      </c>
      <c r="E526">
        <v>61.242800000000003</v>
      </c>
      <c r="F526">
        <v>98.965199999999996</v>
      </c>
      <c r="G526">
        <v>140.17339999999999</v>
      </c>
      <c r="H526">
        <v>168.03149999999999</v>
      </c>
      <c r="I526">
        <v>182.83080000000001</v>
      </c>
      <c r="J526">
        <v>208.8689</v>
      </c>
    </row>
    <row r="527" spans="1:10" x14ac:dyDescent="0.4">
      <c r="A527">
        <v>3</v>
      </c>
      <c r="B527">
        <v>13.097099999999999</v>
      </c>
      <c r="C527">
        <v>19.726900000000001</v>
      </c>
      <c r="D527">
        <v>22.810099999999998</v>
      </c>
      <c r="E527">
        <v>30.915099999999999</v>
      </c>
      <c r="F527">
        <v>51.415399999999998</v>
      </c>
      <c r="G527">
        <v>74.952600000000004</v>
      </c>
      <c r="H527">
        <v>94.271500000000003</v>
      </c>
      <c r="I527">
        <v>103.2527</v>
      </c>
      <c r="J527">
        <v>123.0317</v>
      </c>
    </row>
    <row r="528" spans="1:10" x14ac:dyDescent="0.4">
      <c r="A528">
        <v>4</v>
      </c>
      <c r="B528">
        <v>2.2498</v>
      </c>
      <c r="C528">
        <v>6.6387999999999998</v>
      </c>
      <c r="D528">
        <v>9.0040999999999993</v>
      </c>
      <c r="E528">
        <v>13.651899999999999</v>
      </c>
      <c r="F528">
        <v>23.862100000000002</v>
      </c>
      <c r="G528">
        <v>37.320099999999996</v>
      </c>
      <c r="H528">
        <v>49.897300000000001</v>
      </c>
      <c r="I528">
        <v>55.981299999999997</v>
      </c>
      <c r="J528">
        <v>69.305800000000005</v>
      </c>
    </row>
    <row r="529" spans="1:10" x14ac:dyDescent="0.4">
      <c r="A529">
        <v>5</v>
      </c>
      <c r="B529">
        <v>0.30349999999999999</v>
      </c>
      <c r="C529">
        <v>1.8784000000000001</v>
      </c>
      <c r="D529">
        <v>3.1286</v>
      </c>
      <c r="E529">
        <v>5.7466999999999997</v>
      </c>
      <c r="F529">
        <v>10.6919</v>
      </c>
      <c r="G529">
        <v>18.017600000000002</v>
      </c>
      <c r="H529">
        <v>25.428599999999999</v>
      </c>
      <c r="I529">
        <v>29.656700000000001</v>
      </c>
      <c r="J529">
        <v>38.840600000000002</v>
      </c>
    </row>
    <row r="530" spans="1:10" x14ac:dyDescent="0.4">
      <c r="A530">
        <v>6</v>
      </c>
      <c r="B530">
        <v>4.1099999999999998E-2</v>
      </c>
      <c r="C530">
        <v>0.51329999999999998</v>
      </c>
      <c r="D530">
        <v>1.0348999999999999</v>
      </c>
      <c r="E530">
        <v>2.3222</v>
      </c>
      <c r="F530">
        <v>4.7478999999999996</v>
      </c>
      <c r="G530">
        <v>8.6791999999999998</v>
      </c>
      <c r="H530">
        <v>12.9687</v>
      </c>
      <c r="I530">
        <v>15.621700000000001</v>
      </c>
      <c r="J530">
        <v>21.429300000000001</v>
      </c>
    </row>
    <row r="531" spans="1:10" x14ac:dyDescent="0.4">
      <c r="A531">
        <v>7</v>
      </c>
      <c r="B531">
        <v>5.4000000000000003E-3</v>
      </c>
      <c r="C531">
        <v>0.13980000000000001</v>
      </c>
      <c r="D531">
        <v>0.33879999999999999</v>
      </c>
      <c r="E531">
        <v>0.93059999999999998</v>
      </c>
      <c r="F531">
        <v>2.1107</v>
      </c>
      <c r="G531">
        <v>4.1105999999999998</v>
      </c>
      <c r="H531">
        <v>6.4934000000000003</v>
      </c>
      <c r="I531">
        <v>8.0649999999999995</v>
      </c>
      <c r="J531">
        <v>11.8089</v>
      </c>
    </row>
    <row r="532" spans="1:10" x14ac:dyDescent="0.4">
      <c r="A532">
        <v>8</v>
      </c>
      <c r="B532">
        <v>1E-3</v>
      </c>
      <c r="C532">
        <v>3.8300000000000001E-2</v>
      </c>
      <c r="D532">
        <v>0.1119</v>
      </c>
      <c r="E532">
        <v>0.3659</v>
      </c>
      <c r="F532">
        <v>0.92290000000000005</v>
      </c>
      <c r="G532">
        <v>1.9287000000000001</v>
      </c>
      <c r="H532">
        <v>3.2258</v>
      </c>
      <c r="I532">
        <v>4.1441999999999997</v>
      </c>
      <c r="J532">
        <v>6.3254999999999999</v>
      </c>
    </row>
    <row r="533" spans="1:10" x14ac:dyDescent="0.4">
      <c r="A533">
        <v>9</v>
      </c>
      <c r="B533">
        <v>2.0000000000000001E-4</v>
      </c>
      <c r="C533">
        <v>1.11E-2</v>
      </c>
      <c r="D533">
        <v>3.7499999999999999E-2</v>
      </c>
      <c r="E533">
        <v>0.14449999999999999</v>
      </c>
      <c r="F533">
        <v>0.40389999999999998</v>
      </c>
      <c r="G533">
        <v>0.89449999999999996</v>
      </c>
      <c r="H533">
        <v>1.5649</v>
      </c>
      <c r="I533">
        <v>2.0666000000000002</v>
      </c>
      <c r="J533">
        <v>3.3083</v>
      </c>
    </row>
    <row r="534" spans="1:10" x14ac:dyDescent="0.4">
      <c r="A534">
        <v>10</v>
      </c>
      <c r="B534">
        <v>1E-4</v>
      </c>
      <c r="C534">
        <v>4.3E-3</v>
      </c>
      <c r="D534">
        <v>1.52E-2</v>
      </c>
      <c r="E534">
        <v>6.4000000000000001E-2</v>
      </c>
      <c r="F534">
        <v>0.1915</v>
      </c>
      <c r="G534">
        <v>0.44529999999999997</v>
      </c>
      <c r="H534">
        <v>0.80989999999999995</v>
      </c>
      <c r="I534">
        <v>1.0883</v>
      </c>
      <c r="J534">
        <v>1.7963</v>
      </c>
    </row>
    <row r="535" spans="1:10" x14ac:dyDescent="0.4">
      <c r="A535">
        <v>11</v>
      </c>
      <c r="B535">
        <v>0</v>
      </c>
      <c r="C535">
        <v>2.0999999999999999E-3</v>
      </c>
      <c r="D535">
        <v>7.7999999999999996E-3</v>
      </c>
      <c r="E535">
        <v>3.3300000000000003E-2</v>
      </c>
      <c r="F535">
        <v>0.1013</v>
      </c>
      <c r="G535">
        <v>0.23960000000000001</v>
      </c>
      <c r="H535">
        <v>0.44240000000000002</v>
      </c>
      <c r="I535">
        <v>0.60319999999999996</v>
      </c>
      <c r="J535">
        <v>0.99519999999999997</v>
      </c>
    </row>
    <row r="536" spans="1:10" x14ac:dyDescent="0.4">
      <c r="A536">
        <v>12</v>
      </c>
      <c r="B536">
        <v>0</v>
      </c>
      <c r="C536">
        <v>2.3E-3</v>
      </c>
      <c r="D536">
        <v>8.2000000000000007E-3</v>
      </c>
      <c r="E536">
        <v>3.3799999999999997E-2</v>
      </c>
      <c r="F536">
        <v>9.6600000000000005E-2</v>
      </c>
      <c r="G536">
        <v>0.2079</v>
      </c>
      <c r="H536">
        <v>0.36170000000000002</v>
      </c>
      <c r="I536">
        <v>0.48499999999999999</v>
      </c>
      <c r="J536">
        <v>0.78280000000000005</v>
      </c>
    </row>
    <row r="537" spans="1:10" x14ac:dyDescent="0.4">
      <c r="A537">
        <v>13</v>
      </c>
      <c r="B537">
        <v>0</v>
      </c>
      <c r="C537">
        <v>8.9999999999999998E-4</v>
      </c>
      <c r="D537">
        <v>3.0000000000000001E-3</v>
      </c>
      <c r="E537">
        <v>1.2E-2</v>
      </c>
      <c r="F537">
        <v>3.2899999999999999E-2</v>
      </c>
      <c r="G537">
        <v>6.7400000000000002E-2</v>
      </c>
      <c r="H537">
        <v>0.11169999999999999</v>
      </c>
      <c r="I537">
        <v>0.14530000000000001</v>
      </c>
      <c r="J537">
        <v>0.22620000000000001</v>
      </c>
    </row>
    <row r="538" spans="1:10" x14ac:dyDescent="0.4">
      <c r="A538">
        <v>14</v>
      </c>
      <c r="B538">
        <v>0</v>
      </c>
      <c r="C538">
        <v>5.0000000000000001E-4</v>
      </c>
      <c r="D538">
        <v>1.6000000000000001E-3</v>
      </c>
      <c r="E538">
        <v>6.1999999999999998E-3</v>
      </c>
      <c r="F538">
        <v>1.67E-2</v>
      </c>
      <c r="G538">
        <v>3.3700000000000001E-2</v>
      </c>
      <c r="H538">
        <v>5.5800000000000002E-2</v>
      </c>
      <c r="I538">
        <v>7.2800000000000004E-2</v>
      </c>
      <c r="J538">
        <v>0.1164</v>
      </c>
    </row>
    <row r="539" spans="1:10" x14ac:dyDescent="0.4">
      <c r="A539" t="s">
        <v>29</v>
      </c>
      <c r="B539">
        <v>0</v>
      </c>
      <c r="C539">
        <v>1E-4</v>
      </c>
      <c r="D539">
        <v>4.0000000000000002E-4</v>
      </c>
      <c r="E539">
        <v>1.6000000000000001E-3</v>
      </c>
      <c r="F539">
        <v>4.3E-3</v>
      </c>
      <c r="G539">
        <v>8.8000000000000005E-3</v>
      </c>
      <c r="H539">
        <v>1.4999999999999999E-2</v>
      </c>
      <c r="I539">
        <v>2.0400000000000001E-2</v>
      </c>
      <c r="J539">
        <v>4.0899999999999999E-2</v>
      </c>
    </row>
    <row r="541" spans="1:10" x14ac:dyDescent="0.4">
      <c r="A541">
        <v>2033</v>
      </c>
    </row>
    <row r="543" spans="1:10" x14ac:dyDescent="0.4">
      <c r="A543" t="s">
        <v>0</v>
      </c>
      <c r="B543" s="2">
        <v>0.01</v>
      </c>
      <c r="C543" s="2">
        <v>0.05</v>
      </c>
      <c r="D543" s="2">
        <v>0.1</v>
      </c>
      <c r="E543" s="2">
        <v>0.25</v>
      </c>
      <c r="F543" s="2">
        <v>0.5</v>
      </c>
      <c r="G543" s="2">
        <v>0.75</v>
      </c>
      <c r="H543" s="2">
        <v>0.9</v>
      </c>
      <c r="I543" s="2">
        <v>0.95</v>
      </c>
      <c r="J543" s="2">
        <v>0.99</v>
      </c>
    </row>
    <row r="544" spans="1:10" x14ac:dyDescent="0.4">
      <c r="A544">
        <v>1</v>
      </c>
      <c r="B544">
        <v>68.659000000000006</v>
      </c>
      <c r="C544">
        <v>70.766900000000007</v>
      </c>
      <c r="D544">
        <v>79.235900000000001</v>
      </c>
      <c r="E544">
        <v>105.2966</v>
      </c>
      <c r="F544">
        <v>168.55080000000001</v>
      </c>
      <c r="G544">
        <v>236.62719999999999</v>
      </c>
      <c r="H544">
        <v>279.93970000000002</v>
      </c>
      <c r="I544">
        <v>306.70139999999998</v>
      </c>
      <c r="J544">
        <v>335.21890000000002</v>
      </c>
    </row>
    <row r="545" spans="1:10" x14ac:dyDescent="0.4">
      <c r="A545">
        <v>2</v>
      </c>
      <c r="B545">
        <v>37.940100000000001</v>
      </c>
      <c r="C545">
        <v>42.046999999999997</v>
      </c>
      <c r="D545">
        <v>45.930799999999998</v>
      </c>
      <c r="E545">
        <v>60.931399999999996</v>
      </c>
      <c r="F545">
        <v>98.776600000000002</v>
      </c>
      <c r="G545">
        <v>140.22479999999999</v>
      </c>
      <c r="H545">
        <v>167.59289999999999</v>
      </c>
      <c r="I545">
        <v>182.0728</v>
      </c>
      <c r="J545">
        <v>208.6618</v>
      </c>
    </row>
    <row r="546" spans="1:10" x14ac:dyDescent="0.4">
      <c r="A546">
        <v>3</v>
      </c>
      <c r="B546">
        <v>13.105399999999999</v>
      </c>
      <c r="C546">
        <v>19.7547</v>
      </c>
      <c r="D546">
        <v>22.847899999999999</v>
      </c>
      <c r="E546">
        <v>31.049299999999999</v>
      </c>
      <c r="F546">
        <v>51.611800000000002</v>
      </c>
      <c r="G546">
        <v>74.89</v>
      </c>
      <c r="H546">
        <v>94.161900000000003</v>
      </c>
      <c r="I546">
        <v>103.4192</v>
      </c>
      <c r="J546">
        <v>123.572</v>
      </c>
    </row>
    <row r="547" spans="1:10" x14ac:dyDescent="0.4">
      <c r="A547">
        <v>4</v>
      </c>
      <c r="B547">
        <v>2.2357</v>
      </c>
      <c r="C547">
        <v>6.5641999999999996</v>
      </c>
      <c r="D547">
        <v>8.9633000000000003</v>
      </c>
      <c r="E547">
        <v>13.698700000000001</v>
      </c>
      <c r="F547">
        <v>23.867100000000001</v>
      </c>
      <c r="G547">
        <v>37.145400000000002</v>
      </c>
      <c r="H547">
        <v>49.7136</v>
      </c>
      <c r="I547">
        <v>55.927900000000001</v>
      </c>
      <c r="J547">
        <v>69.835700000000003</v>
      </c>
    </row>
    <row r="548" spans="1:10" x14ac:dyDescent="0.4">
      <c r="A548">
        <v>5</v>
      </c>
      <c r="B548">
        <v>0.28310000000000002</v>
      </c>
      <c r="C548">
        <v>1.8474999999999999</v>
      </c>
      <c r="D548">
        <v>3.1137000000000001</v>
      </c>
      <c r="E548">
        <v>5.7149999999999999</v>
      </c>
      <c r="F548">
        <v>10.6526</v>
      </c>
      <c r="G548">
        <v>18.146799999999999</v>
      </c>
      <c r="H548">
        <v>25.675000000000001</v>
      </c>
      <c r="I548">
        <v>29.752700000000001</v>
      </c>
      <c r="J548">
        <v>38.5916</v>
      </c>
    </row>
    <row r="549" spans="1:10" x14ac:dyDescent="0.4">
      <c r="A549">
        <v>6</v>
      </c>
      <c r="B549">
        <v>3.5000000000000003E-2</v>
      </c>
      <c r="C549">
        <v>0.49609999999999999</v>
      </c>
      <c r="D549">
        <v>1.0286999999999999</v>
      </c>
      <c r="E549">
        <v>2.3226</v>
      </c>
      <c r="F549">
        <v>4.7390999999999996</v>
      </c>
      <c r="G549">
        <v>8.6227999999999998</v>
      </c>
      <c r="H549">
        <v>12.8407</v>
      </c>
      <c r="I549">
        <v>15.510199999999999</v>
      </c>
      <c r="J549">
        <v>21.340399999999999</v>
      </c>
    </row>
    <row r="550" spans="1:10" x14ac:dyDescent="0.4">
      <c r="A550">
        <v>7</v>
      </c>
      <c r="B550">
        <v>4.8999999999999998E-3</v>
      </c>
      <c r="C550">
        <v>0.1363</v>
      </c>
      <c r="D550">
        <v>0.33939999999999998</v>
      </c>
      <c r="E550">
        <v>0.93400000000000005</v>
      </c>
      <c r="F550">
        <v>2.1244999999999998</v>
      </c>
      <c r="G550">
        <v>4.1752000000000002</v>
      </c>
      <c r="H550">
        <v>6.5835999999999997</v>
      </c>
      <c r="I550">
        <v>8.1813000000000002</v>
      </c>
      <c r="J550">
        <v>11.766999999999999</v>
      </c>
    </row>
    <row r="551" spans="1:10" x14ac:dyDescent="0.4">
      <c r="A551">
        <v>8</v>
      </c>
      <c r="B551">
        <v>8.9999999999999998E-4</v>
      </c>
      <c r="C551">
        <v>3.8199999999999998E-2</v>
      </c>
      <c r="D551">
        <v>0.1135</v>
      </c>
      <c r="E551">
        <v>0.37790000000000001</v>
      </c>
      <c r="F551">
        <v>0.95760000000000001</v>
      </c>
      <c r="G551">
        <v>1.9945999999999999</v>
      </c>
      <c r="H551">
        <v>3.3115999999999999</v>
      </c>
      <c r="I551">
        <v>4.2442000000000002</v>
      </c>
      <c r="J551">
        <v>6.4375</v>
      </c>
    </row>
    <row r="552" spans="1:10" x14ac:dyDescent="0.4">
      <c r="A552">
        <v>9</v>
      </c>
      <c r="B552">
        <v>2.0000000000000001E-4</v>
      </c>
      <c r="C552">
        <v>1.11E-2</v>
      </c>
      <c r="D552">
        <v>3.85E-2</v>
      </c>
      <c r="E552">
        <v>0.15090000000000001</v>
      </c>
      <c r="F552">
        <v>0.42580000000000001</v>
      </c>
      <c r="G552">
        <v>0.94540000000000002</v>
      </c>
      <c r="H552">
        <v>1.659</v>
      </c>
      <c r="I552">
        <v>2.1951000000000001</v>
      </c>
      <c r="J552">
        <v>3.5105</v>
      </c>
    </row>
    <row r="553" spans="1:10" x14ac:dyDescent="0.4">
      <c r="A553">
        <v>10</v>
      </c>
      <c r="B553">
        <v>0</v>
      </c>
      <c r="C553">
        <v>3.3E-3</v>
      </c>
      <c r="D553">
        <v>1.32E-2</v>
      </c>
      <c r="E553">
        <v>6.0999999999999999E-2</v>
      </c>
      <c r="F553">
        <v>0.1888</v>
      </c>
      <c r="G553">
        <v>0.44590000000000002</v>
      </c>
      <c r="H553">
        <v>0.81620000000000004</v>
      </c>
      <c r="I553">
        <v>1.0998000000000001</v>
      </c>
      <c r="J553">
        <v>1.8431</v>
      </c>
    </row>
    <row r="554" spans="1:10" x14ac:dyDescent="0.4">
      <c r="A554">
        <v>11</v>
      </c>
      <c r="B554">
        <v>0</v>
      </c>
      <c r="C554">
        <v>1.2999999999999999E-3</v>
      </c>
      <c r="D554">
        <v>5.4999999999999997E-3</v>
      </c>
      <c r="E554">
        <v>2.7400000000000001E-2</v>
      </c>
      <c r="F554">
        <v>9.0800000000000006E-2</v>
      </c>
      <c r="G554">
        <v>0.2235</v>
      </c>
      <c r="H554">
        <v>0.42580000000000001</v>
      </c>
      <c r="I554">
        <v>0.58530000000000004</v>
      </c>
      <c r="J554">
        <v>1.0026999999999999</v>
      </c>
    </row>
    <row r="555" spans="1:10" x14ac:dyDescent="0.4">
      <c r="A555">
        <v>12</v>
      </c>
      <c r="B555">
        <v>0</v>
      </c>
      <c r="C555">
        <v>6.9999999999999999E-4</v>
      </c>
      <c r="D555">
        <v>2.8999999999999998E-3</v>
      </c>
      <c r="E555">
        <v>1.44E-2</v>
      </c>
      <c r="F555">
        <v>4.8300000000000003E-2</v>
      </c>
      <c r="G555">
        <v>0.12130000000000001</v>
      </c>
      <c r="H555">
        <v>0.2334</v>
      </c>
      <c r="I555">
        <v>0.32490000000000002</v>
      </c>
      <c r="J555">
        <v>0.55449999999999999</v>
      </c>
    </row>
    <row r="556" spans="1:10" x14ac:dyDescent="0.4">
      <c r="A556">
        <v>13</v>
      </c>
      <c r="B556">
        <v>0</v>
      </c>
      <c r="C556">
        <v>8.0000000000000004E-4</v>
      </c>
      <c r="D556">
        <v>3.0999999999999999E-3</v>
      </c>
      <c r="E556">
        <v>1.47E-2</v>
      </c>
      <c r="F556">
        <v>4.6600000000000003E-2</v>
      </c>
      <c r="G556">
        <v>0.10680000000000001</v>
      </c>
      <c r="H556">
        <v>0.19289999999999999</v>
      </c>
      <c r="I556">
        <v>0.26379999999999998</v>
      </c>
      <c r="J556">
        <v>0.43890000000000001</v>
      </c>
    </row>
    <row r="557" spans="1:10" x14ac:dyDescent="0.4">
      <c r="A557">
        <v>14</v>
      </c>
      <c r="B557">
        <v>0</v>
      </c>
      <c r="C557">
        <v>2.9999999999999997E-4</v>
      </c>
      <c r="D557">
        <v>1.1000000000000001E-3</v>
      </c>
      <c r="E557">
        <v>5.1999999999999998E-3</v>
      </c>
      <c r="F557">
        <v>1.6E-2</v>
      </c>
      <c r="G557">
        <v>3.4799999999999998E-2</v>
      </c>
      <c r="H557">
        <v>0.06</v>
      </c>
      <c r="I557">
        <v>7.9600000000000004E-2</v>
      </c>
      <c r="J557">
        <v>0.12670000000000001</v>
      </c>
    </row>
    <row r="558" spans="1:10" x14ac:dyDescent="0.4">
      <c r="A558" t="s">
        <v>29</v>
      </c>
      <c r="B558">
        <v>0</v>
      </c>
      <c r="C558">
        <v>2.0000000000000001E-4</v>
      </c>
      <c r="D558">
        <v>8.0000000000000004E-4</v>
      </c>
      <c r="E558">
        <v>3.5000000000000001E-3</v>
      </c>
      <c r="F558">
        <v>1.03E-2</v>
      </c>
      <c r="G558">
        <v>2.2100000000000002E-2</v>
      </c>
      <c r="H558">
        <v>3.8199999999999998E-2</v>
      </c>
      <c r="I558">
        <v>5.0999999999999997E-2</v>
      </c>
      <c r="J558">
        <v>8.6499999999999994E-2</v>
      </c>
    </row>
    <row r="560" spans="1:10" x14ac:dyDescent="0.4">
      <c r="A560">
        <v>2034</v>
      </c>
    </row>
    <row r="562" spans="1:10" x14ac:dyDescent="0.4">
      <c r="A562" t="s">
        <v>0</v>
      </c>
      <c r="B562" s="2">
        <v>0.01</v>
      </c>
      <c r="C562" s="2">
        <v>0.05</v>
      </c>
      <c r="D562" s="2">
        <v>0.1</v>
      </c>
      <c r="E562" s="2">
        <v>0.25</v>
      </c>
      <c r="F562" s="2">
        <v>0.5</v>
      </c>
      <c r="G562" s="2">
        <v>0.75</v>
      </c>
      <c r="H562" s="2">
        <v>0.9</v>
      </c>
      <c r="I562" s="2">
        <v>0.95</v>
      </c>
      <c r="J562" s="2">
        <v>0.99</v>
      </c>
    </row>
    <row r="563" spans="1:10" x14ac:dyDescent="0.4">
      <c r="A563">
        <v>1</v>
      </c>
      <c r="B563">
        <v>68.625</v>
      </c>
      <c r="C563">
        <v>70.495599999999996</v>
      </c>
      <c r="D563">
        <v>78.956999999999994</v>
      </c>
      <c r="E563">
        <v>105.0198</v>
      </c>
      <c r="F563">
        <v>168.53380000000001</v>
      </c>
      <c r="G563">
        <v>236.53620000000001</v>
      </c>
      <c r="H563">
        <v>280.37079999999997</v>
      </c>
      <c r="I563">
        <v>307.18599999999998</v>
      </c>
      <c r="J563">
        <v>340.94589999999999</v>
      </c>
    </row>
    <row r="564" spans="1:10" x14ac:dyDescent="0.4">
      <c r="A564">
        <v>2</v>
      </c>
      <c r="B564">
        <v>37.727800000000002</v>
      </c>
      <c r="C564">
        <v>42.002200000000002</v>
      </c>
      <c r="D564">
        <v>46.143900000000002</v>
      </c>
      <c r="E564">
        <v>61.355400000000003</v>
      </c>
      <c r="F564">
        <v>98.915599999999998</v>
      </c>
      <c r="G564">
        <v>140.11429999999999</v>
      </c>
      <c r="H564">
        <v>167.92789999999999</v>
      </c>
      <c r="I564">
        <v>182.6046</v>
      </c>
      <c r="J564">
        <v>209.25550000000001</v>
      </c>
    </row>
    <row r="565" spans="1:10" x14ac:dyDescent="0.4">
      <c r="A565">
        <v>3</v>
      </c>
      <c r="B565">
        <v>12.943</v>
      </c>
      <c r="C565">
        <v>19.774699999999999</v>
      </c>
      <c r="D565">
        <v>22.819099999999999</v>
      </c>
      <c r="E565">
        <v>30.930099999999999</v>
      </c>
      <c r="F565">
        <v>51.522100000000002</v>
      </c>
      <c r="G565">
        <v>74.885999999999996</v>
      </c>
      <c r="H565">
        <v>93.937799999999996</v>
      </c>
      <c r="I565">
        <v>103.2586</v>
      </c>
      <c r="J565">
        <v>123.00109999999999</v>
      </c>
    </row>
    <row r="566" spans="1:10" x14ac:dyDescent="0.4">
      <c r="A566">
        <v>4</v>
      </c>
      <c r="B566">
        <v>2.2328999999999999</v>
      </c>
      <c r="C566">
        <v>6.548</v>
      </c>
      <c r="D566">
        <v>8.9745000000000008</v>
      </c>
      <c r="E566">
        <v>13.7149</v>
      </c>
      <c r="F566">
        <v>23.9846</v>
      </c>
      <c r="G566">
        <v>37.138599999999997</v>
      </c>
      <c r="H566">
        <v>49.636400000000002</v>
      </c>
      <c r="I566">
        <v>55.982599999999998</v>
      </c>
      <c r="J566">
        <v>70.039000000000001</v>
      </c>
    </row>
    <row r="567" spans="1:10" x14ac:dyDescent="0.4">
      <c r="A567">
        <v>5</v>
      </c>
      <c r="B567">
        <v>0.2802</v>
      </c>
      <c r="C567">
        <v>1.8297000000000001</v>
      </c>
      <c r="D567">
        <v>3.0794999999999999</v>
      </c>
      <c r="E567">
        <v>5.7225000000000001</v>
      </c>
      <c r="F567">
        <v>10.6648</v>
      </c>
      <c r="G567">
        <v>18.044</v>
      </c>
      <c r="H567">
        <v>25.555299999999999</v>
      </c>
      <c r="I567">
        <v>29.7239</v>
      </c>
      <c r="J567">
        <v>38.977600000000002</v>
      </c>
    </row>
    <row r="568" spans="1:10" x14ac:dyDescent="0.4">
      <c r="A568">
        <v>6</v>
      </c>
      <c r="B568">
        <v>3.3599999999999998E-2</v>
      </c>
      <c r="C568">
        <v>0.48949999999999999</v>
      </c>
      <c r="D568">
        <v>1.0145</v>
      </c>
      <c r="E568">
        <v>2.3073999999999999</v>
      </c>
      <c r="F568">
        <v>4.7398999999999996</v>
      </c>
      <c r="G568">
        <v>8.6946999999999992</v>
      </c>
      <c r="H568">
        <v>12.9841</v>
      </c>
      <c r="I568">
        <v>15.562900000000001</v>
      </c>
      <c r="J568">
        <v>21.277200000000001</v>
      </c>
    </row>
    <row r="569" spans="1:10" x14ac:dyDescent="0.4">
      <c r="A569">
        <v>7</v>
      </c>
      <c r="B569">
        <v>4.3E-3</v>
      </c>
      <c r="C569">
        <v>0.13109999999999999</v>
      </c>
      <c r="D569">
        <v>0.3347</v>
      </c>
      <c r="E569">
        <v>0.93600000000000005</v>
      </c>
      <c r="F569">
        <v>2.125</v>
      </c>
      <c r="G569">
        <v>4.1478000000000002</v>
      </c>
      <c r="H569">
        <v>6.5049000000000001</v>
      </c>
      <c r="I569">
        <v>8.1173999999999999</v>
      </c>
      <c r="J569">
        <v>11.7355</v>
      </c>
    </row>
    <row r="570" spans="1:10" x14ac:dyDescent="0.4">
      <c r="A570">
        <v>8</v>
      </c>
      <c r="B570">
        <v>8.9999999999999998E-4</v>
      </c>
      <c r="C570">
        <v>3.6999999999999998E-2</v>
      </c>
      <c r="D570">
        <v>0.11310000000000001</v>
      </c>
      <c r="E570">
        <v>0.38059999999999999</v>
      </c>
      <c r="F570">
        <v>0.96630000000000005</v>
      </c>
      <c r="G570">
        <v>2.028</v>
      </c>
      <c r="H570">
        <v>3.3725000000000001</v>
      </c>
      <c r="I570">
        <v>4.2995000000000001</v>
      </c>
      <c r="J570">
        <v>6.4960000000000004</v>
      </c>
    </row>
    <row r="571" spans="1:10" x14ac:dyDescent="0.4">
      <c r="A571">
        <v>9</v>
      </c>
      <c r="B571">
        <v>1E-4</v>
      </c>
      <c r="C571">
        <v>1.0999999999999999E-2</v>
      </c>
      <c r="D571">
        <v>3.9100000000000003E-2</v>
      </c>
      <c r="E571">
        <v>0.15609999999999999</v>
      </c>
      <c r="F571">
        <v>0.44240000000000002</v>
      </c>
      <c r="G571">
        <v>0.98180000000000001</v>
      </c>
      <c r="H571">
        <v>1.7118</v>
      </c>
      <c r="I571">
        <v>2.2471999999999999</v>
      </c>
      <c r="J571">
        <v>3.5802</v>
      </c>
    </row>
    <row r="572" spans="1:10" x14ac:dyDescent="0.4">
      <c r="A572">
        <v>10</v>
      </c>
      <c r="B572">
        <v>0</v>
      </c>
      <c r="C572">
        <v>3.3E-3</v>
      </c>
      <c r="D572">
        <v>1.3599999999999999E-2</v>
      </c>
      <c r="E572">
        <v>6.3399999999999998E-2</v>
      </c>
      <c r="F572">
        <v>0.1993</v>
      </c>
      <c r="G572">
        <v>0.47110000000000002</v>
      </c>
      <c r="H572">
        <v>0.86429999999999996</v>
      </c>
      <c r="I572">
        <v>1.1738999999999999</v>
      </c>
      <c r="J572">
        <v>1.9312</v>
      </c>
    </row>
    <row r="573" spans="1:10" x14ac:dyDescent="0.4">
      <c r="A573">
        <v>11</v>
      </c>
      <c r="B573">
        <v>0</v>
      </c>
      <c r="C573">
        <v>1.1000000000000001E-3</v>
      </c>
      <c r="D573">
        <v>4.7999999999999996E-3</v>
      </c>
      <c r="E573">
        <v>2.5999999999999999E-2</v>
      </c>
      <c r="F573">
        <v>8.9300000000000004E-2</v>
      </c>
      <c r="G573">
        <v>0.2238</v>
      </c>
      <c r="H573">
        <v>0.42849999999999999</v>
      </c>
      <c r="I573">
        <v>0.59219999999999995</v>
      </c>
      <c r="J573">
        <v>1.0287999999999999</v>
      </c>
    </row>
    <row r="574" spans="1:10" x14ac:dyDescent="0.4">
      <c r="A574">
        <v>12</v>
      </c>
      <c r="B574">
        <v>0</v>
      </c>
      <c r="C574">
        <v>5.0000000000000001E-4</v>
      </c>
      <c r="D574">
        <v>2.0999999999999999E-3</v>
      </c>
      <c r="E574">
        <v>1.1900000000000001E-2</v>
      </c>
      <c r="F574">
        <v>4.3299999999999998E-2</v>
      </c>
      <c r="G574">
        <v>0.1128</v>
      </c>
      <c r="H574">
        <v>0.22439999999999999</v>
      </c>
      <c r="I574">
        <v>0.3155</v>
      </c>
      <c r="J574">
        <v>0.55889999999999995</v>
      </c>
    </row>
    <row r="575" spans="1:10" x14ac:dyDescent="0.4">
      <c r="A575">
        <v>13</v>
      </c>
      <c r="B575">
        <v>0</v>
      </c>
      <c r="C575">
        <v>2.0000000000000001E-4</v>
      </c>
      <c r="D575">
        <v>1.1000000000000001E-3</v>
      </c>
      <c r="E575">
        <v>6.3E-3</v>
      </c>
      <c r="F575">
        <v>2.3300000000000001E-2</v>
      </c>
      <c r="G575">
        <v>6.1699999999999998E-2</v>
      </c>
      <c r="H575">
        <v>0.12330000000000001</v>
      </c>
      <c r="I575">
        <v>0.17580000000000001</v>
      </c>
      <c r="J575">
        <v>0.31</v>
      </c>
    </row>
    <row r="576" spans="1:10" x14ac:dyDescent="0.4">
      <c r="A576">
        <v>14</v>
      </c>
      <c r="B576">
        <v>0</v>
      </c>
      <c r="C576">
        <v>2.9999999999999997E-4</v>
      </c>
      <c r="D576">
        <v>1.1000000000000001E-3</v>
      </c>
      <c r="E576">
        <v>6.4000000000000003E-3</v>
      </c>
      <c r="F576">
        <v>2.2599999999999999E-2</v>
      </c>
      <c r="G576">
        <v>5.4699999999999999E-2</v>
      </c>
      <c r="H576">
        <v>0.1032</v>
      </c>
      <c r="I576">
        <v>0.14399999999999999</v>
      </c>
      <c r="J576">
        <v>0.24709999999999999</v>
      </c>
    </row>
    <row r="577" spans="1:10" x14ac:dyDescent="0.4">
      <c r="A577" t="s">
        <v>29</v>
      </c>
      <c r="B577">
        <v>0</v>
      </c>
      <c r="C577">
        <v>2.0000000000000001E-4</v>
      </c>
      <c r="D577">
        <v>8.0000000000000004E-4</v>
      </c>
      <c r="E577">
        <v>3.8999999999999998E-3</v>
      </c>
      <c r="F577">
        <v>1.29E-2</v>
      </c>
      <c r="G577">
        <v>2.9700000000000001E-2</v>
      </c>
      <c r="H577">
        <v>5.3100000000000001E-2</v>
      </c>
      <c r="I577">
        <v>7.1499999999999994E-2</v>
      </c>
      <c r="J577">
        <v>0.1171</v>
      </c>
    </row>
    <row r="579" spans="1:10" x14ac:dyDescent="0.4">
      <c r="A579" t="s">
        <v>21</v>
      </c>
      <c r="B579" t="s">
        <v>10</v>
      </c>
      <c r="C579" t="s">
        <v>3</v>
      </c>
      <c r="D579" t="s">
        <v>6</v>
      </c>
      <c r="E579" t="s">
        <v>23</v>
      </c>
      <c r="F579" t="s">
        <v>20</v>
      </c>
      <c r="G579">
        <v>3.66</v>
      </c>
      <c r="H579" t="s">
        <v>28</v>
      </c>
      <c r="I579" t="s">
        <v>27</v>
      </c>
    </row>
    <row r="581" spans="1:10" x14ac:dyDescent="0.4">
      <c r="A581" t="s">
        <v>22</v>
      </c>
      <c r="B581" t="s">
        <v>21</v>
      </c>
    </row>
    <row r="583" spans="1:10" x14ac:dyDescent="0.4">
      <c r="A583">
        <v>2021</v>
      </c>
      <c r="B583">
        <v>5.851E-2</v>
      </c>
    </row>
    <row r="584" spans="1:10" x14ac:dyDescent="0.4">
      <c r="A584">
        <v>2022</v>
      </c>
      <c r="B584">
        <v>0.66893000000000002</v>
      </c>
    </row>
    <row r="585" spans="1:10" x14ac:dyDescent="0.4">
      <c r="A585">
        <v>2023</v>
      </c>
      <c r="B585">
        <v>0.94199999999999995</v>
      </c>
    </row>
    <row r="586" spans="1:10" x14ac:dyDescent="0.4">
      <c r="A586">
        <v>2024</v>
      </c>
      <c r="B586">
        <v>0.91698000000000002</v>
      </c>
    </row>
    <row r="587" spans="1:10" x14ac:dyDescent="0.4">
      <c r="A587">
        <v>2025</v>
      </c>
      <c r="B587">
        <v>0.79227000000000003</v>
      </c>
    </row>
    <row r="588" spans="1:10" x14ac:dyDescent="0.4">
      <c r="A588">
        <v>2026</v>
      </c>
      <c r="B588">
        <v>0.66759999999999997</v>
      </c>
    </row>
    <row r="589" spans="1:10" x14ac:dyDescent="0.4">
      <c r="A589">
        <v>2027</v>
      </c>
      <c r="B589">
        <v>0.61895999999999995</v>
      </c>
    </row>
    <row r="590" spans="1:10" x14ac:dyDescent="0.4">
      <c r="A590">
        <v>2028</v>
      </c>
      <c r="B590">
        <v>0.60682999999999998</v>
      </c>
    </row>
    <row r="591" spans="1:10" x14ac:dyDescent="0.4">
      <c r="A591">
        <v>2029</v>
      </c>
      <c r="B591">
        <v>0.61040000000000005</v>
      </c>
    </row>
    <row r="592" spans="1:10" x14ac:dyDescent="0.4">
      <c r="A592">
        <v>2030</v>
      </c>
      <c r="B592">
        <v>0.61304999999999998</v>
      </c>
    </row>
    <row r="593" spans="1:8" x14ac:dyDescent="0.4">
      <c r="A593">
        <v>2031</v>
      </c>
      <c r="B593">
        <v>0.61309999999999998</v>
      </c>
    </row>
    <row r="594" spans="1:8" x14ac:dyDescent="0.4">
      <c r="A594">
        <v>2032</v>
      </c>
      <c r="B594">
        <v>0.61336999999999997</v>
      </c>
    </row>
    <row r="595" spans="1:8" x14ac:dyDescent="0.4">
      <c r="A595">
        <v>2033</v>
      </c>
      <c r="B595">
        <v>0.61560999999999999</v>
      </c>
    </row>
    <row r="596" spans="1:8" x14ac:dyDescent="0.4">
      <c r="A596">
        <v>2034</v>
      </c>
      <c r="B596">
        <v>0.61490999999999996</v>
      </c>
    </row>
    <row r="598" spans="1:8" x14ac:dyDescent="0.4">
      <c r="A598" t="s">
        <v>21</v>
      </c>
      <c r="B598" t="s">
        <v>20</v>
      </c>
      <c r="C598" t="s">
        <v>19</v>
      </c>
      <c r="D598" t="s">
        <v>1</v>
      </c>
      <c r="E598" t="s">
        <v>18</v>
      </c>
      <c r="F598" t="s">
        <v>17</v>
      </c>
      <c r="G598" t="s">
        <v>13</v>
      </c>
      <c r="H598">
        <v>0.98660000000000003</v>
      </c>
    </row>
    <row r="600" spans="1:8" x14ac:dyDescent="0.4">
      <c r="A600" t="s">
        <v>21</v>
      </c>
      <c r="B600" t="s">
        <v>26</v>
      </c>
      <c r="C600" t="s">
        <v>25</v>
      </c>
      <c r="D600" t="s">
        <v>24</v>
      </c>
      <c r="E600" t="s">
        <v>23</v>
      </c>
      <c r="F600" t="s">
        <v>20</v>
      </c>
      <c r="G600">
        <v>0.84130000000000005</v>
      </c>
    </row>
    <row r="602" spans="1:8" x14ac:dyDescent="0.4">
      <c r="A602" t="s">
        <v>22</v>
      </c>
      <c r="B602" t="s">
        <v>21</v>
      </c>
    </row>
    <row r="604" spans="1:8" x14ac:dyDescent="0.4">
      <c r="A604">
        <v>2021</v>
      </c>
      <c r="B604">
        <v>7.4700000000000001E-3</v>
      </c>
    </row>
    <row r="605" spans="1:8" x14ac:dyDescent="0.4">
      <c r="A605">
        <v>2022</v>
      </c>
      <c r="B605">
        <v>0</v>
      </c>
    </row>
    <row r="606" spans="1:8" x14ac:dyDescent="0.4">
      <c r="A606">
        <v>2023</v>
      </c>
      <c r="B606">
        <v>6.9999999999999994E-5</v>
      </c>
    </row>
    <row r="607" spans="1:8" x14ac:dyDescent="0.4">
      <c r="A607">
        <v>2024</v>
      </c>
      <c r="B607">
        <v>7.0400000000000003E-3</v>
      </c>
    </row>
    <row r="608" spans="1:8" x14ac:dyDescent="0.4">
      <c r="A608">
        <v>2025</v>
      </c>
      <c r="B608">
        <v>0.21357000000000001</v>
      </c>
    </row>
    <row r="609" spans="1:8" x14ac:dyDescent="0.4">
      <c r="A609">
        <v>2026</v>
      </c>
      <c r="B609">
        <v>0.14202000000000001</v>
      </c>
    </row>
    <row r="610" spans="1:8" x14ac:dyDescent="0.4">
      <c r="A610">
        <v>2027</v>
      </c>
      <c r="B610">
        <v>0.18246000000000001</v>
      </c>
    </row>
    <row r="611" spans="1:8" x14ac:dyDescent="0.4">
      <c r="A611">
        <v>2028</v>
      </c>
      <c r="B611">
        <v>0.15026</v>
      </c>
    </row>
    <row r="612" spans="1:8" x14ac:dyDescent="0.4">
      <c r="A612">
        <v>2029</v>
      </c>
      <c r="B612">
        <v>0.15053</v>
      </c>
    </row>
    <row r="613" spans="1:8" x14ac:dyDescent="0.4">
      <c r="A613">
        <v>2030</v>
      </c>
      <c r="B613">
        <v>0.15084</v>
      </c>
    </row>
    <row r="614" spans="1:8" x14ac:dyDescent="0.4">
      <c r="A614">
        <v>2031</v>
      </c>
      <c r="B614">
        <v>0.15065000000000001</v>
      </c>
    </row>
    <row r="615" spans="1:8" x14ac:dyDescent="0.4">
      <c r="A615">
        <v>2032</v>
      </c>
      <c r="B615">
        <v>0.15198</v>
      </c>
    </row>
    <row r="616" spans="1:8" x14ac:dyDescent="0.4">
      <c r="A616">
        <v>2033</v>
      </c>
      <c r="B616">
        <v>0.15206</v>
      </c>
    </row>
    <row r="617" spans="1:8" x14ac:dyDescent="0.4">
      <c r="A617">
        <v>2034</v>
      </c>
      <c r="B617">
        <v>0.15117</v>
      </c>
    </row>
    <row r="619" spans="1:8" x14ac:dyDescent="0.4">
      <c r="A619" t="s">
        <v>21</v>
      </c>
      <c r="B619" t="s">
        <v>20</v>
      </c>
      <c r="C619" t="s">
        <v>19</v>
      </c>
      <c r="D619" t="s">
        <v>1</v>
      </c>
      <c r="E619" t="s">
        <v>18</v>
      </c>
      <c r="F619" t="s">
        <v>17</v>
      </c>
      <c r="G619" t="s">
        <v>13</v>
      </c>
      <c r="H619">
        <v>0.42059999999999997</v>
      </c>
    </row>
    <row r="622" spans="1:8" x14ac:dyDescent="0.4">
      <c r="A622" t="s">
        <v>16</v>
      </c>
      <c r="B622" t="s">
        <v>14</v>
      </c>
      <c r="C622" t="s">
        <v>15</v>
      </c>
    </row>
    <row r="624" spans="1:8" x14ac:dyDescent="0.4">
      <c r="A624" t="s">
        <v>14</v>
      </c>
      <c r="B624" t="s">
        <v>13</v>
      </c>
      <c r="C624">
        <v>40</v>
      </c>
      <c r="D624" t="s">
        <v>12</v>
      </c>
    </row>
    <row r="626" spans="1:20" x14ac:dyDescent="0.4">
      <c r="B626">
        <v>2021</v>
      </c>
      <c r="C626">
        <v>2022</v>
      </c>
      <c r="D626">
        <v>2023</v>
      </c>
      <c r="E626">
        <v>2024</v>
      </c>
      <c r="F626">
        <v>2025</v>
      </c>
      <c r="G626">
        <v>2026</v>
      </c>
      <c r="H626">
        <v>2027</v>
      </c>
      <c r="I626">
        <v>2028</v>
      </c>
      <c r="J626">
        <v>2029</v>
      </c>
      <c r="K626">
        <v>2030</v>
      </c>
      <c r="L626">
        <v>2031</v>
      </c>
      <c r="M626">
        <v>2032</v>
      </c>
      <c r="N626">
        <v>2033</v>
      </c>
      <c r="O626">
        <v>2034</v>
      </c>
    </row>
    <row r="628" spans="1:20" x14ac:dyDescent="0.4">
      <c r="A628" t="s">
        <v>11</v>
      </c>
      <c r="B628">
        <v>145.9751</v>
      </c>
      <c r="C628">
        <v>146.1738</v>
      </c>
      <c r="D628">
        <v>145.56829999999999</v>
      </c>
      <c r="E628">
        <v>146.49430000000001</v>
      </c>
      <c r="F628">
        <v>144.726</v>
      </c>
      <c r="G628">
        <v>145.5754</v>
      </c>
      <c r="H628">
        <v>146.3253</v>
      </c>
      <c r="I628">
        <v>145.10220000000001</v>
      </c>
      <c r="J628">
        <v>144.1926</v>
      </c>
      <c r="K628">
        <v>145.85579999999999</v>
      </c>
      <c r="L628">
        <v>145.10849999999999</v>
      </c>
      <c r="M628">
        <v>146.4873</v>
      </c>
      <c r="N628">
        <v>144.95650000000001</v>
      </c>
      <c r="O628">
        <v>144.87739999999999</v>
      </c>
    </row>
    <row r="629" spans="1:20" x14ac:dyDescent="0.4">
      <c r="A629" t="s">
        <v>10</v>
      </c>
      <c r="B629" t="s">
        <v>3</v>
      </c>
      <c r="C629" t="s">
        <v>6</v>
      </c>
      <c r="D629">
        <v>2.5122</v>
      </c>
      <c r="E629">
        <v>3.7913999999999999</v>
      </c>
      <c r="F629">
        <v>5.1776999999999997</v>
      </c>
      <c r="G629">
        <v>5.3005000000000004</v>
      </c>
      <c r="H629">
        <v>4.6173999999999999</v>
      </c>
      <c r="I629">
        <v>3.9836999999999998</v>
      </c>
      <c r="J629">
        <v>3.7490999999999999</v>
      </c>
      <c r="K629">
        <v>3.6953</v>
      </c>
      <c r="L629">
        <v>3.7111999999999998</v>
      </c>
      <c r="M629">
        <v>3.7254</v>
      </c>
      <c r="N629">
        <v>3.7286999999999999</v>
      </c>
      <c r="O629">
        <v>3.7281</v>
      </c>
      <c r="P629">
        <v>3.7399</v>
      </c>
      <c r="Q629">
        <v>3.7351999999999999</v>
      </c>
      <c r="S629">
        <f t="array" ref="S629:S642">TRANSPOSE(D629:Q629)</f>
        <v>2.5122</v>
      </c>
      <c r="T629">
        <f>S629*1000</f>
        <v>2512.1999999999998</v>
      </c>
    </row>
    <row r="630" spans="1:20" x14ac:dyDescent="0.4">
      <c r="A630" s="1">
        <v>45658</v>
      </c>
      <c r="B630" t="s">
        <v>3</v>
      </c>
      <c r="C630" t="s">
        <v>6</v>
      </c>
      <c r="D630">
        <v>8.8086000000000002</v>
      </c>
      <c r="E630">
        <v>9.9515999999999991</v>
      </c>
      <c r="F630">
        <v>10.7971</v>
      </c>
      <c r="G630">
        <v>11.1683</v>
      </c>
      <c r="H630">
        <v>10.8993</v>
      </c>
      <c r="I630">
        <v>9.7477999999999998</v>
      </c>
      <c r="J630">
        <v>9.4926999999999992</v>
      </c>
      <c r="K630">
        <v>9.3097999999999992</v>
      </c>
      <c r="L630">
        <v>9.3206000000000007</v>
      </c>
      <c r="M630">
        <v>9.3203999999999994</v>
      </c>
      <c r="N630">
        <v>9.3377999999999997</v>
      </c>
      <c r="O630">
        <v>9.3478999999999992</v>
      </c>
      <c r="P630">
        <v>9.3417999999999992</v>
      </c>
      <c r="Q630">
        <v>9.3531999999999993</v>
      </c>
      <c r="S630">
        <v>3.7913999999999999</v>
      </c>
      <c r="T630">
        <f t="shared" ref="T630:T642" si="6">S630*1000</f>
        <v>3791.4</v>
      </c>
    </row>
    <row r="631" spans="1:20" x14ac:dyDescent="0.4">
      <c r="A631" t="s">
        <v>9</v>
      </c>
      <c r="B631" t="s">
        <v>6</v>
      </c>
      <c r="C631">
        <v>8.5297999999999998</v>
      </c>
      <c r="D631">
        <v>9.4640000000000004</v>
      </c>
      <c r="E631">
        <v>10.047800000000001</v>
      </c>
      <c r="F631">
        <v>10.071099999999999</v>
      </c>
      <c r="G631">
        <v>9.2726000000000006</v>
      </c>
      <c r="H631">
        <v>8.6150000000000002</v>
      </c>
      <c r="I631">
        <v>8.3935999999999993</v>
      </c>
      <c r="J631">
        <v>8.3178000000000001</v>
      </c>
      <c r="K631">
        <v>8.3333999999999993</v>
      </c>
      <c r="L631">
        <v>8.3451000000000004</v>
      </c>
      <c r="M631">
        <v>8.3519000000000005</v>
      </c>
      <c r="N631">
        <v>8.3566000000000003</v>
      </c>
      <c r="O631">
        <v>8.3592999999999993</v>
      </c>
      <c r="P631">
        <v>8.3615999999999993</v>
      </c>
      <c r="S631">
        <v>5.1776999999999997</v>
      </c>
      <c r="T631">
        <f t="shared" si="6"/>
        <v>5177.7</v>
      </c>
    </row>
    <row r="632" spans="1:20" x14ac:dyDescent="0.4">
      <c r="A632" t="s">
        <v>8</v>
      </c>
      <c r="B632" t="s">
        <v>7</v>
      </c>
      <c r="C632" t="s">
        <v>6</v>
      </c>
      <c r="D632">
        <v>1.5398000000000001</v>
      </c>
      <c r="E632">
        <v>1.4739</v>
      </c>
      <c r="F632">
        <v>1.6854</v>
      </c>
      <c r="G632">
        <v>2.1566999999999998</v>
      </c>
      <c r="H632">
        <v>3.2250000000000001</v>
      </c>
      <c r="I632">
        <v>2.4</v>
      </c>
      <c r="J632">
        <v>2.4</v>
      </c>
      <c r="K632">
        <v>2.2000000000000002</v>
      </c>
      <c r="L632">
        <v>2.2000000000000002</v>
      </c>
      <c r="M632">
        <v>2.2000000000000002</v>
      </c>
      <c r="N632">
        <v>2.2000000000000002</v>
      </c>
      <c r="O632">
        <v>2.2000000000000002</v>
      </c>
      <c r="P632">
        <v>2.2000000000000002</v>
      </c>
      <c r="Q632">
        <v>2.2000000000000002</v>
      </c>
      <c r="S632">
        <v>5.3005000000000004</v>
      </c>
      <c r="T632">
        <f t="shared" si="6"/>
        <v>5300.5</v>
      </c>
    </row>
    <row r="633" spans="1:20" x14ac:dyDescent="0.4">
      <c r="A633" t="s">
        <v>5</v>
      </c>
      <c r="B633">
        <v>1.5398000000000001</v>
      </c>
      <c r="C633">
        <v>1.4739</v>
      </c>
      <c r="D633">
        <v>1.6854</v>
      </c>
      <c r="E633">
        <v>2.1566999999999998</v>
      </c>
      <c r="F633">
        <v>3.2250000000000001</v>
      </c>
      <c r="G633">
        <v>2.4</v>
      </c>
      <c r="H633">
        <v>2.4</v>
      </c>
      <c r="I633">
        <v>2.2000000000000002</v>
      </c>
      <c r="J633">
        <v>2.2000000000000002</v>
      </c>
      <c r="K633">
        <v>2.2000000000000002</v>
      </c>
      <c r="L633">
        <v>2.2000000000000002</v>
      </c>
      <c r="M633">
        <v>2.2000000000000002</v>
      </c>
      <c r="N633">
        <v>2.2000000000000002</v>
      </c>
      <c r="O633">
        <v>2.2000000000000002</v>
      </c>
      <c r="S633">
        <v>4.6173999999999999</v>
      </c>
      <c r="T633">
        <f t="shared" si="6"/>
        <v>4617.3999999999996</v>
      </c>
    </row>
    <row r="634" spans="1:20" x14ac:dyDescent="0.4">
      <c r="A634" t="s">
        <v>4</v>
      </c>
      <c r="B634">
        <v>0.50370000000000004</v>
      </c>
      <c r="C634">
        <v>0.34889999999999999</v>
      </c>
      <c r="D634">
        <v>0.34939999999999999</v>
      </c>
      <c r="E634">
        <v>0.37730000000000002</v>
      </c>
      <c r="F634">
        <v>0.58930000000000005</v>
      </c>
      <c r="G634">
        <v>0.4844</v>
      </c>
      <c r="H634">
        <v>0.50339999999999996</v>
      </c>
      <c r="I634">
        <v>0.46300000000000002</v>
      </c>
      <c r="J634">
        <v>0.46089999999999998</v>
      </c>
      <c r="K634">
        <v>0.45910000000000001</v>
      </c>
      <c r="L634">
        <v>0.4577</v>
      </c>
      <c r="M634">
        <v>0.45650000000000002</v>
      </c>
      <c r="N634">
        <v>0.45650000000000002</v>
      </c>
      <c r="O634">
        <v>0.45529999999999998</v>
      </c>
      <c r="S634">
        <v>3.9836999999999998</v>
      </c>
      <c r="T634">
        <f t="shared" si="6"/>
        <v>3983.7</v>
      </c>
    </row>
    <row r="635" spans="1:20" x14ac:dyDescent="0.4">
      <c r="S635">
        <v>3.7490999999999999</v>
      </c>
      <c r="T635">
        <f t="shared" si="6"/>
        <v>3749.1</v>
      </c>
    </row>
    <row r="636" spans="1:20" x14ac:dyDescent="0.4">
      <c r="A636" t="s">
        <v>3</v>
      </c>
      <c r="B636" t="s">
        <v>2</v>
      </c>
      <c r="C636" t="s">
        <v>1</v>
      </c>
      <c r="D636" t="s">
        <v>0</v>
      </c>
      <c r="S636">
        <v>3.6953</v>
      </c>
      <c r="T636">
        <f t="shared" si="6"/>
        <v>3695.3</v>
      </c>
    </row>
    <row r="637" spans="1:20" x14ac:dyDescent="0.4">
      <c r="A637" t="s">
        <v>0</v>
      </c>
      <c r="B637">
        <v>1</v>
      </c>
      <c r="C637">
        <v>244.97399999999999</v>
      </c>
      <c r="D637">
        <v>145.9751</v>
      </c>
      <c r="E637">
        <v>146.1738</v>
      </c>
      <c r="F637">
        <v>145.56829999999999</v>
      </c>
      <c r="G637">
        <v>146.49430000000001</v>
      </c>
      <c r="H637">
        <v>144.726</v>
      </c>
      <c r="I637">
        <v>145.5754</v>
      </c>
      <c r="J637">
        <v>146.3253</v>
      </c>
      <c r="K637">
        <v>145.10220000000001</v>
      </c>
      <c r="L637">
        <v>144.1926</v>
      </c>
      <c r="M637">
        <v>145.85579999999999</v>
      </c>
      <c r="N637">
        <v>145.10849999999999</v>
      </c>
      <c r="O637">
        <v>146.4873</v>
      </c>
      <c r="P637">
        <v>144.95650000000001</v>
      </c>
      <c r="S637">
        <v>3.7111999999999998</v>
      </c>
      <c r="T637">
        <f t="shared" si="6"/>
        <v>3711.2</v>
      </c>
    </row>
    <row r="638" spans="1:20" x14ac:dyDescent="0.4">
      <c r="A638" t="s">
        <v>0</v>
      </c>
      <c r="B638">
        <v>2</v>
      </c>
      <c r="C638">
        <v>93.8626</v>
      </c>
      <c r="D638">
        <v>145.4854</v>
      </c>
      <c r="E638">
        <v>87.910300000000007</v>
      </c>
      <c r="F638">
        <v>88.486000000000004</v>
      </c>
      <c r="G638">
        <v>86.128799999999998</v>
      </c>
      <c r="H638">
        <v>85.562899999999999</v>
      </c>
      <c r="I638">
        <v>85.673599999999993</v>
      </c>
      <c r="J638">
        <v>85.612499999999997</v>
      </c>
      <c r="K638">
        <v>85.448099999999997</v>
      </c>
      <c r="L638">
        <v>84.592100000000002</v>
      </c>
      <c r="M638">
        <v>84.310299999999998</v>
      </c>
      <c r="N638">
        <v>84.860799999999998</v>
      </c>
      <c r="O638">
        <v>84.645899999999997</v>
      </c>
      <c r="P638">
        <v>85.2423</v>
      </c>
      <c r="S638">
        <v>3.7254</v>
      </c>
      <c r="T638">
        <f t="shared" si="6"/>
        <v>3725.4</v>
      </c>
    </row>
    <row r="639" spans="1:20" x14ac:dyDescent="0.4">
      <c r="A639" t="s">
        <v>0</v>
      </c>
      <c r="B639">
        <v>3</v>
      </c>
      <c r="C639">
        <v>51.2273</v>
      </c>
      <c r="D639">
        <v>51.039499999999997</v>
      </c>
      <c r="E639">
        <v>83.462800000000001</v>
      </c>
      <c r="F639">
        <v>50.683599999999998</v>
      </c>
      <c r="G639">
        <v>48.321599999999997</v>
      </c>
      <c r="H639">
        <v>42.015599999999999</v>
      </c>
      <c r="I639">
        <v>43.132199999999997</v>
      </c>
      <c r="J639">
        <v>42.658000000000001</v>
      </c>
      <c r="K639">
        <v>42.997399999999999</v>
      </c>
      <c r="L639">
        <v>42.804200000000002</v>
      </c>
      <c r="M639">
        <v>42.522500000000001</v>
      </c>
      <c r="N639">
        <v>42.474200000000003</v>
      </c>
      <c r="O639">
        <v>42.762300000000003</v>
      </c>
      <c r="P639">
        <v>42.469499999999996</v>
      </c>
      <c r="S639">
        <v>3.7286999999999999</v>
      </c>
      <c r="T639">
        <f t="shared" si="6"/>
        <v>3728.7</v>
      </c>
    </row>
    <row r="640" spans="1:20" x14ac:dyDescent="0.4">
      <c r="A640" t="s">
        <v>0</v>
      </c>
      <c r="B640">
        <v>4</v>
      </c>
      <c r="C640">
        <v>9.1702999999999992</v>
      </c>
      <c r="D640">
        <v>24.978200000000001</v>
      </c>
      <c r="E640">
        <v>27.6188</v>
      </c>
      <c r="F640">
        <v>45.466099999999997</v>
      </c>
      <c r="G640">
        <v>25.4983</v>
      </c>
      <c r="H640">
        <v>19.660599999999999</v>
      </c>
      <c r="I640">
        <v>18.537199999999999</v>
      </c>
      <c r="J640">
        <v>18.657399999999999</v>
      </c>
      <c r="K640">
        <v>19.218900000000001</v>
      </c>
      <c r="L640">
        <v>19.403199999999998</v>
      </c>
      <c r="M640">
        <v>19.270499999999998</v>
      </c>
      <c r="N640">
        <v>19.1937</v>
      </c>
      <c r="O640">
        <v>19.215299999999999</v>
      </c>
      <c r="P640">
        <v>19.320699999999999</v>
      </c>
      <c r="S640">
        <v>3.7281</v>
      </c>
      <c r="T640">
        <f t="shared" si="6"/>
        <v>3728.1</v>
      </c>
    </row>
    <row r="641" spans="1:20" x14ac:dyDescent="0.4">
      <c r="A641" t="s">
        <v>0</v>
      </c>
      <c r="B641">
        <v>5</v>
      </c>
      <c r="C641">
        <v>2.4695999999999998</v>
      </c>
      <c r="D641">
        <v>4.2309000000000001</v>
      </c>
      <c r="E641">
        <v>13.063800000000001</v>
      </c>
      <c r="F641">
        <v>14.6191</v>
      </c>
      <c r="G641">
        <v>22.690899999999999</v>
      </c>
      <c r="H641">
        <v>9.7577999999999996</v>
      </c>
      <c r="I641">
        <v>8.3206000000000007</v>
      </c>
      <c r="J641">
        <v>7.6862000000000004</v>
      </c>
      <c r="K641">
        <v>8.1127000000000002</v>
      </c>
      <c r="L641">
        <v>8.3958999999999993</v>
      </c>
      <c r="M641">
        <v>8.4646000000000008</v>
      </c>
      <c r="N641">
        <v>8.4332999999999991</v>
      </c>
      <c r="O641">
        <v>8.4038000000000004</v>
      </c>
      <c r="P641">
        <v>8.4018999999999995</v>
      </c>
      <c r="S641">
        <v>3.7399</v>
      </c>
      <c r="T641">
        <f t="shared" si="6"/>
        <v>3739.9</v>
      </c>
    </row>
    <row r="642" spans="1:20" x14ac:dyDescent="0.4">
      <c r="A642" t="s">
        <v>0</v>
      </c>
      <c r="B642">
        <v>6</v>
      </c>
      <c r="C642">
        <v>0.84919999999999995</v>
      </c>
      <c r="D642">
        <v>1.1153</v>
      </c>
      <c r="E642">
        <v>2.1412</v>
      </c>
      <c r="F642">
        <v>6.7328999999999999</v>
      </c>
      <c r="G642">
        <v>7.2099000000000002</v>
      </c>
      <c r="H642">
        <v>8.7805</v>
      </c>
      <c r="I642">
        <v>4.0827</v>
      </c>
      <c r="J642">
        <v>3.4127000000000001</v>
      </c>
      <c r="K642">
        <v>3.31</v>
      </c>
      <c r="L642">
        <v>3.5</v>
      </c>
      <c r="M642">
        <v>3.6335000000000002</v>
      </c>
      <c r="N642">
        <v>3.6555</v>
      </c>
      <c r="O642">
        <v>3.6514000000000002</v>
      </c>
      <c r="P642">
        <v>3.6354000000000002</v>
      </c>
      <c r="S642">
        <v>3.7351999999999999</v>
      </c>
      <c r="T642">
        <f t="shared" si="6"/>
        <v>3735.2</v>
      </c>
    </row>
    <row r="643" spans="1:20" x14ac:dyDescent="0.4">
      <c r="A643" t="s">
        <v>0</v>
      </c>
      <c r="B643">
        <v>7</v>
      </c>
      <c r="C643">
        <v>0.1227</v>
      </c>
      <c r="D643">
        <v>0.37969999999999998</v>
      </c>
      <c r="E643">
        <v>0.56820000000000004</v>
      </c>
      <c r="F643">
        <v>1.0769</v>
      </c>
      <c r="G643">
        <v>3.32</v>
      </c>
      <c r="H643">
        <v>2.8157000000000001</v>
      </c>
      <c r="I643">
        <v>3.7410000000000001</v>
      </c>
      <c r="J643">
        <v>1.6873</v>
      </c>
      <c r="K643">
        <v>1.4787999999999999</v>
      </c>
      <c r="L643">
        <v>1.4390000000000001</v>
      </c>
      <c r="M643">
        <v>1.5228999999999999</v>
      </c>
      <c r="N643">
        <v>1.5825</v>
      </c>
      <c r="O643">
        <v>1.5860000000000001</v>
      </c>
      <c r="P643">
        <v>1.5920000000000001</v>
      </c>
    </row>
    <row r="644" spans="1:20" x14ac:dyDescent="0.4">
      <c r="A644" t="s">
        <v>0</v>
      </c>
      <c r="B644">
        <v>8</v>
      </c>
      <c r="C644">
        <v>9.0200000000000002E-2</v>
      </c>
      <c r="D644">
        <v>5.6300000000000003E-2</v>
      </c>
      <c r="E644">
        <v>0.193</v>
      </c>
      <c r="F644">
        <v>0.2898</v>
      </c>
      <c r="G644">
        <v>0.5323</v>
      </c>
      <c r="H644">
        <v>1.3193999999999999</v>
      </c>
      <c r="I644">
        <v>1.2178</v>
      </c>
      <c r="J644">
        <v>1.5772999999999999</v>
      </c>
      <c r="K644">
        <v>0.74160000000000004</v>
      </c>
      <c r="L644">
        <v>0.64949999999999997</v>
      </c>
      <c r="M644">
        <v>0.63329999999999997</v>
      </c>
      <c r="N644">
        <v>0.66839999999999999</v>
      </c>
      <c r="O644">
        <v>0.69669999999999999</v>
      </c>
      <c r="P644">
        <v>0.69840000000000002</v>
      </c>
    </row>
    <row r="645" spans="1:20" x14ac:dyDescent="0.4">
      <c r="A645" t="s">
        <v>0</v>
      </c>
      <c r="B645">
        <v>9</v>
      </c>
      <c r="C645">
        <v>6.3E-3</v>
      </c>
      <c r="D645">
        <v>4.1000000000000002E-2</v>
      </c>
      <c r="E645">
        <v>2.87E-2</v>
      </c>
      <c r="F645">
        <v>9.8400000000000001E-2</v>
      </c>
      <c r="G645">
        <v>0.14530000000000001</v>
      </c>
      <c r="H645">
        <v>0.217</v>
      </c>
      <c r="I645">
        <v>0.58309999999999995</v>
      </c>
      <c r="J645">
        <v>0.52180000000000004</v>
      </c>
      <c r="K645">
        <v>0.70609999999999995</v>
      </c>
      <c r="L645">
        <v>0.33200000000000002</v>
      </c>
      <c r="M645">
        <v>0.29020000000000001</v>
      </c>
      <c r="N645">
        <v>0.28339999999999999</v>
      </c>
      <c r="O645">
        <v>0.29849999999999999</v>
      </c>
      <c r="P645">
        <v>0.312</v>
      </c>
    </row>
    <row r="646" spans="1:20" x14ac:dyDescent="0.4">
      <c r="A646" t="s">
        <v>0</v>
      </c>
      <c r="B646">
        <v>10</v>
      </c>
      <c r="C646">
        <v>3.2000000000000002E-3</v>
      </c>
      <c r="D646">
        <v>3.0000000000000001E-3</v>
      </c>
      <c r="E646">
        <v>2.06E-2</v>
      </c>
      <c r="F646">
        <v>1.47E-2</v>
      </c>
      <c r="G646">
        <v>5.0099999999999999E-2</v>
      </c>
      <c r="H646">
        <v>6.0299999999999999E-2</v>
      </c>
      <c r="I646">
        <v>9.7900000000000001E-2</v>
      </c>
      <c r="J646">
        <v>0.255</v>
      </c>
      <c r="K646">
        <v>0.2369</v>
      </c>
      <c r="L646">
        <v>0.31979999999999997</v>
      </c>
      <c r="M646">
        <v>0.151</v>
      </c>
      <c r="N646">
        <v>0.1313</v>
      </c>
      <c r="O646">
        <v>0.12889999999999999</v>
      </c>
      <c r="P646">
        <v>0.13539999999999999</v>
      </c>
    </row>
    <row r="647" spans="1:20" x14ac:dyDescent="0.4">
      <c r="A647" t="s">
        <v>0</v>
      </c>
      <c r="B647">
        <v>11</v>
      </c>
      <c r="C647">
        <v>8.9999999999999998E-4</v>
      </c>
      <c r="D647">
        <v>1.5E-3</v>
      </c>
      <c r="E647">
        <v>1.5E-3</v>
      </c>
      <c r="F647">
        <v>1.03E-2</v>
      </c>
      <c r="G647">
        <v>7.6E-3</v>
      </c>
      <c r="H647">
        <v>2.12E-2</v>
      </c>
      <c r="I647">
        <v>2.75E-2</v>
      </c>
      <c r="J647">
        <v>4.36E-2</v>
      </c>
      <c r="K647">
        <v>0.1177</v>
      </c>
      <c r="L647">
        <v>0.1086</v>
      </c>
      <c r="M647">
        <v>0.14710000000000001</v>
      </c>
      <c r="N647">
        <v>6.9400000000000003E-2</v>
      </c>
      <c r="O647">
        <v>6.0199999999999997E-2</v>
      </c>
      <c r="P647">
        <v>5.8999999999999997E-2</v>
      </c>
    </row>
    <row r="648" spans="1:20" x14ac:dyDescent="0.4">
      <c r="A648" t="s">
        <v>0</v>
      </c>
      <c r="B648">
        <v>12</v>
      </c>
      <c r="C648">
        <v>1E-4</v>
      </c>
      <c r="D648">
        <v>4.0000000000000002E-4</v>
      </c>
      <c r="E648">
        <v>8.0000000000000004E-4</v>
      </c>
      <c r="F648">
        <v>8.0000000000000004E-4</v>
      </c>
      <c r="G648">
        <v>5.1999999999999998E-3</v>
      </c>
      <c r="H648">
        <v>3.3E-3</v>
      </c>
      <c r="I648">
        <v>9.7000000000000003E-3</v>
      </c>
      <c r="J648">
        <v>1.24E-2</v>
      </c>
      <c r="K648">
        <v>2.0400000000000001E-2</v>
      </c>
      <c r="L648">
        <v>5.4800000000000001E-2</v>
      </c>
      <c r="M648">
        <v>5.0299999999999997E-2</v>
      </c>
      <c r="N648">
        <v>6.8099999999999994E-2</v>
      </c>
      <c r="O648">
        <v>3.2099999999999997E-2</v>
      </c>
      <c r="P648">
        <v>2.7799999999999998E-2</v>
      </c>
    </row>
    <row r="649" spans="1:20" x14ac:dyDescent="0.4">
      <c r="A649" t="s">
        <v>0</v>
      </c>
      <c r="B649">
        <v>13</v>
      </c>
      <c r="C649">
        <v>0</v>
      </c>
      <c r="D649">
        <v>0</v>
      </c>
      <c r="E649">
        <v>2.0000000000000001E-4</v>
      </c>
      <c r="F649">
        <v>4.0000000000000002E-4</v>
      </c>
      <c r="G649">
        <v>4.0000000000000002E-4</v>
      </c>
      <c r="H649">
        <v>2.3E-3</v>
      </c>
      <c r="I649">
        <v>1.6000000000000001E-3</v>
      </c>
      <c r="J649">
        <v>4.4999999999999997E-3</v>
      </c>
      <c r="K649">
        <v>5.7999999999999996E-3</v>
      </c>
      <c r="L649">
        <v>9.5999999999999992E-3</v>
      </c>
      <c r="M649">
        <v>2.5600000000000001E-2</v>
      </c>
      <c r="N649">
        <v>2.3400000000000001E-2</v>
      </c>
      <c r="O649">
        <v>3.1699999999999999E-2</v>
      </c>
      <c r="P649">
        <v>1.4999999999999999E-2</v>
      </c>
    </row>
    <row r="650" spans="1:20" x14ac:dyDescent="0.4">
      <c r="A650" t="s">
        <v>0</v>
      </c>
      <c r="B650">
        <v>14</v>
      </c>
      <c r="C650">
        <v>0</v>
      </c>
      <c r="D650">
        <v>0</v>
      </c>
      <c r="E650">
        <v>0</v>
      </c>
      <c r="F650">
        <v>1E-4</v>
      </c>
      <c r="G650">
        <v>2.0000000000000001E-4</v>
      </c>
      <c r="H650">
        <v>2.0000000000000001E-4</v>
      </c>
      <c r="I650">
        <v>1.1000000000000001E-3</v>
      </c>
      <c r="J650">
        <v>6.9999999999999999E-4</v>
      </c>
      <c r="K650">
        <v>2.0999999999999999E-3</v>
      </c>
      <c r="L650">
        <v>2.8E-3</v>
      </c>
      <c r="M650">
        <v>4.4999999999999997E-3</v>
      </c>
      <c r="N650">
        <v>1.2E-2</v>
      </c>
      <c r="O650">
        <v>1.0999999999999999E-2</v>
      </c>
      <c r="P650">
        <v>1.4800000000000001E-2</v>
      </c>
    </row>
    <row r="651" spans="1:20" x14ac:dyDescent="0.4">
      <c r="A651" t="s">
        <v>0</v>
      </c>
      <c r="B651">
        <v>15</v>
      </c>
      <c r="C651">
        <v>0</v>
      </c>
      <c r="D651">
        <v>0</v>
      </c>
      <c r="E651">
        <v>0</v>
      </c>
      <c r="F651">
        <v>0</v>
      </c>
      <c r="G651">
        <v>1E-4</v>
      </c>
      <c r="H651">
        <v>1E-4</v>
      </c>
      <c r="I651">
        <v>1E-4</v>
      </c>
      <c r="J651">
        <v>5.9999999999999995E-4</v>
      </c>
      <c r="K651">
        <v>5.9999999999999995E-4</v>
      </c>
      <c r="L651">
        <v>1.2999999999999999E-3</v>
      </c>
      <c r="M651">
        <v>2E-3</v>
      </c>
      <c r="N651">
        <v>3.0999999999999999E-3</v>
      </c>
      <c r="O651">
        <v>7.1999999999999998E-3</v>
      </c>
      <c r="P651">
        <v>8.6999999999999994E-3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70DD0-2BF1-4069-A77E-356641B27755}">
  <dimension ref="A1:U651"/>
  <sheetViews>
    <sheetView topLeftCell="E259" workbookViewId="0">
      <selection activeCell="M260" sqref="M260:S273"/>
    </sheetView>
  </sheetViews>
  <sheetFormatPr defaultRowHeight="14.6" x14ac:dyDescent="0.4"/>
  <sheetData>
    <row r="1" spans="1:9" x14ac:dyDescent="0.4">
      <c r="A1" t="s">
        <v>69</v>
      </c>
      <c r="B1" t="s">
        <v>68</v>
      </c>
      <c r="C1">
        <v>4.2</v>
      </c>
    </row>
    <row r="3" spans="1:9" x14ac:dyDescent="0.4">
      <c r="A3" t="s">
        <v>165</v>
      </c>
    </row>
    <row r="5" spans="1:9" x14ac:dyDescent="0.4">
      <c r="A5" t="s">
        <v>67</v>
      </c>
      <c r="B5" t="s">
        <v>66</v>
      </c>
      <c r="C5" t="s">
        <v>65</v>
      </c>
      <c r="D5" t="s">
        <v>47</v>
      </c>
      <c r="E5" t="s">
        <v>64</v>
      </c>
      <c r="F5">
        <v>10</v>
      </c>
      <c r="G5" t="s">
        <v>160</v>
      </c>
      <c r="H5">
        <v>2025</v>
      </c>
      <c r="I5" s="3">
        <v>0.69374999999999998</v>
      </c>
    </row>
    <row r="7" spans="1:9" x14ac:dyDescent="0.4">
      <c r="A7" t="s">
        <v>45</v>
      </c>
      <c r="B7" t="s">
        <v>52</v>
      </c>
      <c r="C7" t="s">
        <v>51</v>
      </c>
      <c r="D7" t="s">
        <v>164</v>
      </c>
    </row>
    <row r="9" spans="1:9" x14ac:dyDescent="0.4">
      <c r="A9" t="s">
        <v>63</v>
      </c>
      <c r="B9" t="s">
        <v>0</v>
      </c>
      <c r="C9" t="s">
        <v>62</v>
      </c>
      <c r="D9">
        <v>1</v>
      </c>
    </row>
    <row r="10" spans="1:9" x14ac:dyDescent="0.4">
      <c r="A10" t="s">
        <v>50</v>
      </c>
      <c r="B10" t="s">
        <v>47</v>
      </c>
      <c r="C10" t="s">
        <v>0</v>
      </c>
      <c r="D10" t="s">
        <v>61</v>
      </c>
      <c r="E10">
        <v>15</v>
      </c>
    </row>
    <row r="11" spans="1:9" x14ac:dyDescent="0.4">
      <c r="A11" t="s">
        <v>50</v>
      </c>
      <c r="B11" t="s">
        <v>47</v>
      </c>
      <c r="C11" t="s">
        <v>60</v>
      </c>
      <c r="D11" t="s">
        <v>59</v>
      </c>
      <c r="E11" t="s">
        <v>58</v>
      </c>
      <c r="F11">
        <v>14</v>
      </c>
    </row>
    <row r="12" spans="1:9" x14ac:dyDescent="0.4">
      <c r="A12" t="s">
        <v>50</v>
      </c>
      <c r="B12" t="s">
        <v>47</v>
      </c>
      <c r="C12" t="s">
        <v>57</v>
      </c>
      <c r="D12">
        <v>9</v>
      </c>
    </row>
    <row r="13" spans="1:9" x14ac:dyDescent="0.4">
      <c r="A13" t="s">
        <v>50</v>
      </c>
      <c r="B13" t="s">
        <v>47</v>
      </c>
      <c r="C13" t="s">
        <v>41</v>
      </c>
      <c r="D13" t="s">
        <v>56</v>
      </c>
      <c r="E13">
        <v>3</v>
      </c>
    </row>
    <row r="14" spans="1:9" x14ac:dyDescent="0.4">
      <c r="A14" t="s">
        <v>50</v>
      </c>
      <c r="B14" t="s">
        <v>47</v>
      </c>
      <c r="C14" t="s">
        <v>55</v>
      </c>
      <c r="D14">
        <v>100</v>
      </c>
    </row>
    <row r="15" spans="1:9" x14ac:dyDescent="0.4">
      <c r="A15" t="s">
        <v>50</v>
      </c>
      <c r="B15" t="s">
        <v>47</v>
      </c>
      <c r="C15" t="s">
        <v>54</v>
      </c>
      <c r="D15">
        <v>1000</v>
      </c>
    </row>
    <row r="17" spans="1:11" x14ac:dyDescent="0.4">
      <c r="A17" t="s">
        <v>53</v>
      </c>
      <c r="B17" t="s">
        <v>52</v>
      </c>
      <c r="C17" t="s">
        <v>51</v>
      </c>
      <c r="D17" t="s">
        <v>75</v>
      </c>
      <c r="E17" t="s">
        <v>76</v>
      </c>
      <c r="F17" t="s">
        <v>77</v>
      </c>
      <c r="G17" t="s">
        <v>78</v>
      </c>
    </row>
    <row r="19" spans="1:11" x14ac:dyDescent="0.4">
      <c r="A19" t="s">
        <v>50</v>
      </c>
      <c r="B19" t="s">
        <v>47</v>
      </c>
      <c r="C19" t="s">
        <v>49</v>
      </c>
      <c r="D19" t="s">
        <v>48</v>
      </c>
      <c r="E19">
        <v>99759</v>
      </c>
      <c r="F19" t="s">
        <v>47</v>
      </c>
      <c r="G19">
        <v>100000</v>
      </c>
      <c r="H19" t="s">
        <v>46</v>
      </c>
    </row>
    <row r="21" spans="1:11" x14ac:dyDescent="0.4">
      <c r="A21" t="s">
        <v>45</v>
      </c>
      <c r="B21" t="s">
        <v>44</v>
      </c>
      <c r="C21" t="s">
        <v>43</v>
      </c>
    </row>
    <row r="23" spans="1:11" x14ac:dyDescent="0.4">
      <c r="A23" t="s">
        <v>22</v>
      </c>
      <c r="B23" t="s">
        <v>42</v>
      </c>
      <c r="C23" t="s">
        <v>79</v>
      </c>
      <c r="D23" t="s">
        <v>80</v>
      </c>
      <c r="E23" t="s">
        <v>81</v>
      </c>
      <c r="F23" t="s">
        <v>82</v>
      </c>
      <c r="G23" t="s">
        <v>83</v>
      </c>
      <c r="H23" t="s">
        <v>84</v>
      </c>
      <c r="I23" t="s">
        <v>85</v>
      </c>
      <c r="J23" t="s">
        <v>86</v>
      </c>
      <c r="K23" t="s">
        <v>87</v>
      </c>
    </row>
    <row r="25" spans="1:11" x14ac:dyDescent="0.4">
      <c r="A25">
        <v>2021</v>
      </c>
      <c r="B25" t="s">
        <v>5</v>
      </c>
      <c r="C25">
        <v>118</v>
      </c>
      <c r="D25">
        <v>100</v>
      </c>
      <c r="E25">
        <v>551</v>
      </c>
      <c r="F25">
        <v>72</v>
      </c>
      <c r="G25">
        <v>89</v>
      </c>
      <c r="H25">
        <v>37</v>
      </c>
      <c r="I25">
        <v>58</v>
      </c>
      <c r="J25">
        <v>265</v>
      </c>
      <c r="K25">
        <v>249</v>
      </c>
    </row>
    <row r="26" spans="1:11" x14ac:dyDescent="0.4">
      <c r="A26">
        <v>2022</v>
      </c>
      <c r="B26" t="s">
        <v>5</v>
      </c>
      <c r="C26">
        <v>75</v>
      </c>
      <c r="D26">
        <v>99</v>
      </c>
      <c r="E26">
        <v>464</v>
      </c>
      <c r="F26">
        <v>36</v>
      </c>
      <c r="G26">
        <v>80</v>
      </c>
      <c r="H26">
        <v>54</v>
      </c>
      <c r="I26">
        <v>84</v>
      </c>
      <c r="J26">
        <v>298</v>
      </c>
      <c r="K26">
        <v>284</v>
      </c>
    </row>
    <row r="27" spans="1:11" x14ac:dyDescent="0.4">
      <c r="A27">
        <v>2023</v>
      </c>
      <c r="B27" t="s">
        <v>5</v>
      </c>
      <c r="C27">
        <v>129</v>
      </c>
      <c r="D27">
        <v>80</v>
      </c>
      <c r="E27">
        <v>526</v>
      </c>
      <c r="F27">
        <v>28</v>
      </c>
      <c r="G27">
        <v>110</v>
      </c>
      <c r="H27">
        <v>54</v>
      </c>
      <c r="I27">
        <v>84</v>
      </c>
      <c r="J27">
        <v>214</v>
      </c>
      <c r="K27">
        <v>461</v>
      </c>
    </row>
    <row r="28" spans="1:11" x14ac:dyDescent="0.4">
      <c r="A28">
        <v>2024</v>
      </c>
      <c r="B28" t="s">
        <v>5</v>
      </c>
      <c r="C28">
        <v>83</v>
      </c>
      <c r="D28">
        <v>176</v>
      </c>
      <c r="E28">
        <v>578</v>
      </c>
      <c r="F28">
        <v>27</v>
      </c>
      <c r="G28">
        <v>110</v>
      </c>
      <c r="H28">
        <v>54</v>
      </c>
      <c r="I28">
        <v>84</v>
      </c>
      <c r="J28">
        <v>584</v>
      </c>
      <c r="K28">
        <v>461</v>
      </c>
    </row>
    <row r="29" spans="1:11" x14ac:dyDescent="0.4">
      <c r="A29">
        <v>2025</v>
      </c>
      <c r="B29" t="s">
        <v>5</v>
      </c>
      <c r="C29">
        <v>351</v>
      </c>
      <c r="D29">
        <v>139</v>
      </c>
      <c r="E29">
        <v>1296</v>
      </c>
      <c r="F29">
        <v>65</v>
      </c>
      <c r="G29">
        <v>213</v>
      </c>
      <c r="H29">
        <v>95</v>
      </c>
      <c r="I29">
        <v>197</v>
      </c>
      <c r="J29">
        <v>393</v>
      </c>
      <c r="K29">
        <v>476</v>
      </c>
    </row>
    <row r="30" spans="1:11" x14ac:dyDescent="0.4">
      <c r="A30">
        <v>2026</v>
      </c>
      <c r="B30" t="s">
        <v>5</v>
      </c>
      <c r="C30">
        <v>351</v>
      </c>
      <c r="D30">
        <v>139</v>
      </c>
      <c r="E30">
        <v>1296</v>
      </c>
      <c r="F30">
        <v>65</v>
      </c>
      <c r="G30">
        <v>213</v>
      </c>
      <c r="H30">
        <v>95</v>
      </c>
      <c r="I30">
        <v>197</v>
      </c>
      <c r="J30">
        <v>393</v>
      </c>
      <c r="K30">
        <v>476</v>
      </c>
    </row>
    <row r="31" spans="1:11" x14ac:dyDescent="0.4">
      <c r="A31">
        <v>2027</v>
      </c>
      <c r="B31" t="s">
        <v>5</v>
      </c>
      <c r="C31">
        <v>316</v>
      </c>
      <c r="D31">
        <v>125</v>
      </c>
      <c r="E31">
        <v>904</v>
      </c>
      <c r="F31">
        <v>58</v>
      </c>
      <c r="G31">
        <v>191</v>
      </c>
      <c r="H31">
        <v>85</v>
      </c>
      <c r="I31">
        <v>166</v>
      </c>
      <c r="J31">
        <v>228</v>
      </c>
      <c r="K31">
        <v>326</v>
      </c>
    </row>
    <row r="32" spans="1:11" x14ac:dyDescent="0.4">
      <c r="A32">
        <v>2028</v>
      </c>
      <c r="B32" t="s">
        <v>5</v>
      </c>
      <c r="C32">
        <v>185</v>
      </c>
      <c r="D32">
        <v>122</v>
      </c>
      <c r="E32">
        <v>692</v>
      </c>
      <c r="F32">
        <v>67</v>
      </c>
      <c r="G32">
        <v>158</v>
      </c>
      <c r="H32">
        <v>88</v>
      </c>
      <c r="I32">
        <v>169</v>
      </c>
      <c r="J32">
        <v>373</v>
      </c>
      <c r="K32">
        <v>298</v>
      </c>
    </row>
    <row r="33" spans="1:11" x14ac:dyDescent="0.4">
      <c r="A33">
        <v>2029</v>
      </c>
      <c r="B33" t="s">
        <v>5</v>
      </c>
      <c r="C33">
        <v>185</v>
      </c>
      <c r="D33">
        <v>122</v>
      </c>
      <c r="E33">
        <v>692</v>
      </c>
      <c r="F33">
        <v>67</v>
      </c>
      <c r="G33">
        <v>158</v>
      </c>
      <c r="H33">
        <v>88</v>
      </c>
      <c r="I33">
        <v>169</v>
      </c>
      <c r="J33">
        <v>373</v>
      </c>
      <c r="K33">
        <v>298</v>
      </c>
    </row>
    <row r="34" spans="1:11" x14ac:dyDescent="0.4">
      <c r="A34">
        <v>2030</v>
      </c>
      <c r="B34" t="s">
        <v>5</v>
      </c>
      <c r="C34">
        <v>185</v>
      </c>
      <c r="D34">
        <v>122</v>
      </c>
      <c r="E34">
        <v>692</v>
      </c>
      <c r="F34">
        <v>67</v>
      </c>
      <c r="G34">
        <v>158</v>
      </c>
      <c r="H34">
        <v>88</v>
      </c>
      <c r="I34">
        <v>169</v>
      </c>
      <c r="J34">
        <v>373</v>
      </c>
      <c r="K34">
        <v>298</v>
      </c>
    </row>
    <row r="35" spans="1:11" x14ac:dyDescent="0.4">
      <c r="A35">
        <v>2031</v>
      </c>
      <c r="B35" t="s">
        <v>5</v>
      </c>
      <c r="C35">
        <v>185</v>
      </c>
      <c r="D35">
        <v>122</v>
      </c>
      <c r="E35">
        <v>692</v>
      </c>
      <c r="F35">
        <v>67</v>
      </c>
      <c r="G35">
        <v>158</v>
      </c>
      <c r="H35">
        <v>88</v>
      </c>
      <c r="I35">
        <v>169</v>
      </c>
      <c r="J35">
        <v>373</v>
      </c>
      <c r="K35">
        <v>298</v>
      </c>
    </row>
    <row r="36" spans="1:11" x14ac:dyDescent="0.4">
      <c r="A36">
        <v>2032</v>
      </c>
      <c r="B36" t="s">
        <v>5</v>
      </c>
      <c r="C36">
        <v>185</v>
      </c>
      <c r="D36">
        <v>122</v>
      </c>
      <c r="E36">
        <v>692</v>
      </c>
      <c r="F36">
        <v>67</v>
      </c>
      <c r="G36">
        <v>158</v>
      </c>
      <c r="H36">
        <v>88</v>
      </c>
      <c r="I36">
        <v>169</v>
      </c>
      <c r="J36">
        <v>373</v>
      </c>
      <c r="K36">
        <v>298</v>
      </c>
    </row>
    <row r="37" spans="1:11" x14ac:dyDescent="0.4">
      <c r="A37">
        <v>2033</v>
      </c>
      <c r="B37" t="s">
        <v>5</v>
      </c>
      <c r="C37">
        <v>185</v>
      </c>
      <c r="D37">
        <v>122</v>
      </c>
      <c r="E37">
        <v>692</v>
      </c>
      <c r="F37">
        <v>67</v>
      </c>
      <c r="G37">
        <v>158</v>
      </c>
      <c r="H37">
        <v>88</v>
      </c>
      <c r="I37">
        <v>169</v>
      </c>
      <c r="J37">
        <v>373</v>
      </c>
      <c r="K37">
        <v>298</v>
      </c>
    </row>
    <row r="38" spans="1:11" x14ac:dyDescent="0.4">
      <c r="A38">
        <v>2034</v>
      </c>
      <c r="B38" t="s">
        <v>5</v>
      </c>
      <c r="C38">
        <v>185</v>
      </c>
      <c r="D38">
        <v>122</v>
      </c>
      <c r="E38">
        <v>692</v>
      </c>
      <c r="F38">
        <v>67</v>
      </c>
      <c r="G38">
        <v>158</v>
      </c>
      <c r="H38">
        <v>88</v>
      </c>
      <c r="I38">
        <v>169</v>
      </c>
      <c r="J38">
        <v>373</v>
      </c>
      <c r="K38">
        <v>298</v>
      </c>
    </row>
    <row r="40" spans="1:11" x14ac:dyDescent="0.4">
      <c r="A40" t="s">
        <v>41</v>
      </c>
      <c r="B40" t="s">
        <v>40</v>
      </c>
      <c r="C40" t="s">
        <v>32</v>
      </c>
    </row>
    <row r="42" spans="1:11" x14ac:dyDescent="0.4">
      <c r="A42" t="s">
        <v>22</v>
      </c>
      <c r="B42" t="s">
        <v>39</v>
      </c>
      <c r="C42" t="s">
        <v>38</v>
      </c>
      <c r="D42" t="s">
        <v>88</v>
      </c>
    </row>
    <row r="44" spans="1:11" x14ac:dyDescent="0.4">
      <c r="A44">
        <v>2021</v>
      </c>
      <c r="B44">
        <v>0.12</v>
      </c>
      <c r="C44">
        <v>0.83979999999999999</v>
      </c>
      <c r="D44">
        <v>4.02E-2</v>
      </c>
    </row>
    <row r="45" spans="1:11" x14ac:dyDescent="0.4">
      <c r="A45">
        <v>2022</v>
      </c>
      <c r="B45">
        <v>0.1198</v>
      </c>
      <c r="C45">
        <v>0.84089999999999998</v>
      </c>
      <c r="D45">
        <v>3.9300000000000002E-2</v>
      </c>
    </row>
    <row r="46" spans="1:11" x14ac:dyDescent="0.4">
      <c r="A46">
        <v>2023</v>
      </c>
      <c r="B46">
        <v>0.1193</v>
      </c>
      <c r="C46">
        <v>0.84040000000000004</v>
      </c>
      <c r="D46">
        <v>4.02E-2</v>
      </c>
    </row>
    <row r="47" spans="1:11" x14ac:dyDescent="0.4">
      <c r="A47">
        <v>2024</v>
      </c>
      <c r="B47">
        <v>0.1207</v>
      </c>
      <c r="C47">
        <v>0.83889999999999998</v>
      </c>
      <c r="D47">
        <v>4.0300000000000002E-2</v>
      </c>
    </row>
    <row r="48" spans="1:11" x14ac:dyDescent="0.4">
      <c r="A48">
        <v>2025</v>
      </c>
      <c r="B48">
        <v>0.11890000000000001</v>
      </c>
      <c r="C48">
        <v>0.84079999999999999</v>
      </c>
      <c r="D48">
        <v>4.0300000000000002E-2</v>
      </c>
    </row>
    <row r="49" spans="1:4" x14ac:dyDescent="0.4">
      <c r="A49">
        <v>2026</v>
      </c>
      <c r="B49">
        <v>0.1196</v>
      </c>
      <c r="C49">
        <v>0.84099999999999997</v>
      </c>
      <c r="D49">
        <v>3.9399999999999998E-2</v>
      </c>
    </row>
    <row r="50" spans="1:4" x14ac:dyDescent="0.4">
      <c r="A50">
        <v>2027</v>
      </c>
      <c r="B50">
        <v>0.1197</v>
      </c>
      <c r="C50">
        <v>0.83979999999999999</v>
      </c>
      <c r="D50">
        <v>4.0500000000000001E-2</v>
      </c>
    </row>
    <row r="51" spans="1:4" x14ac:dyDescent="0.4">
      <c r="A51">
        <v>2028</v>
      </c>
      <c r="B51">
        <v>0.1206</v>
      </c>
      <c r="C51">
        <v>0.83909999999999996</v>
      </c>
      <c r="D51">
        <v>4.0300000000000002E-2</v>
      </c>
    </row>
    <row r="52" spans="1:4" x14ac:dyDescent="0.4">
      <c r="A52">
        <v>2029</v>
      </c>
      <c r="B52">
        <v>0.1193</v>
      </c>
      <c r="C52">
        <v>0.84099999999999997</v>
      </c>
      <c r="D52">
        <v>3.9699999999999999E-2</v>
      </c>
    </row>
    <row r="53" spans="1:4" x14ac:dyDescent="0.4">
      <c r="A53">
        <v>2030</v>
      </c>
      <c r="B53">
        <v>0.1186</v>
      </c>
      <c r="C53">
        <v>0.84050000000000002</v>
      </c>
      <c r="D53">
        <v>4.0899999999999999E-2</v>
      </c>
    </row>
    <row r="54" spans="1:4" x14ac:dyDescent="0.4">
      <c r="A54">
        <v>2031</v>
      </c>
      <c r="B54">
        <v>0.12039999999999999</v>
      </c>
      <c r="C54">
        <v>0.83979999999999999</v>
      </c>
      <c r="D54">
        <v>3.9800000000000002E-2</v>
      </c>
    </row>
    <row r="55" spans="1:4" x14ac:dyDescent="0.4">
      <c r="A55">
        <v>2032</v>
      </c>
      <c r="B55">
        <v>0.1187</v>
      </c>
      <c r="C55">
        <v>0.84179999999999999</v>
      </c>
      <c r="D55">
        <v>3.9399999999999998E-2</v>
      </c>
    </row>
    <row r="56" spans="1:4" x14ac:dyDescent="0.4">
      <c r="A56">
        <v>2033</v>
      </c>
      <c r="B56">
        <v>0.1195</v>
      </c>
      <c r="C56">
        <v>0.84</v>
      </c>
      <c r="D56">
        <v>4.0500000000000001E-2</v>
      </c>
    </row>
    <row r="57" spans="1:4" x14ac:dyDescent="0.4">
      <c r="A57">
        <v>2034</v>
      </c>
      <c r="B57">
        <v>0.1217</v>
      </c>
      <c r="C57">
        <v>0.83919999999999995</v>
      </c>
      <c r="D57">
        <v>3.9100000000000003E-2</v>
      </c>
    </row>
    <row r="59" spans="1:4" x14ac:dyDescent="0.4">
      <c r="A59" t="s">
        <v>11</v>
      </c>
      <c r="B59">
        <v>1000</v>
      </c>
      <c r="C59" t="s">
        <v>30</v>
      </c>
    </row>
    <row r="61" spans="1:4" x14ac:dyDescent="0.4">
      <c r="A61" t="s">
        <v>22</v>
      </c>
      <c r="B61" t="s">
        <v>37</v>
      </c>
      <c r="C61" t="s">
        <v>34</v>
      </c>
      <c r="D61" t="s">
        <v>33</v>
      </c>
    </row>
    <row r="62" spans="1:4" x14ac:dyDescent="0.4">
      <c r="A62">
        <v>2021</v>
      </c>
      <c r="B62">
        <v>173.6283</v>
      </c>
      <c r="C62">
        <v>81.256500000000003</v>
      </c>
    </row>
    <row r="63" spans="1:4" x14ac:dyDescent="0.4">
      <c r="A63">
        <v>2022</v>
      </c>
      <c r="B63">
        <v>174.32849999999999</v>
      </c>
      <c r="C63">
        <v>83.226299999999995</v>
      </c>
    </row>
    <row r="64" spans="1:4" x14ac:dyDescent="0.4">
      <c r="A64">
        <v>2023</v>
      </c>
      <c r="B64">
        <v>174.47380000000001</v>
      </c>
      <c r="C64">
        <v>84.605500000000006</v>
      </c>
    </row>
    <row r="65" spans="1:11" x14ac:dyDescent="0.4">
      <c r="A65">
        <v>2024</v>
      </c>
      <c r="B65">
        <v>174.52449999999999</v>
      </c>
      <c r="C65">
        <v>84.104799999999997</v>
      </c>
    </row>
    <row r="66" spans="1:11" x14ac:dyDescent="0.4">
      <c r="A66">
        <v>2025</v>
      </c>
      <c r="B66">
        <v>174.72919999999999</v>
      </c>
      <c r="C66">
        <v>84.049599999999998</v>
      </c>
    </row>
    <row r="67" spans="1:11" x14ac:dyDescent="0.4">
      <c r="A67">
        <v>2026</v>
      </c>
      <c r="B67">
        <v>173.92429999999999</v>
      </c>
      <c r="C67">
        <v>83.029300000000006</v>
      </c>
    </row>
    <row r="68" spans="1:11" x14ac:dyDescent="0.4">
      <c r="A68">
        <v>2027</v>
      </c>
      <c r="B68">
        <v>173.83279999999999</v>
      </c>
      <c r="C68">
        <v>81.828599999999994</v>
      </c>
    </row>
    <row r="69" spans="1:11" x14ac:dyDescent="0.4">
      <c r="A69">
        <v>2028</v>
      </c>
      <c r="B69">
        <v>173.97049999999999</v>
      </c>
      <c r="C69">
        <v>82.513599999999997</v>
      </c>
    </row>
    <row r="70" spans="1:11" x14ac:dyDescent="0.4">
      <c r="A70">
        <v>2029</v>
      </c>
      <c r="B70">
        <v>173.8184</v>
      </c>
      <c r="C70">
        <v>81.450999999999993</v>
      </c>
    </row>
    <row r="71" spans="1:11" x14ac:dyDescent="0.4">
      <c r="A71">
        <v>2030</v>
      </c>
      <c r="B71">
        <v>174.3227</v>
      </c>
      <c r="C71">
        <v>83.707499999999996</v>
      </c>
    </row>
    <row r="72" spans="1:11" x14ac:dyDescent="0.4">
      <c r="A72">
        <v>2031</v>
      </c>
      <c r="B72">
        <v>174.42189999999999</v>
      </c>
      <c r="C72">
        <v>82.737200000000001</v>
      </c>
    </row>
    <row r="73" spans="1:11" x14ac:dyDescent="0.4">
      <c r="A73">
        <v>2032</v>
      </c>
      <c r="B73">
        <v>173.8115</v>
      </c>
      <c r="C73">
        <v>82.353899999999996</v>
      </c>
    </row>
    <row r="74" spans="1:11" x14ac:dyDescent="0.4">
      <c r="A74">
        <v>2033</v>
      </c>
      <c r="B74">
        <v>174.17250000000001</v>
      </c>
      <c r="C74">
        <v>82.757499999999993</v>
      </c>
    </row>
    <row r="75" spans="1:11" x14ac:dyDescent="0.4">
      <c r="A75">
        <v>2034</v>
      </c>
      <c r="B75">
        <v>173.8587</v>
      </c>
      <c r="C75">
        <v>84.028000000000006</v>
      </c>
    </row>
    <row r="77" spans="1:11" x14ac:dyDescent="0.4">
      <c r="A77" t="s">
        <v>11</v>
      </c>
      <c r="B77" t="s">
        <v>32</v>
      </c>
    </row>
    <row r="79" spans="1:11" x14ac:dyDescent="0.4">
      <c r="A79" t="s">
        <v>22</v>
      </c>
      <c r="B79" t="s">
        <v>37</v>
      </c>
      <c r="C79" s="2">
        <v>0.01</v>
      </c>
      <c r="D79" s="2">
        <v>0.05</v>
      </c>
      <c r="E79" s="2">
        <v>0.1</v>
      </c>
      <c r="F79" s="2">
        <v>0.25</v>
      </c>
      <c r="G79" s="2">
        <v>0.5</v>
      </c>
      <c r="H79" s="2">
        <v>0.75</v>
      </c>
      <c r="I79" s="2">
        <v>0.9</v>
      </c>
      <c r="J79" s="2">
        <v>0.95</v>
      </c>
      <c r="K79" s="2">
        <v>0.99</v>
      </c>
    </row>
    <row r="80" spans="1:11" x14ac:dyDescent="0.4">
      <c r="A80">
        <v>2021</v>
      </c>
      <c r="B80">
        <v>68.655199999999994</v>
      </c>
      <c r="C80">
        <v>70.776399999999995</v>
      </c>
      <c r="D80">
        <v>79.169499999999999</v>
      </c>
      <c r="E80">
        <v>104.8579</v>
      </c>
      <c r="F80">
        <v>168.48859999999999</v>
      </c>
      <c r="G80">
        <v>236.6208</v>
      </c>
      <c r="H80">
        <v>279.71550000000002</v>
      </c>
      <c r="I80">
        <v>306.44389999999999</v>
      </c>
      <c r="J80">
        <v>325.43239999999997</v>
      </c>
    </row>
    <row r="81" spans="1:10" x14ac:dyDescent="0.4">
      <c r="A81">
        <v>2022</v>
      </c>
      <c r="B81">
        <v>68.659199999999998</v>
      </c>
      <c r="C81">
        <v>70.877799999999993</v>
      </c>
      <c r="D81">
        <v>79.183899999999994</v>
      </c>
      <c r="E81">
        <v>104.6806</v>
      </c>
      <c r="F81">
        <v>168.59280000000001</v>
      </c>
      <c r="G81">
        <v>237.215</v>
      </c>
      <c r="H81">
        <v>279.19229999999999</v>
      </c>
      <c r="I81">
        <v>306.87759999999997</v>
      </c>
      <c r="J81">
        <v>334.22989999999999</v>
      </c>
    </row>
    <row r="82" spans="1:10" x14ac:dyDescent="0.4">
      <c r="A82">
        <v>2023</v>
      </c>
      <c r="B82">
        <v>68.655500000000004</v>
      </c>
      <c r="C82">
        <v>70.544300000000007</v>
      </c>
      <c r="D82">
        <v>78.959100000000007</v>
      </c>
      <c r="E82">
        <v>104.6541</v>
      </c>
      <c r="F82">
        <v>168.52080000000001</v>
      </c>
      <c r="G82">
        <v>237.20310000000001</v>
      </c>
      <c r="H82">
        <v>280.5222</v>
      </c>
      <c r="I82">
        <v>307.57459999999998</v>
      </c>
      <c r="J82">
        <v>356</v>
      </c>
    </row>
    <row r="83" spans="1:10" x14ac:dyDescent="0.4">
      <c r="A83">
        <v>2024</v>
      </c>
      <c r="B83">
        <v>68.648700000000005</v>
      </c>
      <c r="C83">
        <v>70.662999999999997</v>
      </c>
      <c r="D83">
        <v>79.195599999999999</v>
      </c>
      <c r="E83">
        <v>105.0992</v>
      </c>
      <c r="F83">
        <v>168.57480000000001</v>
      </c>
      <c r="G83">
        <v>236.75620000000001</v>
      </c>
      <c r="H83">
        <v>280.38490000000002</v>
      </c>
      <c r="I83">
        <v>307.40499999999997</v>
      </c>
      <c r="J83">
        <v>359.67520000000002</v>
      </c>
    </row>
    <row r="84" spans="1:10" x14ac:dyDescent="0.4">
      <c r="A84">
        <v>2025</v>
      </c>
      <c r="B84">
        <v>68.664000000000001</v>
      </c>
      <c r="C84">
        <v>70.714500000000001</v>
      </c>
      <c r="D84">
        <v>79.006799999999998</v>
      </c>
      <c r="E84">
        <v>105.2225</v>
      </c>
      <c r="F84">
        <v>168.6337</v>
      </c>
      <c r="G84">
        <v>236.999</v>
      </c>
      <c r="H84">
        <v>280.87259999999998</v>
      </c>
      <c r="I84">
        <v>307.14760000000001</v>
      </c>
      <c r="J84">
        <v>345.19290000000001</v>
      </c>
    </row>
    <row r="85" spans="1:10" x14ac:dyDescent="0.4">
      <c r="A85">
        <v>2026</v>
      </c>
      <c r="B85">
        <v>68.654499999999999</v>
      </c>
      <c r="C85">
        <v>70.751800000000003</v>
      </c>
      <c r="D85">
        <v>78.997</v>
      </c>
      <c r="E85">
        <v>104.7022</v>
      </c>
      <c r="F85">
        <v>168.4863</v>
      </c>
      <c r="G85">
        <v>236.25800000000001</v>
      </c>
      <c r="H85">
        <v>280.83069999999998</v>
      </c>
      <c r="I85">
        <v>307.4307</v>
      </c>
      <c r="J85">
        <v>336.60300000000001</v>
      </c>
    </row>
    <row r="86" spans="1:10" x14ac:dyDescent="0.4">
      <c r="A86">
        <v>2027</v>
      </c>
      <c r="B86">
        <v>68.633300000000006</v>
      </c>
      <c r="C86">
        <v>70.503699999999995</v>
      </c>
      <c r="D86">
        <v>78.971800000000002</v>
      </c>
      <c r="E86">
        <v>104.7756</v>
      </c>
      <c r="F86">
        <v>168.51079999999999</v>
      </c>
      <c r="G86">
        <v>236.6086</v>
      </c>
      <c r="H86">
        <v>280.18689999999998</v>
      </c>
      <c r="I86">
        <v>307.15780000000001</v>
      </c>
      <c r="J86">
        <v>325.74220000000003</v>
      </c>
    </row>
    <row r="87" spans="1:10" x14ac:dyDescent="0.4">
      <c r="A87">
        <v>2028</v>
      </c>
      <c r="B87">
        <v>68.645399999999995</v>
      </c>
      <c r="C87">
        <v>70.829400000000007</v>
      </c>
      <c r="D87">
        <v>79.066100000000006</v>
      </c>
      <c r="E87">
        <v>105.12609999999999</v>
      </c>
      <c r="F87">
        <v>168.4984</v>
      </c>
      <c r="G87">
        <v>236.88220000000001</v>
      </c>
      <c r="H87">
        <v>280.16860000000003</v>
      </c>
      <c r="I87">
        <v>307.1053</v>
      </c>
      <c r="J87">
        <v>327.0942</v>
      </c>
    </row>
    <row r="88" spans="1:10" x14ac:dyDescent="0.4">
      <c r="A88">
        <v>2029</v>
      </c>
      <c r="B88">
        <v>68.652600000000007</v>
      </c>
      <c r="C88">
        <v>70.702699999999993</v>
      </c>
      <c r="D88">
        <v>79.155100000000004</v>
      </c>
      <c r="E88">
        <v>104.8861</v>
      </c>
      <c r="F88">
        <v>168.56890000000001</v>
      </c>
      <c r="G88">
        <v>236.977</v>
      </c>
      <c r="H88">
        <v>280.1302</v>
      </c>
      <c r="I88">
        <v>306.78629999999998</v>
      </c>
      <c r="J88">
        <v>325.68340000000001</v>
      </c>
    </row>
    <row r="89" spans="1:10" x14ac:dyDescent="0.4">
      <c r="A89">
        <v>2030</v>
      </c>
      <c r="B89">
        <v>68.649699999999996</v>
      </c>
      <c r="C89">
        <v>70.642799999999994</v>
      </c>
      <c r="D89">
        <v>78.970600000000005</v>
      </c>
      <c r="E89">
        <v>104.7593</v>
      </c>
      <c r="F89">
        <v>168.5864</v>
      </c>
      <c r="G89">
        <v>237.08160000000001</v>
      </c>
      <c r="H89">
        <v>280.3057</v>
      </c>
      <c r="I89">
        <v>306.96449999999999</v>
      </c>
      <c r="J89">
        <v>340.61610000000002</v>
      </c>
    </row>
    <row r="90" spans="1:10" x14ac:dyDescent="0.4">
      <c r="A90">
        <v>2031</v>
      </c>
      <c r="B90">
        <v>68.64</v>
      </c>
      <c r="C90">
        <v>70.543800000000005</v>
      </c>
      <c r="D90">
        <v>79.111599999999996</v>
      </c>
      <c r="E90">
        <v>105.2379</v>
      </c>
      <c r="F90">
        <v>168.6345</v>
      </c>
      <c r="G90">
        <v>236.9599</v>
      </c>
      <c r="H90">
        <v>280.34449999999998</v>
      </c>
      <c r="I90">
        <v>307.16120000000001</v>
      </c>
      <c r="J90">
        <v>330.17509999999999</v>
      </c>
    </row>
    <row r="91" spans="1:10" x14ac:dyDescent="0.4">
      <c r="A91">
        <v>2032</v>
      </c>
      <c r="B91">
        <v>68.649100000000004</v>
      </c>
      <c r="C91">
        <v>70.7667</v>
      </c>
      <c r="D91">
        <v>79.116200000000006</v>
      </c>
      <c r="E91">
        <v>104.8292</v>
      </c>
      <c r="F91">
        <v>168.4846</v>
      </c>
      <c r="G91">
        <v>236.8434</v>
      </c>
      <c r="H91">
        <v>278.91239999999999</v>
      </c>
      <c r="I91">
        <v>306.82</v>
      </c>
      <c r="J91">
        <v>329.6995</v>
      </c>
    </row>
    <row r="92" spans="1:10" x14ac:dyDescent="0.4">
      <c r="A92">
        <v>2033</v>
      </c>
      <c r="B92">
        <v>68.645300000000006</v>
      </c>
      <c r="C92">
        <v>70.684899999999999</v>
      </c>
      <c r="D92">
        <v>78.945499999999996</v>
      </c>
      <c r="E92">
        <v>104.783</v>
      </c>
      <c r="F92">
        <v>168.53219999999999</v>
      </c>
      <c r="G92">
        <v>236.87110000000001</v>
      </c>
      <c r="H92">
        <v>280.63479999999998</v>
      </c>
      <c r="I92">
        <v>307.65570000000002</v>
      </c>
      <c r="J92">
        <v>340.90789999999998</v>
      </c>
    </row>
    <row r="93" spans="1:10" x14ac:dyDescent="0.4">
      <c r="A93">
        <v>2034</v>
      </c>
      <c r="B93">
        <v>68.655699999999996</v>
      </c>
      <c r="C93">
        <v>70.656899999999993</v>
      </c>
      <c r="D93">
        <v>78.991900000000001</v>
      </c>
      <c r="E93">
        <v>104.73869999999999</v>
      </c>
      <c r="F93">
        <v>168.49359999999999</v>
      </c>
      <c r="G93">
        <v>236.47219999999999</v>
      </c>
      <c r="H93">
        <v>279.61750000000001</v>
      </c>
      <c r="I93">
        <v>306.89030000000002</v>
      </c>
      <c r="J93">
        <v>331.5283</v>
      </c>
    </row>
    <row r="95" spans="1:10" x14ac:dyDescent="0.4">
      <c r="A95" t="s">
        <v>10</v>
      </c>
      <c r="B95" t="s">
        <v>3</v>
      </c>
      <c r="C95" t="s">
        <v>6</v>
      </c>
      <c r="D95" t="s">
        <v>36</v>
      </c>
      <c r="E95">
        <v>1000</v>
      </c>
      <c r="F95" t="s">
        <v>35</v>
      </c>
    </row>
    <row r="97" spans="1:3" x14ac:dyDescent="0.4">
      <c r="A97" t="s">
        <v>22</v>
      </c>
      <c r="B97" t="s">
        <v>34</v>
      </c>
      <c r="C97" t="s">
        <v>33</v>
      </c>
    </row>
    <row r="98" spans="1:3" x14ac:dyDescent="0.4">
      <c r="A98">
        <v>2021</v>
      </c>
      <c r="B98">
        <v>2.7357</v>
      </c>
      <c r="C98">
        <v>0.62749999999999995</v>
      </c>
    </row>
    <row r="99" spans="1:3" x14ac:dyDescent="0.4">
      <c r="A99">
        <v>2022</v>
      </c>
      <c r="B99">
        <v>4.0549999999999997</v>
      </c>
      <c r="C99">
        <v>0.86280000000000001</v>
      </c>
    </row>
    <row r="100" spans="1:3" x14ac:dyDescent="0.4">
      <c r="A100">
        <v>2023</v>
      </c>
      <c r="B100">
        <v>5.6536</v>
      </c>
      <c r="C100">
        <v>1.4241999999999999</v>
      </c>
    </row>
    <row r="101" spans="1:3" x14ac:dyDescent="0.4">
      <c r="A101">
        <v>2024</v>
      </c>
      <c r="B101">
        <v>5.8757999999999999</v>
      </c>
      <c r="C101">
        <v>1.7339</v>
      </c>
    </row>
    <row r="102" spans="1:3" x14ac:dyDescent="0.4">
      <c r="A102">
        <v>2025</v>
      </c>
      <c r="B102">
        <v>5.2290000000000001</v>
      </c>
      <c r="C102">
        <v>1.9088000000000001</v>
      </c>
    </row>
    <row r="103" spans="1:3" x14ac:dyDescent="0.4">
      <c r="A103">
        <v>2026</v>
      </c>
      <c r="B103">
        <v>4.2984</v>
      </c>
      <c r="C103">
        <v>1.9792000000000001</v>
      </c>
    </row>
    <row r="104" spans="1:3" x14ac:dyDescent="0.4">
      <c r="A104">
        <v>2027</v>
      </c>
      <c r="B104">
        <v>3.8963999999999999</v>
      </c>
      <c r="C104">
        <v>2.0062000000000002</v>
      </c>
    </row>
    <row r="105" spans="1:3" x14ac:dyDescent="0.4">
      <c r="A105">
        <v>2028</v>
      </c>
      <c r="B105">
        <v>3.9569999999999999</v>
      </c>
      <c r="C105">
        <v>2.0510999999999999</v>
      </c>
    </row>
    <row r="106" spans="1:3" x14ac:dyDescent="0.4">
      <c r="A106">
        <v>2029</v>
      </c>
      <c r="B106">
        <v>4.1094999999999997</v>
      </c>
      <c r="C106">
        <v>2.0840000000000001</v>
      </c>
    </row>
    <row r="107" spans="1:3" x14ac:dyDescent="0.4">
      <c r="A107">
        <v>2030</v>
      </c>
      <c r="B107">
        <v>4.2290000000000001</v>
      </c>
      <c r="C107">
        <v>2.1053999999999999</v>
      </c>
    </row>
    <row r="108" spans="1:3" x14ac:dyDescent="0.4">
      <c r="A108">
        <v>2031</v>
      </c>
      <c r="B108">
        <v>4.3232999999999997</v>
      </c>
      <c r="C108">
        <v>2.1212</v>
      </c>
    </row>
    <row r="109" spans="1:3" x14ac:dyDescent="0.4">
      <c r="A109">
        <v>2032</v>
      </c>
      <c r="B109">
        <v>4.3966000000000003</v>
      </c>
      <c r="C109">
        <v>2.1278000000000001</v>
      </c>
    </row>
    <row r="110" spans="1:3" x14ac:dyDescent="0.4">
      <c r="A110">
        <v>2033</v>
      </c>
      <c r="B110">
        <v>4.4574999999999996</v>
      </c>
      <c r="C110">
        <v>2.1431</v>
      </c>
    </row>
    <row r="111" spans="1:3" x14ac:dyDescent="0.4">
      <c r="A111">
        <v>2034</v>
      </c>
      <c r="B111">
        <v>4.5045999999999999</v>
      </c>
      <c r="C111">
        <v>2.1539999999999999</v>
      </c>
    </row>
    <row r="113" spans="1:20" x14ac:dyDescent="0.4">
      <c r="A113" t="s">
        <v>10</v>
      </c>
      <c r="B113" t="s">
        <v>3</v>
      </c>
      <c r="C113" t="s">
        <v>6</v>
      </c>
      <c r="D113" t="s">
        <v>32</v>
      </c>
    </row>
    <row r="115" spans="1:20" x14ac:dyDescent="0.4">
      <c r="A115" t="s">
        <v>22</v>
      </c>
      <c r="B115" s="2">
        <v>0.01</v>
      </c>
      <c r="C115" s="2">
        <v>0.05</v>
      </c>
      <c r="D115" s="2">
        <v>0.1</v>
      </c>
      <c r="E115" s="2">
        <v>0.25</v>
      </c>
      <c r="F115" s="2">
        <v>0.5</v>
      </c>
      <c r="G115" s="2">
        <v>0.75</v>
      </c>
      <c r="H115" s="2">
        <v>0.9</v>
      </c>
      <c r="I115" s="2">
        <v>0.95</v>
      </c>
      <c r="J115" s="2">
        <v>0.99</v>
      </c>
      <c r="L115" s="2">
        <v>0.01</v>
      </c>
      <c r="M115" s="2">
        <v>0.05</v>
      </c>
      <c r="N115" s="2">
        <v>0.1</v>
      </c>
      <c r="O115" s="2">
        <v>0.25</v>
      </c>
      <c r="P115" s="2">
        <v>0.5</v>
      </c>
      <c r="Q115" s="2">
        <v>0.75</v>
      </c>
      <c r="R115" s="2">
        <v>0.9</v>
      </c>
      <c r="S115" s="2">
        <v>0.95</v>
      </c>
      <c r="T115" s="2">
        <v>0.99</v>
      </c>
    </row>
    <row r="116" spans="1:20" x14ac:dyDescent="0.4">
      <c r="A116">
        <v>2021</v>
      </c>
      <c r="B116">
        <v>1.6041000000000001</v>
      </c>
      <c r="C116">
        <v>1.9774</v>
      </c>
      <c r="D116">
        <v>2.1164999999999998</v>
      </c>
      <c r="E116">
        <v>2.3317999999999999</v>
      </c>
      <c r="F116">
        <v>2.6396999999999999</v>
      </c>
      <c r="G116">
        <v>3.0213999999999999</v>
      </c>
      <c r="H116">
        <v>3.4207999999999998</v>
      </c>
      <c r="I116">
        <v>3.726</v>
      </c>
      <c r="J116">
        <v>5.3898000000000001</v>
      </c>
      <c r="L116">
        <f>B116*1000</f>
        <v>1604.1000000000001</v>
      </c>
      <c r="M116">
        <f t="shared" ref="M116:T129" si="0">C116*1000</f>
        <v>1977.4</v>
      </c>
      <c r="N116">
        <f t="shared" si="0"/>
        <v>2116.5</v>
      </c>
      <c r="O116">
        <f t="shared" si="0"/>
        <v>2331.7999999999997</v>
      </c>
      <c r="P116">
        <f t="shared" si="0"/>
        <v>2639.7</v>
      </c>
      <c r="Q116">
        <f t="shared" si="0"/>
        <v>3021.3999999999996</v>
      </c>
      <c r="R116">
        <f t="shared" si="0"/>
        <v>3420.7999999999997</v>
      </c>
      <c r="S116">
        <f t="shared" si="0"/>
        <v>3726</v>
      </c>
      <c r="T116">
        <f t="shared" si="0"/>
        <v>5389.8</v>
      </c>
    </row>
    <row r="117" spans="1:20" x14ac:dyDescent="0.4">
      <c r="A117">
        <v>2022</v>
      </c>
      <c r="B117">
        <v>2.3115999999999999</v>
      </c>
      <c r="C117">
        <v>2.8064</v>
      </c>
      <c r="D117">
        <v>3.0333999999999999</v>
      </c>
      <c r="E117">
        <v>3.4771000000000001</v>
      </c>
      <c r="F117">
        <v>3.9752999999999998</v>
      </c>
      <c r="G117">
        <v>4.5164</v>
      </c>
      <c r="H117">
        <v>5.1935000000000002</v>
      </c>
      <c r="I117">
        <v>5.6292999999999997</v>
      </c>
      <c r="J117">
        <v>6.6085000000000003</v>
      </c>
      <c r="L117">
        <f t="shared" ref="L117:L129" si="1">B117*1000</f>
        <v>2311.6</v>
      </c>
      <c r="M117">
        <f t="shared" si="0"/>
        <v>2806.4</v>
      </c>
      <c r="N117">
        <f t="shared" si="0"/>
        <v>3033.4</v>
      </c>
      <c r="O117">
        <f t="shared" si="0"/>
        <v>3477.1</v>
      </c>
      <c r="P117">
        <f t="shared" si="0"/>
        <v>3975.2999999999997</v>
      </c>
      <c r="Q117">
        <f t="shared" si="0"/>
        <v>4516.3999999999996</v>
      </c>
      <c r="R117">
        <f t="shared" si="0"/>
        <v>5193.5</v>
      </c>
      <c r="S117">
        <f t="shared" si="0"/>
        <v>5629.3</v>
      </c>
      <c r="T117">
        <f t="shared" si="0"/>
        <v>6608.5</v>
      </c>
    </row>
    <row r="118" spans="1:20" x14ac:dyDescent="0.4">
      <c r="A118">
        <v>2023</v>
      </c>
      <c r="B118">
        <v>3.0304000000000002</v>
      </c>
      <c r="C118">
        <v>3.5836000000000001</v>
      </c>
      <c r="D118">
        <v>3.9346000000000001</v>
      </c>
      <c r="E118">
        <v>4.6185999999999998</v>
      </c>
      <c r="F118">
        <v>5.5263</v>
      </c>
      <c r="G118">
        <v>6.4863</v>
      </c>
      <c r="H118">
        <v>7.5841000000000003</v>
      </c>
      <c r="I118">
        <v>8.2996999999999996</v>
      </c>
      <c r="J118">
        <v>9.5646000000000004</v>
      </c>
      <c r="L118">
        <f t="shared" si="1"/>
        <v>3030.4</v>
      </c>
      <c r="M118">
        <f t="shared" si="0"/>
        <v>3583.6</v>
      </c>
      <c r="N118">
        <f t="shared" si="0"/>
        <v>3934.6</v>
      </c>
      <c r="O118">
        <f t="shared" si="0"/>
        <v>4618.5999999999995</v>
      </c>
      <c r="P118">
        <f t="shared" si="0"/>
        <v>5526.3</v>
      </c>
      <c r="Q118">
        <f t="shared" si="0"/>
        <v>6486.3</v>
      </c>
      <c r="R118">
        <f t="shared" si="0"/>
        <v>7584.1</v>
      </c>
      <c r="S118">
        <f t="shared" si="0"/>
        <v>8299.6999999999989</v>
      </c>
      <c r="T118">
        <f t="shared" si="0"/>
        <v>9564.6</v>
      </c>
    </row>
    <row r="119" spans="1:20" x14ac:dyDescent="0.4">
      <c r="A119">
        <v>2024</v>
      </c>
      <c r="B119">
        <v>2.6271</v>
      </c>
      <c r="C119">
        <v>3.3302</v>
      </c>
      <c r="D119">
        <v>3.7818999999999998</v>
      </c>
      <c r="E119">
        <v>4.6333000000000002</v>
      </c>
      <c r="F119">
        <v>5.7221000000000002</v>
      </c>
      <c r="G119">
        <v>6.9484000000000004</v>
      </c>
      <c r="H119">
        <v>8.1402999999999999</v>
      </c>
      <c r="I119">
        <v>8.9174000000000007</v>
      </c>
      <c r="J119">
        <v>10.544</v>
      </c>
      <c r="L119">
        <f t="shared" si="1"/>
        <v>2627.1</v>
      </c>
      <c r="M119">
        <f t="shared" si="0"/>
        <v>3330.2000000000003</v>
      </c>
      <c r="N119">
        <f t="shared" si="0"/>
        <v>3781.8999999999996</v>
      </c>
      <c r="O119">
        <f t="shared" si="0"/>
        <v>4633.3</v>
      </c>
      <c r="P119">
        <f t="shared" si="0"/>
        <v>5722.1</v>
      </c>
      <c r="Q119">
        <f t="shared" si="0"/>
        <v>6948.4000000000005</v>
      </c>
      <c r="R119">
        <f t="shared" si="0"/>
        <v>8140.3</v>
      </c>
      <c r="S119">
        <f t="shared" si="0"/>
        <v>8917.4000000000015</v>
      </c>
      <c r="T119">
        <f t="shared" si="0"/>
        <v>10544</v>
      </c>
    </row>
    <row r="120" spans="1:20" x14ac:dyDescent="0.4">
      <c r="A120">
        <v>2025</v>
      </c>
      <c r="B120">
        <v>1.6328</v>
      </c>
      <c r="C120">
        <v>2.4354</v>
      </c>
      <c r="D120">
        <v>2.9333</v>
      </c>
      <c r="E120">
        <v>3.8715999999999999</v>
      </c>
      <c r="F120">
        <v>5.0739999999999998</v>
      </c>
      <c r="G120">
        <v>6.3975</v>
      </c>
      <c r="H120">
        <v>7.6790000000000003</v>
      </c>
      <c r="I120">
        <v>8.5162999999999993</v>
      </c>
      <c r="J120">
        <v>10.395300000000001</v>
      </c>
      <c r="L120">
        <f t="shared" si="1"/>
        <v>1632.8</v>
      </c>
      <c r="M120">
        <f t="shared" si="0"/>
        <v>2435.4</v>
      </c>
      <c r="N120">
        <f t="shared" si="0"/>
        <v>2933.3</v>
      </c>
      <c r="O120">
        <f t="shared" si="0"/>
        <v>3871.6</v>
      </c>
      <c r="P120">
        <f t="shared" si="0"/>
        <v>5074</v>
      </c>
      <c r="Q120">
        <f t="shared" si="0"/>
        <v>6397.5</v>
      </c>
      <c r="R120">
        <f t="shared" si="0"/>
        <v>7679</v>
      </c>
      <c r="S120">
        <f t="shared" si="0"/>
        <v>8516.2999999999993</v>
      </c>
      <c r="T120">
        <f t="shared" si="0"/>
        <v>10395.300000000001</v>
      </c>
    </row>
    <row r="121" spans="1:20" x14ac:dyDescent="0.4">
      <c r="A121">
        <v>2026</v>
      </c>
      <c r="B121">
        <v>0.70299999999999996</v>
      </c>
      <c r="C121">
        <v>1.4483999999999999</v>
      </c>
      <c r="D121">
        <v>1.9390000000000001</v>
      </c>
      <c r="E121">
        <v>2.8902000000000001</v>
      </c>
      <c r="F121">
        <v>4.1208</v>
      </c>
      <c r="G121">
        <v>5.4701000000000004</v>
      </c>
      <c r="H121">
        <v>6.8162000000000003</v>
      </c>
      <c r="I121">
        <v>7.6920999999999999</v>
      </c>
      <c r="J121">
        <v>9.798</v>
      </c>
      <c r="L121">
        <f t="shared" si="1"/>
        <v>703</v>
      </c>
      <c r="M121">
        <f t="shared" si="0"/>
        <v>1448.3999999999999</v>
      </c>
      <c r="N121">
        <f t="shared" si="0"/>
        <v>1939</v>
      </c>
      <c r="O121">
        <f t="shared" si="0"/>
        <v>2890.2000000000003</v>
      </c>
      <c r="P121">
        <f t="shared" si="0"/>
        <v>4120.8</v>
      </c>
      <c r="Q121">
        <f t="shared" si="0"/>
        <v>5470.1</v>
      </c>
      <c r="R121">
        <f t="shared" si="0"/>
        <v>6816.2</v>
      </c>
      <c r="S121">
        <f t="shared" si="0"/>
        <v>7692.1</v>
      </c>
      <c r="T121">
        <f t="shared" si="0"/>
        <v>9798</v>
      </c>
    </row>
    <row r="122" spans="1:20" x14ac:dyDescent="0.4">
      <c r="A122">
        <v>2027</v>
      </c>
      <c r="B122">
        <v>0.40200000000000002</v>
      </c>
      <c r="C122">
        <v>1.0678000000000001</v>
      </c>
      <c r="D122">
        <v>1.5242</v>
      </c>
      <c r="E122">
        <v>2.4740000000000002</v>
      </c>
      <c r="F122">
        <v>3.6894999999999998</v>
      </c>
      <c r="G122">
        <v>5.0648</v>
      </c>
      <c r="H122">
        <v>6.4490999999999996</v>
      </c>
      <c r="I122">
        <v>7.3593000000000002</v>
      </c>
      <c r="J122">
        <v>9.5863999999999994</v>
      </c>
      <c r="L122">
        <f t="shared" si="1"/>
        <v>402</v>
      </c>
      <c r="M122">
        <f t="shared" si="0"/>
        <v>1067.8000000000002</v>
      </c>
      <c r="N122">
        <f t="shared" si="0"/>
        <v>1524.2</v>
      </c>
      <c r="O122">
        <f t="shared" si="0"/>
        <v>2474</v>
      </c>
      <c r="P122">
        <f t="shared" si="0"/>
        <v>3689.5</v>
      </c>
      <c r="Q122">
        <f t="shared" si="0"/>
        <v>5064.8</v>
      </c>
      <c r="R122">
        <f t="shared" si="0"/>
        <v>6449.0999999999995</v>
      </c>
      <c r="S122">
        <f t="shared" si="0"/>
        <v>7359.3</v>
      </c>
      <c r="T122">
        <f t="shared" si="0"/>
        <v>9586.4</v>
      </c>
    </row>
    <row r="123" spans="1:20" x14ac:dyDescent="0.4">
      <c r="A123">
        <v>2028</v>
      </c>
      <c r="B123">
        <v>0.4012</v>
      </c>
      <c r="C123">
        <v>1.0742</v>
      </c>
      <c r="D123">
        <v>1.552</v>
      </c>
      <c r="E123">
        <v>2.5070999999999999</v>
      </c>
      <c r="F123">
        <v>3.7425999999999999</v>
      </c>
      <c r="G123">
        <v>5.1391999999999998</v>
      </c>
      <c r="H123">
        <v>6.5557999999999996</v>
      </c>
      <c r="I123">
        <v>7.4927000000000001</v>
      </c>
      <c r="J123">
        <v>9.7731999999999992</v>
      </c>
      <c r="L123">
        <f t="shared" si="1"/>
        <v>401.2</v>
      </c>
      <c r="M123">
        <f t="shared" si="0"/>
        <v>1074.2</v>
      </c>
      <c r="N123">
        <f t="shared" si="0"/>
        <v>1552</v>
      </c>
      <c r="O123">
        <f t="shared" si="0"/>
        <v>2507.1</v>
      </c>
      <c r="P123">
        <f t="shared" si="0"/>
        <v>3742.6</v>
      </c>
      <c r="Q123">
        <f t="shared" si="0"/>
        <v>5139.2</v>
      </c>
      <c r="R123">
        <f t="shared" si="0"/>
        <v>6555.7999999999993</v>
      </c>
      <c r="S123">
        <f t="shared" si="0"/>
        <v>7492.7</v>
      </c>
      <c r="T123">
        <f t="shared" si="0"/>
        <v>9773.1999999999989</v>
      </c>
    </row>
    <row r="124" spans="1:20" x14ac:dyDescent="0.4">
      <c r="A124">
        <v>2029</v>
      </c>
      <c r="B124">
        <v>0.44579999999999997</v>
      </c>
      <c r="C124">
        <v>1.167</v>
      </c>
      <c r="D124">
        <v>1.663</v>
      </c>
      <c r="E124">
        <v>2.6288</v>
      </c>
      <c r="F124">
        <v>3.8938000000000001</v>
      </c>
      <c r="G124">
        <v>5.3234000000000004</v>
      </c>
      <c r="H124">
        <v>6.7591999999999999</v>
      </c>
      <c r="I124">
        <v>7.7077999999999998</v>
      </c>
      <c r="J124">
        <v>10.0006</v>
      </c>
      <c r="L124">
        <f t="shared" si="1"/>
        <v>445.79999999999995</v>
      </c>
      <c r="M124">
        <f t="shared" si="0"/>
        <v>1167</v>
      </c>
      <c r="N124">
        <f t="shared" si="0"/>
        <v>1663</v>
      </c>
      <c r="O124">
        <f t="shared" si="0"/>
        <v>2628.8</v>
      </c>
      <c r="P124">
        <f t="shared" si="0"/>
        <v>3893.8</v>
      </c>
      <c r="Q124">
        <f t="shared" si="0"/>
        <v>5323.4000000000005</v>
      </c>
      <c r="R124">
        <f t="shared" si="0"/>
        <v>6759.2</v>
      </c>
      <c r="S124">
        <f t="shared" si="0"/>
        <v>7707.8</v>
      </c>
      <c r="T124">
        <f t="shared" si="0"/>
        <v>10000.6</v>
      </c>
    </row>
    <row r="125" spans="1:20" x14ac:dyDescent="0.4">
      <c r="A125">
        <v>2030</v>
      </c>
      <c r="B125">
        <v>0.4577</v>
      </c>
      <c r="C125">
        <v>1.2343</v>
      </c>
      <c r="D125">
        <v>1.7487999999999999</v>
      </c>
      <c r="E125">
        <v>2.7425999999999999</v>
      </c>
      <c r="F125">
        <v>4.0209999999999999</v>
      </c>
      <c r="G125">
        <v>5.4565999999999999</v>
      </c>
      <c r="H125">
        <v>6.9053000000000004</v>
      </c>
      <c r="I125">
        <v>7.8783000000000003</v>
      </c>
      <c r="J125">
        <v>10.1492</v>
      </c>
      <c r="L125">
        <f t="shared" si="1"/>
        <v>457.7</v>
      </c>
      <c r="M125">
        <f t="shared" si="0"/>
        <v>1234.3</v>
      </c>
      <c r="N125">
        <f t="shared" si="0"/>
        <v>1748.8</v>
      </c>
      <c r="O125">
        <f t="shared" si="0"/>
        <v>2742.6</v>
      </c>
      <c r="P125">
        <f t="shared" si="0"/>
        <v>4021</v>
      </c>
      <c r="Q125">
        <f t="shared" si="0"/>
        <v>5456.5999999999995</v>
      </c>
      <c r="R125">
        <f t="shared" si="0"/>
        <v>6905.3</v>
      </c>
      <c r="S125">
        <f t="shared" si="0"/>
        <v>7878.3</v>
      </c>
      <c r="T125">
        <f t="shared" si="0"/>
        <v>10149.200000000001</v>
      </c>
    </row>
    <row r="126" spans="1:20" x14ac:dyDescent="0.4">
      <c r="A126">
        <v>2031</v>
      </c>
      <c r="B126">
        <v>0.4859</v>
      </c>
      <c r="C126">
        <v>1.2923</v>
      </c>
      <c r="D126">
        <v>1.8198000000000001</v>
      </c>
      <c r="E126">
        <v>2.8294999999999999</v>
      </c>
      <c r="F126">
        <v>4.1077000000000004</v>
      </c>
      <c r="G126">
        <v>5.5693999999999999</v>
      </c>
      <c r="H126">
        <v>7.0145999999999997</v>
      </c>
      <c r="I126">
        <v>7.9747000000000003</v>
      </c>
      <c r="J126">
        <v>10.296900000000001</v>
      </c>
      <c r="L126">
        <f t="shared" si="1"/>
        <v>485.9</v>
      </c>
      <c r="M126">
        <f t="shared" si="0"/>
        <v>1292.3</v>
      </c>
      <c r="N126">
        <f t="shared" si="0"/>
        <v>1819.8000000000002</v>
      </c>
      <c r="O126">
        <f t="shared" si="0"/>
        <v>2829.5</v>
      </c>
      <c r="P126">
        <f t="shared" si="0"/>
        <v>4107.7000000000007</v>
      </c>
      <c r="Q126">
        <f t="shared" si="0"/>
        <v>5569.4</v>
      </c>
      <c r="R126">
        <f t="shared" si="0"/>
        <v>7014.5999999999995</v>
      </c>
      <c r="S126">
        <f t="shared" si="0"/>
        <v>7974.7000000000007</v>
      </c>
      <c r="T126">
        <f t="shared" si="0"/>
        <v>10296.900000000001</v>
      </c>
    </row>
    <row r="127" spans="1:20" x14ac:dyDescent="0.4">
      <c r="A127">
        <v>2032</v>
      </c>
      <c r="B127">
        <v>0.51259999999999994</v>
      </c>
      <c r="C127">
        <v>1.3281000000000001</v>
      </c>
      <c r="D127">
        <v>1.8734</v>
      </c>
      <c r="E127">
        <v>2.8891</v>
      </c>
      <c r="F127">
        <v>4.1952999999999996</v>
      </c>
      <c r="G127">
        <v>5.6510999999999996</v>
      </c>
      <c r="H127">
        <v>7.1014999999999997</v>
      </c>
      <c r="I127">
        <v>8.0426000000000002</v>
      </c>
      <c r="J127">
        <v>10.379799999999999</v>
      </c>
      <c r="L127">
        <f t="shared" si="1"/>
        <v>512.59999999999991</v>
      </c>
      <c r="M127">
        <f t="shared" si="0"/>
        <v>1328.1000000000001</v>
      </c>
      <c r="N127">
        <f t="shared" si="0"/>
        <v>1873.3999999999999</v>
      </c>
      <c r="O127">
        <f t="shared" si="0"/>
        <v>2889.1</v>
      </c>
      <c r="P127">
        <f t="shared" si="0"/>
        <v>4195.2999999999993</v>
      </c>
      <c r="Q127">
        <f t="shared" si="0"/>
        <v>5651.0999999999995</v>
      </c>
      <c r="R127">
        <f t="shared" si="0"/>
        <v>7101.5</v>
      </c>
      <c r="S127">
        <f t="shared" si="0"/>
        <v>8042.6</v>
      </c>
      <c r="T127">
        <f t="shared" si="0"/>
        <v>10379.799999999999</v>
      </c>
    </row>
    <row r="128" spans="1:20" x14ac:dyDescent="0.4">
      <c r="A128">
        <v>2033</v>
      </c>
      <c r="B128">
        <v>0.53590000000000004</v>
      </c>
      <c r="C128">
        <v>1.3735999999999999</v>
      </c>
      <c r="D128">
        <v>1.9119999999999999</v>
      </c>
      <c r="E128">
        <v>2.95</v>
      </c>
      <c r="F128">
        <v>4.2575000000000003</v>
      </c>
      <c r="G128">
        <v>5.7187000000000001</v>
      </c>
      <c r="H128">
        <v>7.1849999999999996</v>
      </c>
      <c r="I128">
        <v>8.1397999999999993</v>
      </c>
      <c r="J128">
        <v>10.438499999999999</v>
      </c>
      <c r="L128">
        <f t="shared" si="1"/>
        <v>535.90000000000009</v>
      </c>
      <c r="M128">
        <f t="shared" si="0"/>
        <v>1373.6</v>
      </c>
      <c r="N128">
        <f t="shared" si="0"/>
        <v>1912</v>
      </c>
      <c r="O128">
        <f t="shared" si="0"/>
        <v>2950</v>
      </c>
      <c r="P128">
        <f t="shared" si="0"/>
        <v>4257.5</v>
      </c>
      <c r="Q128">
        <f t="shared" si="0"/>
        <v>5718.7</v>
      </c>
      <c r="R128">
        <f t="shared" si="0"/>
        <v>7185</v>
      </c>
      <c r="S128">
        <f t="shared" si="0"/>
        <v>8139.7999999999993</v>
      </c>
      <c r="T128">
        <f t="shared" si="0"/>
        <v>10438.5</v>
      </c>
    </row>
    <row r="129" spans="1:20" x14ac:dyDescent="0.4">
      <c r="A129">
        <v>2034</v>
      </c>
      <c r="B129">
        <v>0.55359999999999998</v>
      </c>
      <c r="C129">
        <v>1.4059999999999999</v>
      </c>
      <c r="D129">
        <v>1.9460999999999999</v>
      </c>
      <c r="E129">
        <v>2.9849000000000001</v>
      </c>
      <c r="F129">
        <v>4.3060999999999998</v>
      </c>
      <c r="G129">
        <v>5.7794999999999996</v>
      </c>
      <c r="H129">
        <v>7.2359999999999998</v>
      </c>
      <c r="I129">
        <v>8.1873000000000005</v>
      </c>
      <c r="J129">
        <v>10.516400000000001</v>
      </c>
      <c r="L129">
        <f t="shared" si="1"/>
        <v>553.6</v>
      </c>
      <c r="M129">
        <f t="shared" si="0"/>
        <v>1406</v>
      </c>
      <c r="N129">
        <f t="shared" si="0"/>
        <v>1946.1</v>
      </c>
      <c r="O129">
        <f t="shared" si="0"/>
        <v>2984.9</v>
      </c>
      <c r="P129">
        <f t="shared" si="0"/>
        <v>4306.0999999999995</v>
      </c>
      <c r="Q129">
        <f t="shared" si="0"/>
        <v>5779.5</v>
      </c>
      <c r="R129">
        <f t="shared" si="0"/>
        <v>7236</v>
      </c>
      <c r="S129">
        <f t="shared" si="0"/>
        <v>8187.3</v>
      </c>
      <c r="T129">
        <f t="shared" si="0"/>
        <v>10516.400000000001</v>
      </c>
    </row>
    <row r="131" spans="1:20" x14ac:dyDescent="0.4">
      <c r="A131" s="1">
        <v>45658</v>
      </c>
      <c r="B131" t="s">
        <v>3</v>
      </c>
      <c r="C131" t="s">
        <v>6</v>
      </c>
      <c r="D131" t="s">
        <v>36</v>
      </c>
      <c r="E131">
        <v>1000</v>
      </c>
      <c r="F131" t="s">
        <v>35</v>
      </c>
    </row>
    <row r="133" spans="1:20" x14ac:dyDescent="0.4">
      <c r="A133" t="s">
        <v>22</v>
      </c>
      <c r="B133" t="s">
        <v>34</v>
      </c>
      <c r="C133" t="s">
        <v>33</v>
      </c>
    </row>
    <row r="134" spans="1:20" x14ac:dyDescent="0.4">
      <c r="A134">
        <v>2021</v>
      </c>
      <c r="B134">
        <v>9.2942</v>
      </c>
      <c r="C134">
        <v>1.5952</v>
      </c>
    </row>
    <row r="135" spans="1:20" x14ac:dyDescent="0.4">
      <c r="A135">
        <v>2022</v>
      </c>
      <c r="B135">
        <v>10.623200000000001</v>
      </c>
      <c r="C135">
        <v>2.0482999999999998</v>
      </c>
    </row>
    <row r="136" spans="1:20" x14ac:dyDescent="0.4">
      <c r="A136">
        <v>2023</v>
      </c>
      <c r="B136">
        <v>11.5527</v>
      </c>
      <c r="C136">
        <v>2.4226000000000001</v>
      </c>
    </row>
    <row r="137" spans="1:20" x14ac:dyDescent="0.4">
      <c r="A137">
        <v>2024</v>
      </c>
      <c r="B137">
        <v>11.9923</v>
      </c>
      <c r="C137">
        <v>2.6901999999999999</v>
      </c>
    </row>
    <row r="138" spans="1:20" x14ac:dyDescent="0.4">
      <c r="A138">
        <v>2025</v>
      </c>
      <c r="B138">
        <v>11.787100000000001</v>
      </c>
      <c r="C138">
        <v>2.863</v>
      </c>
    </row>
    <row r="139" spans="1:20" x14ac:dyDescent="0.4">
      <c r="A139">
        <v>2026</v>
      </c>
      <c r="B139">
        <v>10.667400000000001</v>
      </c>
      <c r="C139">
        <v>2.9744000000000002</v>
      </c>
    </row>
    <row r="140" spans="1:20" x14ac:dyDescent="0.4">
      <c r="A140">
        <v>2027</v>
      </c>
      <c r="B140">
        <v>9.7410999999999994</v>
      </c>
      <c r="C140">
        <v>3.0276999999999998</v>
      </c>
    </row>
    <row r="141" spans="1:20" x14ac:dyDescent="0.4">
      <c r="A141">
        <v>2028</v>
      </c>
      <c r="B141">
        <v>9.6940000000000008</v>
      </c>
      <c r="C141">
        <v>3.0541999999999998</v>
      </c>
    </row>
    <row r="142" spans="1:20" x14ac:dyDescent="0.4">
      <c r="A142">
        <v>2029</v>
      </c>
      <c r="B142">
        <v>9.8653999999999993</v>
      </c>
      <c r="C142">
        <v>3.0859000000000001</v>
      </c>
    </row>
    <row r="143" spans="1:20" x14ac:dyDescent="0.4">
      <c r="A143">
        <v>2030</v>
      </c>
      <c r="B143">
        <v>10.01</v>
      </c>
      <c r="C143">
        <v>3.1076999999999999</v>
      </c>
    </row>
    <row r="144" spans="1:20" x14ac:dyDescent="0.4">
      <c r="A144">
        <v>2031</v>
      </c>
      <c r="B144">
        <v>10.1289</v>
      </c>
      <c r="C144">
        <v>3.1251000000000002</v>
      </c>
    </row>
    <row r="145" spans="1:10" x14ac:dyDescent="0.4">
      <c r="A145">
        <v>2032</v>
      </c>
      <c r="B145">
        <v>10.2257</v>
      </c>
      <c r="C145">
        <v>3.1419999999999999</v>
      </c>
    </row>
    <row r="146" spans="1:10" x14ac:dyDescent="0.4">
      <c r="A146">
        <v>2033</v>
      </c>
      <c r="B146">
        <v>10.295299999999999</v>
      </c>
      <c r="C146">
        <v>3.1566999999999998</v>
      </c>
    </row>
    <row r="147" spans="1:10" x14ac:dyDescent="0.4">
      <c r="A147">
        <v>2034</v>
      </c>
      <c r="B147">
        <v>10.349500000000001</v>
      </c>
      <c r="C147">
        <v>3.1669</v>
      </c>
    </row>
    <row r="149" spans="1:10" x14ac:dyDescent="0.4">
      <c r="A149" s="1">
        <v>45658</v>
      </c>
      <c r="B149" t="s">
        <v>3</v>
      </c>
      <c r="C149" t="s">
        <v>6</v>
      </c>
      <c r="D149" t="s">
        <v>32</v>
      </c>
    </row>
    <row r="151" spans="1:10" x14ac:dyDescent="0.4">
      <c r="A151" t="s">
        <v>22</v>
      </c>
      <c r="B151" s="2">
        <v>0.01</v>
      </c>
      <c r="C151" s="2">
        <v>0.05</v>
      </c>
      <c r="D151" s="2">
        <v>0.1</v>
      </c>
      <c r="E151" s="2">
        <v>0.25</v>
      </c>
      <c r="F151" s="2">
        <v>0.5</v>
      </c>
      <c r="G151" s="2">
        <v>0.75</v>
      </c>
      <c r="H151" s="2">
        <v>0.9</v>
      </c>
      <c r="I151" s="2">
        <v>0.95</v>
      </c>
      <c r="J151" s="2">
        <v>0.99</v>
      </c>
    </row>
    <row r="152" spans="1:10" x14ac:dyDescent="0.4">
      <c r="A152">
        <v>2021</v>
      </c>
      <c r="B152">
        <v>6.3209999999999997</v>
      </c>
      <c r="C152">
        <v>6.9539999999999997</v>
      </c>
      <c r="D152">
        <v>7.3727999999999998</v>
      </c>
      <c r="E152">
        <v>8.1599000000000004</v>
      </c>
      <c r="F152">
        <v>9.1678999999999995</v>
      </c>
      <c r="G152">
        <v>10.1332</v>
      </c>
      <c r="H152">
        <v>11.5464</v>
      </c>
      <c r="I152">
        <v>12.291600000000001</v>
      </c>
      <c r="J152">
        <v>13.714</v>
      </c>
    </row>
    <row r="153" spans="1:10" x14ac:dyDescent="0.4">
      <c r="A153">
        <v>2022</v>
      </c>
      <c r="B153">
        <v>6.7066999999999997</v>
      </c>
      <c r="C153">
        <v>7.5696000000000003</v>
      </c>
      <c r="D153">
        <v>8.1123999999999992</v>
      </c>
      <c r="E153">
        <v>9.1846999999999994</v>
      </c>
      <c r="F153">
        <v>10.444699999999999</v>
      </c>
      <c r="G153">
        <v>11.880800000000001</v>
      </c>
      <c r="H153">
        <v>13.297800000000001</v>
      </c>
      <c r="I153">
        <v>14.2491</v>
      </c>
      <c r="J153">
        <v>16.130199999999999</v>
      </c>
    </row>
    <row r="154" spans="1:10" x14ac:dyDescent="0.4">
      <c r="A154">
        <v>2023</v>
      </c>
      <c r="B154">
        <v>6.8583999999999996</v>
      </c>
      <c r="C154">
        <v>7.9363999999999999</v>
      </c>
      <c r="D154">
        <v>8.6089000000000002</v>
      </c>
      <c r="E154">
        <v>9.8454999999999995</v>
      </c>
      <c r="F154">
        <v>11.3751</v>
      </c>
      <c r="G154">
        <v>13.0342</v>
      </c>
      <c r="H154">
        <v>14.672599999999999</v>
      </c>
      <c r="I154">
        <v>15.7204</v>
      </c>
      <c r="J154">
        <v>18.016100000000002</v>
      </c>
    </row>
    <row r="155" spans="1:10" x14ac:dyDescent="0.4">
      <c r="A155">
        <v>2024</v>
      </c>
      <c r="B155">
        <v>6.7560000000000002</v>
      </c>
      <c r="C155">
        <v>7.9718999999999998</v>
      </c>
      <c r="D155">
        <v>8.7303999999999995</v>
      </c>
      <c r="E155">
        <v>10.104200000000001</v>
      </c>
      <c r="F155">
        <v>11.809799999999999</v>
      </c>
      <c r="G155">
        <v>13.6341</v>
      </c>
      <c r="H155">
        <v>15.408300000000001</v>
      </c>
      <c r="I155">
        <v>16.561199999999999</v>
      </c>
      <c r="J155">
        <v>19.222200000000001</v>
      </c>
    </row>
    <row r="156" spans="1:10" x14ac:dyDescent="0.4">
      <c r="A156">
        <v>2025</v>
      </c>
      <c r="B156">
        <v>6.1734</v>
      </c>
      <c r="C156">
        <v>7.5206</v>
      </c>
      <c r="D156">
        <v>8.3306000000000004</v>
      </c>
      <c r="E156">
        <v>9.7910000000000004</v>
      </c>
      <c r="F156">
        <v>11.595499999999999</v>
      </c>
      <c r="G156">
        <v>13.520799999999999</v>
      </c>
      <c r="H156">
        <v>15.424099999999999</v>
      </c>
      <c r="I156">
        <v>16.651800000000001</v>
      </c>
      <c r="J156">
        <v>19.508700000000001</v>
      </c>
    </row>
    <row r="157" spans="1:10" x14ac:dyDescent="0.4">
      <c r="A157">
        <v>2026</v>
      </c>
      <c r="B157">
        <v>4.8499999999999996</v>
      </c>
      <c r="C157">
        <v>6.2522000000000002</v>
      </c>
      <c r="D157">
        <v>7.0826000000000002</v>
      </c>
      <c r="E157">
        <v>8.6176999999999992</v>
      </c>
      <c r="F157">
        <v>10.460699999999999</v>
      </c>
      <c r="G157">
        <v>12.440300000000001</v>
      </c>
      <c r="H157">
        <v>14.411899999999999</v>
      </c>
      <c r="I157">
        <v>15.690799999999999</v>
      </c>
      <c r="J157">
        <v>18.7667</v>
      </c>
    </row>
    <row r="158" spans="1:10" x14ac:dyDescent="0.4">
      <c r="A158">
        <v>2027</v>
      </c>
      <c r="B158">
        <v>3.8351999999999999</v>
      </c>
      <c r="C158">
        <v>5.26</v>
      </c>
      <c r="D158">
        <v>6.1289999999999996</v>
      </c>
      <c r="E158">
        <v>7.6460999999999997</v>
      </c>
      <c r="F158">
        <v>9.5264000000000006</v>
      </c>
      <c r="G158">
        <v>11.5425</v>
      </c>
      <c r="H158">
        <v>13.540699999999999</v>
      </c>
      <c r="I158">
        <v>14.8507</v>
      </c>
      <c r="J158">
        <v>18.0502</v>
      </c>
    </row>
    <row r="159" spans="1:10" x14ac:dyDescent="0.4">
      <c r="A159">
        <v>2028</v>
      </c>
      <c r="B159">
        <v>3.7378999999999998</v>
      </c>
      <c r="C159">
        <v>5.1928000000000001</v>
      </c>
      <c r="D159">
        <v>6.0364000000000004</v>
      </c>
      <c r="E159">
        <v>7.5852000000000004</v>
      </c>
      <c r="F159">
        <v>9.4751999999999992</v>
      </c>
      <c r="G159">
        <v>11.510400000000001</v>
      </c>
      <c r="H159">
        <v>13.5418</v>
      </c>
      <c r="I159">
        <v>14.8825</v>
      </c>
      <c r="J159">
        <v>18.044599999999999</v>
      </c>
    </row>
    <row r="160" spans="1:10" x14ac:dyDescent="0.4">
      <c r="A160">
        <v>2029</v>
      </c>
      <c r="B160">
        <v>3.7542</v>
      </c>
      <c r="C160">
        <v>5.2971000000000004</v>
      </c>
      <c r="D160">
        <v>6.1841999999999997</v>
      </c>
      <c r="E160">
        <v>7.7477</v>
      </c>
      <c r="F160">
        <v>9.6455000000000002</v>
      </c>
      <c r="G160">
        <v>11.702999999999999</v>
      </c>
      <c r="H160">
        <v>13.7539</v>
      </c>
      <c r="I160">
        <v>15.1182</v>
      </c>
      <c r="J160">
        <v>18.2332</v>
      </c>
    </row>
    <row r="161" spans="1:10" x14ac:dyDescent="0.4">
      <c r="A161">
        <v>2030</v>
      </c>
      <c r="B161">
        <v>3.8218000000000001</v>
      </c>
      <c r="C161">
        <v>5.4080000000000004</v>
      </c>
      <c r="D161">
        <v>6.3068999999999997</v>
      </c>
      <c r="E161">
        <v>7.8875999999999999</v>
      </c>
      <c r="F161">
        <v>9.7847000000000008</v>
      </c>
      <c r="G161">
        <v>11.8668</v>
      </c>
      <c r="H161">
        <v>13.9171</v>
      </c>
      <c r="I161">
        <v>15.281700000000001</v>
      </c>
      <c r="J161">
        <v>18.4831</v>
      </c>
    </row>
    <row r="162" spans="1:10" x14ac:dyDescent="0.4">
      <c r="A162">
        <v>2031</v>
      </c>
      <c r="B162">
        <v>3.8795000000000002</v>
      </c>
      <c r="C162">
        <v>5.4974999999999996</v>
      </c>
      <c r="D162">
        <v>6.3888999999999996</v>
      </c>
      <c r="E162">
        <v>7.9897999999999998</v>
      </c>
      <c r="F162">
        <v>9.92</v>
      </c>
      <c r="G162">
        <v>11.9953</v>
      </c>
      <c r="H162">
        <v>14.054</v>
      </c>
      <c r="I162">
        <v>15.413399999999999</v>
      </c>
      <c r="J162">
        <v>18.674800000000001</v>
      </c>
    </row>
    <row r="163" spans="1:10" x14ac:dyDescent="0.4">
      <c r="A163">
        <v>2032</v>
      </c>
      <c r="B163">
        <v>3.9527999999999999</v>
      </c>
      <c r="C163">
        <v>5.5602999999999998</v>
      </c>
      <c r="D163">
        <v>6.4664000000000001</v>
      </c>
      <c r="E163">
        <v>8.0835000000000008</v>
      </c>
      <c r="F163">
        <v>10.0154</v>
      </c>
      <c r="G163">
        <v>12.111800000000001</v>
      </c>
      <c r="H163">
        <v>14.1777</v>
      </c>
      <c r="I163">
        <v>15.5259</v>
      </c>
      <c r="J163">
        <v>18.755199999999999</v>
      </c>
    </row>
    <row r="164" spans="1:10" x14ac:dyDescent="0.4">
      <c r="A164">
        <v>2033</v>
      </c>
      <c r="B164">
        <v>3.9657</v>
      </c>
      <c r="C164">
        <v>5.6269999999999998</v>
      </c>
      <c r="D164">
        <v>6.5273000000000003</v>
      </c>
      <c r="E164">
        <v>8.1417999999999999</v>
      </c>
      <c r="F164">
        <v>10.0931</v>
      </c>
      <c r="G164">
        <v>12.1866</v>
      </c>
      <c r="H164">
        <v>14.248799999999999</v>
      </c>
      <c r="I164">
        <v>15.612500000000001</v>
      </c>
      <c r="J164">
        <v>18.829599999999999</v>
      </c>
    </row>
    <row r="165" spans="1:10" x14ac:dyDescent="0.4">
      <c r="A165">
        <v>2034</v>
      </c>
      <c r="B165">
        <v>3.9845000000000002</v>
      </c>
      <c r="C165">
        <v>5.6468999999999996</v>
      </c>
      <c r="D165">
        <v>6.5762999999999998</v>
      </c>
      <c r="E165">
        <v>8.1925000000000008</v>
      </c>
      <c r="F165">
        <v>10.141400000000001</v>
      </c>
      <c r="G165">
        <v>12.257199999999999</v>
      </c>
      <c r="H165">
        <v>14.316000000000001</v>
      </c>
      <c r="I165">
        <v>15.679399999999999</v>
      </c>
      <c r="J165">
        <v>18.989599999999999</v>
      </c>
    </row>
    <row r="167" spans="1:10" x14ac:dyDescent="0.4">
      <c r="A167" t="s">
        <v>9</v>
      </c>
      <c r="B167" t="s">
        <v>6</v>
      </c>
      <c r="C167" t="s">
        <v>36</v>
      </c>
      <c r="D167">
        <v>1000</v>
      </c>
      <c r="E167" t="s">
        <v>35</v>
      </c>
    </row>
    <row r="169" spans="1:10" x14ac:dyDescent="0.4">
      <c r="A169" t="s">
        <v>22</v>
      </c>
      <c r="B169" t="s">
        <v>34</v>
      </c>
      <c r="C169" t="s">
        <v>33</v>
      </c>
    </row>
    <row r="170" spans="1:10" x14ac:dyDescent="0.4">
      <c r="A170">
        <v>2021</v>
      </c>
      <c r="B170">
        <v>9.0599000000000007</v>
      </c>
      <c r="C170">
        <v>1.6991000000000001</v>
      </c>
    </row>
    <row r="171" spans="1:10" x14ac:dyDescent="0.4">
      <c r="A171">
        <v>2022</v>
      </c>
      <c r="B171">
        <v>10.1753</v>
      </c>
      <c r="C171">
        <v>2.1453000000000002</v>
      </c>
    </row>
    <row r="172" spans="1:10" x14ac:dyDescent="0.4">
      <c r="A172">
        <v>2023</v>
      </c>
      <c r="B172">
        <v>10.8299</v>
      </c>
      <c r="C172">
        <v>2.4839000000000002</v>
      </c>
    </row>
    <row r="173" spans="1:10" x14ac:dyDescent="0.4">
      <c r="A173">
        <v>2024</v>
      </c>
      <c r="B173">
        <v>10.914300000000001</v>
      </c>
      <c r="C173">
        <v>2.7201</v>
      </c>
    </row>
    <row r="174" spans="1:10" x14ac:dyDescent="0.4">
      <c r="A174">
        <v>2025</v>
      </c>
      <c r="B174">
        <v>10.160600000000001</v>
      </c>
      <c r="C174">
        <v>2.8847999999999998</v>
      </c>
    </row>
    <row r="175" spans="1:10" x14ac:dyDescent="0.4">
      <c r="A175">
        <v>2026</v>
      </c>
      <c r="B175">
        <v>9.1188000000000002</v>
      </c>
      <c r="C175">
        <v>2.9721000000000002</v>
      </c>
    </row>
    <row r="176" spans="1:10" x14ac:dyDescent="0.4">
      <c r="A176">
        <v>2027</v>
      </c>
      <c r="B176">
        <v>8.6881000000000004</v>
      </c>
      <c r="C176">
        <v>3.0045999999999999</v>
      </c>
    </row>
    <row r="177" spans="1:10" x14ac:dyDescent="0.4">
      <c r="A177">
        <v>2028</v>
      </c>
      <c r="B177">
        <v>8.7743000000000002</v>
      </c>
      <c r="C177">
        <v>3.02</v>
      </c>
    </row>
    <row r="178" spans="1:10" x14ac:dyDescent="0.4">
      <c r="A178">
        <v>2029</v>
      </c>
      <c r="B178">
        <v>8.9367999999999999</v>
      </c>
      <c r="C178">
        <v>3.0486</v>
      </c>
    </row>
    <row r="179" spans="1:10" x14ac:dyDescent="0.4">
      <c r="A179">
        <v>2030</v>
      </c>
      <c r="B179">
        <v>9.0663999999999998</v>
      </c>
      <c r="C179">
        <v>3.0626000000000002</v>
      </c>
    </row>
    <row r="180" spans="1:10" x14ac:dyDescent="0.4">
      <c r="A180">
        <v>2031</v>
      </c>
      <c r="B180">
        <v>9.1761999999999997</v>
      </c>
      <c r="C180">
        <v>3.0790999999999999</v>
      </c>
    </row>
    <row r="181" spans="1:10" x14ac:dyDescent="0.4">
      <c r="A181">
        <v>2032</v>
      </c>
      <c r="B181">
        <v>9.2621000000000002</v>
      </c>
      <c r="C181">
        <v>3.0911</v>
      </c>
    </row>
    <row r="182" spans="1:10" x14ac:dyDescent="0.4">
      <c r="A182">
        <v>2033</v>
      </c>
      <c r="B182">
        <v>9.3207000000000004</v>
      </c>
      <c r="C182">
        <v>3.1015000000000001</v>
      </c>
    </row>
    <row r="183" spans="1:10" x14ac:dyDescent="0.4">
      <c r="A183">
        <v>2034</v>
      </c>
      <c r="B183">
        <v>9.3706999999999994</v>
      </c>
      <c r="C183">
        <v>3.1152000000000002</v>
      </c>
    </row>
    <row r="185" spans="1:10" x14ac:dyDescent="0.4">
      <c r="A185" t="s">
        <v>9</v>
      </c>
      <c r="B185" t="s">
        <v>6</v>
      </c>
      <c r="C185" t="s">
        <v>32</v>
      </c>
    </row>
    <row r="187" spans="1:10" x14ac:dyDescent="0.4">
      <c r="A187" t="s">
        <v>22</v>
      </c>
      <c r="B187" s="2">
        <v>0.01</v>
      </c>
      <c r="C187" s="2">
        <v>0.05</v>
      </c>
      <c r="D187" s="2">
        <v>0.1</v>
      </c>
      <c r="E187" s="2">
        <v>0.25</v>
      </c>
      <c r="F187" s="2">
        <v>0.5</v>
      </c>
      <c r="G187" s="2">
        <v>0.75</v>
      </c>
      <c r="H187" s="2">
        <v>0.9</v>
      </c>
      <c r="I187" s="2">
        <v>0.95</v>
      </c>
      <c r="J187" s="2">
        <v>0.99</v>
      </c>
    </row>
    <row r="188" spans="1:10" x14ac:dyDescent="0.4">
      <c r="A188">
        <v>2021</v>
      </c>
      <c r="B188">
        <v>5.9408000000000003</v>
      </c>
      <c r="C188">
        <v>6.5635000000000003</v>
      </c>
      <c r="D188">
        <v>7.0019</v>
      </c>
      <c r="E188">
        <v>7.8311999999999999</v>
      </c>
      <c r="F188">
        <v>8.9247999999999994</v>
      </c>
      <c r="G188">
        <v>9.9871999999999996</v>
      </c>
      <c r="H188">
        <v>11.4756</v>
      </c>
      <c r="I188">
        <v>12.2186</v>
      </c>
      <c r="J188">
        <v>13.725300000000001</v>
      </c>
    </row>
    <row r="189" spans="1:10" x14ac:dyDescent="0.4">
      <c r="A189">
        <v>2022</v>
      </c>
      <c r="B189">
        <v>6.1047000000000002</v>
      </c>
      <c r="C189">
        <v>6.9889999999999999</v>
      </c>
      <c r="D189">
        <v>7.5583999999999998</v>
      </c>
      <c r="E189">
        <v>8.6585999999999999</v>
      </c>
      <c r="F189">
        <v>9.9891000000000005</v>
      </c>
      <c r="G189">
        <v>11.5</v>
      </c>
      <c r="H189">
        <v>12.973800000000001</v>
      </c>
      <c r="I189">
        <v>13.948600000000001</v>
      </c>
      <c r="J189">
        <v>15.8752</v>
      </c>
    </row>
    <row r="190" spans="1:10" x14ac:dyDescent="0.4">
      <c r="A190">
        <v>2023</v>
      </c>
      <c r="B190">
        <v>6.0342000000000002</v>
      </c>
      <c r="C190">
        <v>7.1369999999999996</v>
      </c>
      <c r="D190">
        <v>7.8224999999999998</v>
      </c>
      <c r="E190">
        <v>9.0717999999999996</v>
      </c>
      <c r="F190">
        <v>10.654999999999999</v>
      </c>
      <c r="G190">
        <v>12.3528</v>
      </c>
      <c r="H190">
        <v>14.007899999999999</v>
      </c>
      <c r="I190">
        <v>15.087300000000001</v>
      </c>
      <c r="J190">
        <v>17.473400000000002</v>
      </c>
    </row>
    <row r="191" spans="1:10" x14ac:dyDescent="0.4">
      <c r="A191">
        <v>2024</v>
      </c>
      <c r="B191">
        <v>5.6254</v>
      </c>
      <c r="C191">
        <v>6.8692000000000002</v>
      </c>
      <c r="D191">
        <v>7.6322999999999999</v>
      </c>
      <c r="E191">
        <v>9.0165000000000006</v>
      </c>
      <c r="F191">
        <v>10.723699999999999</v>
      </c>
      <c r="G191">
        <v>12.5753</v>
      </c>
      <c r="H191">
        <v>14.3681</v>
      </c>
      <c r="I191">
        <v>15.5107</v>
      </c>
      <c r="J191">
        <v>18.202200000000001</v>
      </c>
    </row>
    <row r="192" spans="1:10" x14ac:dyDescent="0.4">
      <c r="A192">
        <v>2025</v>
      </c>
      <c r="B192">
        <v>4.5263</v>
      </c>
      <c r="C192">
        <v>5.8695000000000004</v>
      </c>
      <c r="D192">
        <v>6.6886999999999999</v>
      </c>
      <c r="E192">
        <v>8.1662999999999997</v>
      </c>
      <c r="F192">
        <v>9.9657</v>
      </c>
      <c r="G192">
        <v>11.901999999999999</v>
      </c>
      <c r="H192">
        <v>13.794600000000001</v>
      </c>
      <c r="I192">
        <v>15.0375</v>
      </c>
      <c r="J192">
        <v>17.948599999999999</v>
      </c>
    </row>
    <row r="193" spans="1:10" x14ac:dyDescent="0.4">
      <c r="A193">
        <v>2026</v>
      </c>
      <c r="B193">
        <v>3.2753999999999999</v>
      </c>
      <c r="C193">
        <v>4.7015000000000002</v>
      </c>
      <c r="D193">
        <v>5.5426000000000002</v>
      </c>
      <c r="E193">
        <v>7.0797999999999996</v>
      </c>
      <c r="F193">
        <v>8.9110999999999994</v>
      </c>
      <c r="G193">
        <v>10.9009</v>
      </c>
      <c r="H193">
        <v>12.83</v>
      </c>
      <c r="I193">
        <v>14.116199999999999</v>
      </c>
      <c r="J193">
        <v>17.273299999999999</v>
      </c>
    </row>
    <row r="194" spans="1:10" x14ac:dyDescent="0.4">
      <c r="A194">
        <v>2027</v>
      </c>
      <c r="B194">
        <v>2.8317999999999999</v>
      </c>
      <c r="C194">
        <v>4.2601000000000004</v>
      </c>
      <c r="D194">
        <v>5.0942999999999996</v>
      </c>
      <c r="E194">
        <v>6.6173000000000002</v>
      </c>
      <c r="F194">
        <v>8.4695999999999998</v>
      </c>
      <c r="G194">
        <v>10.4786</v>
      </c>
      <c r="H194">
        <v>12.44</v>
      </c>
      <c r="I194">
        <v>13.7399</v>
      </c>
      <c r="J194">
        <v>16.912600000000001</v>
      </c>
    </row>
    <row r="195" spans="1:10" x14ac:dyDescent="0.4">
      <c r="A195">
        <v>2028</v>
      </c>
      <c r="B195">
        <v>2.867</v>
      </c>
      <c r="C195">
        <v>4.3094999999999999</v>
      </c>
      <c r="D195">
        <v>5.1721000000000004</v>
      </c>
      <c r="E195">
        <v>6.6943999999999999</v>
      </c>
      <c r="F195">
        <v>8.5582999999999991</v>
      </c>
      <c r="G195">
        <v>10.5838</v>
      </c>
      <c r="H195">
        <v>12.561199999999999</v>
      </c>
      <c r="I195">
        <v>13.885199999999999</v>
      </c>
      <c r="J195">
        <v>16.995200000000001</v>
      </c>
    </row>
    <row r="196" spans="1:10" x14ac:dyDescent="0.4">
      <c r="A196">
        <v>2029</v>
      </c>
      <c r="B196">
        <v>2.9011</v>
      </c>
      <c r="C196">
        <v>4.4222000000000001</v>
      </c>
      <c r="D196">
        <v>5.2972000000000001</v>
      </c>
      <c r="E196">
        <v>6.8540000000000001</v>
      </c>
      <c r="F196">
        <v>8.7175999999999991</v>
      </c>
      <c r="G196">
        <v>10.755100000000001</v>
      </c>
      <c r="H196">
        <v>12.776999999999999</v>
      </c>
      <c r="I196">
        <v>14.1228</v>
      </c>
      <c r="J196">
        <v>17.222799999999999</v>
      </c>
    </row>
    <row r="197" spans="1:10" x14ac:dyDescent="0.4">
      <c r="A197">
        <v>2030</v>
      </c>
      <c r="B197">
        <v>2.9598</v>
      </c>
      <c r="C197">
        <v>4.5267999999999997</v>
      </c>
      <c r="D197">
        <v>5.4120999999999997</v>
      </c>
      <c r="E197">
        <v>6.9710999999999999</v>
      </c>
      <c r="F197">
        <v>8.8478999999999992</v>
      </c>
      <c r="G197">
        <v>10.9102</v>
      </c>
      <c r="H197">
        <v>12.9078</v>
      </c>
      <c r="I197">
        <v>14.2468</v>
      </c>
      <c r="J197">
        <v>17.418500000000002</v>
      </c>
    </row>
    <row r="198" spans="1:10" x14ac:dyDescent="0.4">
      <c r="A198">
        <v>2031</v>
      </c>
      <c r="B198">
        <v>3.0331000000000001</v>
      </c>
      <c r="C198">
        <v>4.5987</v>
      </c>
      <c r="D198">
        <v>5.4941000000000004</v>
      </c>
      <c r="E198">
        <v>7.0571999999999999</v>
      </c>
      <c r="F198">
        <v>8.9718</v>
      </c>
      <c r="G198">
        <v>11.0307</v>
      </c>
      <c r="H198">
        <v>13.045400000000001</v>
      </c>
      <c r="I198">
        <v>14.3719</v>
      </c>
      <c r="J198">
        <v>17.534600000000001</v>
      </c>
    </row>
    <row r="199" spans="1:10" x14ac:dyDescent="0.4">
      <c r="A199">
        <v>2032</v>
      </c>
      <c r="B199">
        <v>3.0748000000000002</v>
      </c>
      <c r="C199">
        <v>4.6734999999999998</v>
      </c>
      <c r="D199">
        <v>5.5505000000000004</v>
      </c>
      <c r="E199">
        <v>7.1478999999999999</v>
      </c>
      <c r="F199">
        <v>9.0508000000000006</v>
      </c>
      <c r="G199">
        <v>11.1286</v>
      </c>
      <c r="H199">
        <v>13.1424</v>
      </c>
      <c r="I199">
        <v>14.4825</v>
      </c>
      <c r="J199">
        <v>17.623899999999999</v>
      </c>
    </row>
    <row r="200" spans="1:10" x14ac:dyDescent="0.4">
      <c r="A200">
        <v>2033</v>
      </c>
      <c r="B200">
        <v>3.1244999999999998</v>
      </c>
      <c r="C200">
        <v>4.7313999999999998</v>
      </c>
      <c r="D200">
        <v>5.6200999999999999</v>
      </c>
      <c r="E200">
        <v>7.1944999999999997</v>
      </c>
      <c r="F200">
        <v>9.1212999999999997</v>
      </c>
      <c r="G200">
        <v>11.193300000000001</v>
      </c>
      <c r="H200">
        <v>13.2119</v>
      </c>
      <c r="I200">
        <v>14.5488</v>
      </c>
      <c r="J200">
        <v>17.7576</v>
      </c>
    </row>
    <row r="201" spans="1:10" x14ac:dyDescent="0.4">
      <c r="A201">
        <v>2034</v>
      </c>
      <c r="B201">
        <v>3.0920999999999998</v>
      </c>
      <c r="C201">
        <v>4.7436999999999996</v>
      </c>
      <c r="D201">
        <v>5.6612</v>
      </c>
      <c r="E201">
        <v>7.2447999999999997</v>
      </c>
      <c r="F201">
        <v>9.1640999999999995</v>
      </c>
      <c r="G201">
        <v>11.240500000000001</v>
      </c>
      <c r="H201">
        <v>13.286300000000001</v>
      </c>
      <c r="I201">
        <v>14.6221</v>
      </c>
      <c r="J201">
        <v>17.8688</v>
      </c>
    </row>
    <row r="203" spans="1:10" x14ac:dyDescent="0.4">
      <c r="A203" t="s">
        <v>8</v>
      </c>
      <c r="B203" t="s">
        <v>7</v>
      </c>
      <c r="C203" t="s">
        <v>6</v>
      </c>
      <c r="D203" t="s">
        <v>36</v>
      </c>
      <c r="E203">
        <v>1000</v>
      </c>
      <c r="F203" t="s">
        <v>35</v>
      </c>
    </row>
    <row r="205" spans="1:10" x14ac:dyDescent="0.4">
      <c r="A205" t="s">
        <v>22</v>
      </c>
      <c r="B205" t="s">
        <v>34</v>
      </c>
      <c r="C205" t="s">
        <v>33</v>
      </c>
    </row>
    <row r="206" spans="1:10" x14ac:dyDescent="0.4">
      <c r="A206">
        <v>2021</v>
      </c>
      <c r="B206">
        <v>1.5398000000000001</v>
      </c>
      <c r="C206">
        <v>0</v>
      </c>
    </row>
    <row r="207" spans="1:10" x14ac:dyDescent="0.4">
      <c r="A207">
        <v>2022</v>
      </c>
      <c r="B207">
        <v>1.4739</v>
      </c>
      <c r="C207">
        <v>0</v>
      </c>
    </row>
    <row r="208" spans="1:10" x14ac:dyDescent="0.4">
      <c r="A208">
        <v>2023</v>
      </c>
      <c r="B208">
        <v>1.6854</v>
      </c>
      <c r="C208">
        <v>9.1999999999999998E-3</v>
      </c>
    </row>
    <row r="209" spans="1:10" x14ac:dyDescent="0.4">
      <c r="A209">
        <v>2024</v>
      </c>
      <c r="B209">
        <v>2.1564999999999999</v>
      </c>
      <c r="C209">
        <v>2.3599999999999999E-2</v>
      </c>
    </row>
    <row r="210" spans="1:10" x14ac:dyDescent="0.4">
      <c r="A210">
        <v>2025</v>
      </c>
      <c r="B210">
        <v>3.2246000000000001</v>
      </c>
      <c r="C210">
        <v>3.6799999999999999E-2</v>
      </c>
    </row>
    <row r="211" spans="1:10" x14ac:dyDescent="0.4">
      <c r="A211">
        <v>2026</v>
      </c>
      <c r="B211">
        <v>3.2239</v>
      </c>
      <c r="C211">
        <v>5.9499999999999997E-2</v>
      </c>
    </row>
    <row r="212" spans="1:10" x14ac:dyDescent="0.4">
      <c r="A212">
        <v>2027</v>
      </c>
      <c r="B212">
        <v>2.3980999999999999</v>
      </c>
      <c r="C212">
        <v>6.7400000000000002E-2</v>
      </c>
    </row>
    <row r="213" spans="1:10" x14ac:dyDescent="0.4">
      <c r="A213">
        <v>2028</v>
      </c>
      <c r="B213">
        <v>2.1476000000000002</v>
      </c>
      <c r="C213">
        <v>7.1599999999999997E-2</v>
      </c>
    </row>
    <row r="214" spans="1:10" x14ac:dyDescent="0.4">
      <c r="A214">
        <v>2029</v>
      </c>
      <c r="B214">
        <v>2.1472000000000002</v>
      </c>
      <c r="C214">
        <v>7.7499999999999999E-2</v>
      </c>
    </row>
    <row r="215" spans="1:10" x14ac:dyDescent="0.4">
      <c r="A215">
        <v>2030</v>
      </c>
      <c r="B215">
        <v>2.1465000000000001</v>
      </c>
      <c r="C215">
        <v>8.6499999999999994E-2</v>
      </c>
    </row>
    <row r="216" spans="1:10" x14ac:dyDescent="0.4">
      <c r="A216">
        <v>2031</v>
      </c>
      <c r="B216">
        <v>2.1459999999999999</v>
      </c>
      <c r="C216">
        <v>9.3100000000000002E-2</v>
      </c>
    </row>
    <row r="217" spans="1:10" x14ac:dyDescent="0.4">
      <c r="A217">
        <v>2032</v>
      </c>
      <c r="B217">
        <v>2.1455000000000002</v>
      </c>
      <c r="C217">
        <v>9.8199999999999996E-2</v>
      </c>
    </row>
    <row r="218" spans="1:10" x14ac:dyDescent="0.4">
      <c r="A218">
        <v>2033</v>
      </c>
      <c r="B218">
        <v>2.1452</v>
      </c>
      <c r="C218">
        <v>0.1016</v>
      </c>
    </row>
    <row r="219" spans="1:10" x14ac:dyDescent="0.4">
      <c r="A219">
        <v>2034</v>
      </c>
      <c r="B219">
        <v>2.1448</v>
      </c>
      <c r="C219">
        <v>0.10539999999999999</v>
      </c>
    </row>
    <row r="221" spans="1:10" x14ac:dyDescent="0.4">
      <c r="A221" t="s">
        <v>8</v>
      </c>
      <c r="B221" t="s">
        <v>7</v>
      </c>
      <c r="C221" t="s">
        <v>32</v>
      </c>
    </row>
    <row r="223" spans="1:10" x14ac:dyDescent="0.4">
      <c r="A223" t="s">
        <v>22</v>
      </c>
      <c r="B223" s="2">
        <v>0.01</v>
      </c>
      <c r="C223" s="2">
        <v>0.05</v>
      </c>
      <c r="D223" s="2">
        <v>0.1</v>
      </c>
      <c r="E223" s="2">
        <v>0.25</v>
      </c>
      <c r="F223" s="2">
        <v>0.5</v>
      </c>
      <c r="G223" s="2">
        <v>0.75</v>
      </c>
      <c r="H223" s="2">
        <v>0.9</v>
      </c>
      <c r="I223" s="2">
        <v>0.95</v>
      </c>
      <c r="J223" s="2">
        <v>0.99</v>
      </c>
    </row>
    <row r="224" spans="1:10" x14ac:dyDescent="0.4">
      <c r="A224">
        <v>2021</v>
      </c>
      <c r="B224">
        <v>1.5398000000000001</v>
      </c>
      <c r="C224">
        <v>1.5398000000000001</v>
      </c>
      <c r="D224">
        <v>1.5398000000000001</v>
      </c>
      <c r="E224">
        <v>1.5398000000000001</v>
      </c>
      <c r="F224">
        <v>1.5398000000000001</v>
      </c>
      <c r="G224">
        <v>1.5398000000000001</v>
      </c>
      <c r="H224">
        <v>1.5398000000000001</v>
      </c>
      <c r="I224">
        <v>1.5398000000000001</v>
      </c>
      <c r="J224">
        <v>1.5398000000000001</v>
      </c>
    </row>
    <row r="225" spans="1:10" x14ac:dyDescent="0.4">
      <c r="A225">
        <v>2022</v>
      </c>
      <c r="B225">
        <v>1.4739</v>
      </c>
      <c r="C225">
        <v>1.4739</v>
      </c>
      <c r="D225">
        <v>1.4739</v>
      </c>
      <c r="E225">
        <v>1.4739</v>
      </c>
      <c r="F225">
        <v>1.4739</v>
      </c>
      <c r="G225">
        <v>1.4739</v>
      </c>
      <c r="H225">
        <v>1.4739</v>
      </c>
      <c r="I225">
        <v>1.4739</v>
      </c>
      <c r="J225">
        <v>1.4739</v>
      </c>
    </row>
    <row r="226" spans="1:10" x14ac:dyDescent="0.4">
      <c r="A226">
        <v>2023</v>
      </c>
      <c r="B226">
        <v>1.6854</v>
      </c>
      <c r="C226">
        <v>1.6854</v>
      </c>
      <c r="D226">
        <v>1.6854</v>
      </c>
      <c r="E226">
        <v>1.6854</v>
      </c>
      <c r="F226">
        <v>1.6854</v>
      </c>
      <c r="G226">
        <v>1.6854</v>
      </c>
      <c r="H226">
        <v>1.6854</v>
      </c>
      <c r="I226">
        <v>1.6854</v>
      </c>
      <c r="J226">
        <v>1.6854</v>
      </c>
    </row>
    <row r="227" spans="1:10" x14ac:dyDescent="0.4">
      <c r="A227">
        <v>2024</v>
      </c>
      <c r="B227">
        <v>2.1566999999999998</v>
      </c>
      <c r="C227">
        <v>2.1566999999999998</v>
      </c>
      <c r="D227">
        <v>2.1566999999999998</v>
      </c>
      <c r="E227">
        <v>2.1566999999999998</v>
      </c>
      <c r="F227">
        <v>2.1566999999999998</v>
      </c>
      <c r="G227">
        <v>2.1566999999999998</v>
      </c>
      <c r="H227">
        <v>2.1566999999999998</v>
      </c>
      <c r="I227">
        <v>2.1566999999999998</v>
      </c>
      <c r="J227">
        <v>2.1566999999999998</v>
      </c>
    </row>
    <row r="228" spans="1:10" x14ac:dyDescent="0.4">
      <c r="A228">
        <v>2025</v>
      </c>
      <c r="B228">
        <v>3.2250000000000001</v>
      </c>
      <c r="C228">
        <v>3.2250000000000001</v>
      </c>
      <c r="D228">
        <v>3.2250000000000001</v>
      </c>
      <c r="E228">
        <v>3.2250000000000001</v>
      </c>
      <c r="F228">
        <v>3.2250000000000001</v>
      </c>
      <c r="G228">
        <v>3.2250000000000001</v>
      </c>
      <c r="H228">
        <v>3.2250000000000001</v>
      </c>
      <c r="I228">
        <v>3.2250000000000001</v>
      </c>
      <c r="J228">
        <v>3.2250000000000001</v>
      </c>
    </row>
    <row r="229" spans="1:10" x14ac:dyDescent="0.4">
      <c r="A229">
        <v>2026</v>
      </c>
      <c r="B229">
        <v>3.2250000000000001</v>
      </c>
      <c r="C229">
        <v>3.2250000000000001</v>
      </c>
      <c r="D229">
        <v>3.2250000000000001</v>
      </c>
      <c r="E229">
        <v>3.2250000000000001</v>
      </c>
      <c r="F229">
        <v>3.2250000000000001</v>
      </c>
      <c r="G229">
        <v>3.2250000000000001</v>
      </c>
      <c r="H229">
        <v>3.2250000000000001</v>
      </c>
      <c r="I229">
        <v>3.2250000000000001</v>
      </c>
      <c r="J229">
        <v>3.2250000000000001</v>
      </c>
    </row>
    <row r="230" spans="1:10" x14ac:dyDescent="0.4">
      <c r="A230">
        <v>2027</v>
      </c>
      <c r="B230">
        <v>2.4</v>
      </c>
      <c r="C230">
        <v>2.4</v>
      </c>
      <c r="D230">
        <v>2.4</v>
      </c>
      <c r="E230">
        <v>2.4</v>
      </c>
      <c r="F230">
        <v>2.4</v>
      </c>
      <c r="G230">
        <v>2.4</v>
      </c>
      <c r="H230">
        <v>2.4</v>
      </c>
      <c r="I230">
        <v>2.4</v>
      </c>
      <c r="J230">
        <v>2.4</v>
      </c>
    </row>
    <row r="231" spans="1:10" x14ac:dyDescent="0.4">
      <c r="A231">
        <v>2028</v>
      </c>
      <c r="B231">
        <v>2.15</v>
      </c>
      <c r="C231">
        <v>2.15</v>
      </c>
      <c r="D231">
        <v>2.15</v>
      </c>
      <c r="E231">
        <v>2.15</v>
      </c>
      <c r="F231">
        <v>2.15</v>
      </c>
      <c r="G231">
        <v>2.15</v>
      </c>
      <c r="H231">
        <v>2.15</v>
      </c>
      <c r="I231">
        <v>2.15</v>
      </c>
      <c r="J231">
        <v>2.15</v>
      </c>
    </row>
    <row r="232" spans="1:10" x14ac:dyDescent="0.4">
      <c r="A232">
        <v>2029</v>
      </c>
      <c r="B232">
        <v>2.15</v>
      </c>
      <c r="C232">
        <v>2.15</v>
      </c>
      <c r="D232">
        <v>2.15</v>
      </c>
      <c r="E232">
        <v>2.15</v>
      </c>
      <c r="F232">
        <v>2.15</v>
      </c>
      <c r="G232">
        <v>2.15</v>
      </c>
      <c r="H232">
        <v>2.15</v>
      </c>
      <c r="I232">
        <v>2.15</v>
      </c>
      <c r="J232">
        <v>2.15</v>
      </c>
    </row>
    <row r="233" spans="1:10" x14ac:dyDescent="0.4">
      <c r="A233">
        <v>2030</v>
      </c>
      <c r="B233">
        <v>2.15</v>
      </c>
      <c r="C233">
        <v>2.15</v>
      </c>
      <c r="D233">
        <v>2.15</v>
      </c>
      <c r="E233">
        <v>2.15</v>
      </c>
      <c r="F233">
        <v>2.15</v>
      </c>
      <c r="G233">
        <v>2.15</v>
      </c>
      <c r="H233">
        <v>2.15</v>
      </c>
      <c r="I233">
        <v>2.15</v>
      </c>
      <c r="J233">
        <v>2.15</v>
      </c>
    </row>
    <row r="234" spans="1:10" x14ac:dyDescent="0.4">
      <c r="A234">
        <v>2031</v>
      </c>
      <c r="B234">
        <v>2.15</v>
      </c>
      <c r="C234">
        <v>2.15</v>
      </c>
      <c r="D234">
        <v>2.15</v>
      </c>
      <c r="E234">
        <v>2.15</v>
      </c>
      <c r="F234">
        <v>2.15</v>
      </c>
      <c r="G234">
        <v>2.15</v>
      </c>
      <c r="H234">
        <v>2.15</v>
      </c>
      <c r="I234">
        <v>2.15</v>
      </c>
      <c r="J234">
        <v>2.15</v>
      </c>
    </row>
    <row r="235" spans="1:10" x14ac:dyDescent="0.4">
      <c r="A235">
        <v>2032</v>
      </c>
      <c r="B235">
        <v>2.15</v>
      </c>
      <c r="C235">
        <v>2.15</v>
      </c>
      <c r="D235">
        <v>2.15</v>
      </c>
      <c r="E235">
        <v>2.15</v>
      </c>
      <c r="F235">
        <v>2.15</v>
      </c>
      <c r="G235">
        <v>2.15</v>
      </c>
      <c r="H235">
        <v>2.15</v>
      </c>
      <c r="I235">
        <v>2.15</v>
      </c>
      <c r="J235">
        <v>2.15</v>
      </c>
    </row>
    <row r="236" spans="1:10" x14ac:dyDescent="0.4">
      <c r="A236">
        <v>2033</v>
      </c>
      <c r="B236">
        <v>2.15</v>
      </c>
      <c r="C236">
        <v>2.15</v>
      </c>
      <c r="D236">
        <v>2.15</v>
      </c>
      <c r="E236">
        <v>2.15</v>
      </c>
      <c r="F236">
        <v>2.15</v>
      </c>
      <c r="G236">
        <v>2.15</v>
      </c>
      <c r="H236">
        <v>2.15</v>
      </c>
      <c r="I236">
        <v>2.15</v>
      </c>
      <c r="J236">
        <v>2.15</v>
      </c>
    </row>
    <row r="237" spans="1:10" x14ac:dyDescent="0.4">
      <c r="A237">
        <v>2034</v>
      </c>
      <c r="B237">
        <v>2.15</v>
      </c>
      <c r="C237">
        <v>2.15</v>
      </c>
      <c r="D237">
        <v>2.15</v>
      </c>
      <c r="E237">
        <v>2.15</v>
      </c>
      <c r="F237">
        <v>2.15</v>
      </c>
      <c r="G237">
        <v>2.15</v>
      </c>
      <c r="H237">
        <v>2.15</v>
      </c>
      <c r="I237">
        <v>2.15</v>
      </c>
      <c r="J237">
        <v>2.15</v>
      </c>
    </row>
    <row r="239" spans="1:10" x14ac:dyDescent="0.4">
      <c r="A239" t="s">
        <v>5</v>
      </c>
      <c r="B239" t="s">
        <v>36</v>
      </c>
      <c r="C239">
        <v>1000</v>
      </c>
      <c r="D239" t="s">
        <v>35</v>
      </c>
    </row>
    <row r="241" spans="1:3" x14ac:dyDescent="0.4">
      <c r="A241" t="s">
        <v>22</v>
      </c>
      <c r="B241" t="s">
        <v>34</v>
      </c>
      <c r="C241" t="s">
        <v>33</v>
      </c>
    </row>
    <row r="242" spans="1:3" x14ac:dyDescent="0.4">
      <c r="A242">
        <v>2021</v>
      </c>
      <c r="B242">
        <v>1.5398000000000001</v>
      </c>
      <c r="C242">
        <v>0</v>
      </c>
    </row>
    <row r="243" spans="1:3" x14ac:dyDescent="0.4">
      <c r="A243">
        <v>2022</v>
      </c>
      <c r="B243">
        <v>1.4739</v>
      </c>
      <c r="C243">
        <v>0</v>
      </c>
    </row>
    <row r="244" spans="1:3" x14ac:dyDescent="0.4">
      <c r="A244">
        <v>2023</v>
      </c>
      <c r="B244">
        <v>1.6854</v>
      </c>
      <c r="C244">
        <v>9.1999999999999998E-3</v>
      </c>
    </row>
    <row r="245" spans="1:3" x14ac:dyDescent="0.4">
      <c r="A245">
        <v>2024</v>
      </c>
      <c r="B245">
        <v>2.1564999999999999</v>
      </c>
      <c r="C245">
        <v>2.3599999999999999E-2</v>
      </c>
    </row>
    <row r="246" spans="1:3" x14ac:dyDescent="0.4">
      <c r="A246">
        <v>2025</v>
      </c>
      <c r="B246">
        <v>3.2246000000000001</v>
      </c>
      <c r="C246">
        <v>3.6799999999999999E-2</v>
      </c>
    </row>
    <row r="247" spans="1:3" x14ac:dyDescent="0.4">
      <c r="A247">
        <v>2026</v>
      </c>
      <c r="B247">
        <v>3.2239</v>
      </c>
      <c r="C247">
        <v>5.9499999999999997E-2</v>
      </c>
    </row>
    <row r="248" spans="1:3" x14ac:dyDescent="0.4">
      <c r="A248">
        <v>2027</v>
      </c>
      <c r="B248">
        <v>2.3980999999999999</v>
      </c>
      <c r="C248">
        <v>6.7400000000000002E-2</v>
      </c>
    </row>
    <row r="249" spans="1:3" x14ac:dyDescent="0.4">
      <c r="A249">
        <v>2028</v>
      </c>
      <c r="B249">
        <v>2.1476000000000002</v>
      </c>
      <c r="C249">
        <v>7.1599999999999997E-2</v>
      </c>
    </row>
    <row r="250" spans="1:3" x14ac:dyDescent="0.4">
      <c r="A250">
        <v>2029</v>
      </c>
      <c r="B250">
        <v>2.1472000000000002</v>
      </c>
      <c r="C250">
        <v>7.7499999999999999E-2</v>
      </c>
    </row>
    <row r="251" spans="1:3" x14ac:dyDescent="0.4">
      <c r="A251">
        <v>2030</v>
      </c>
      <c r="B251">
        <v>2.1465000000000001</v>
      </c>
      <c r="C251">
        <v>8.6499999999999994E-2</v>
      </c>
    </row>
    <row r="252" spans="1:3" x14ac:dyDescent="0.4">
      <c r="A252">
        <v>2031</v>
      </c>
      <c r="B252">
        <v>2.1459999999999999</v>
      </c>
      <c r="C252">
        <v>9.3100000000000002E-2</v>
      </c>
    </row>
    <row r="253" spans="1:3" x14ac:dyDescent="0.4">
      <c r="A253">
        <v>2032</v>
      </c>
      <c r="B253">
        <v>2.1455000000000002</v>
      </c>
      <c r="C253">
        <v>9.8199999999999996E-2</v>
      </c>
    </row>
    <row r="254" spans="1:3" x14ac:dyDescent="0.4">
      <c r="A254">
        <v>2033</v>
      </c>
      <c r="B254">
        <v>2.1452</v>
      </c>
      <c r="C254">
        <v>0.1016</v>
      </c>
    </row>
    <row r="255" spans="1:3" x14ac:dyDescent="0.4">
      <c r="A255">
        <v>2034</v>
      </c>
      <c r="B255">
        <v>2.1448</v>
      </c>
      <c r="C255">
        <v>0.10539999999999999</v>
      </c>
    </row>
    <row r="257" spans="1:20" x14ac:dyDescent="0.4">
      <c r="A257" t="s">
        <v>5</v>
      </c>
      <c r="B257" t="s">
        <v>32</v>
      </c>
    </row>
    <row r="259" spans="1:20" x14ac:dyDescent="0.4">
      <c r="A259" t="s">
        <v>22</v>
      </c>
      <c r="B259" s="2">
        <v>0.01</v>
      </c>
      <c r="C259" s="2">
        <v>0.05</v>
      </c>
      <c r="D259" s="2">
        <v>0.1</v>
      </c>
      <c r="E259" s="2">
        <v>0.25</v>
      </c>
      <c r="F259" s="2">
        <v>0.5</v>
      </c>
      <c r="G259" s="2">
        <v>0.75</v>
      </c>
      <c r="H259" s="2">
        <v>0.9</v>
      </c>
      <c r="I259" s="2">
        <v>0.95</v>
      </c>
      <c r="J259" s="2">
        <v>0.99</v>
      </c>
      <c r="L259" s="2">
        <v>0.01</v>
      </c>
      <c r="M259" s="2">
        <v>0.05</v>
      </c>
      <c r="N259" s="2">
        <v>0.1</v>
      </c>
      <c r="O259" s="2">
        <v>0.25</v>
      </c>
      <c r="P259" s="2">
        <v>0.5</v>
      </c>
      <c r="Q259" s="2">
        <v>0.75</v>
      </c>
      <c r="R259" s="2">
        <v>0.9</v>
      </c>
      <c r="S259" s="2">
        <v>0.95</v>
      </c>
      <c r="T259" s="2">
        <v>0.99</v>
      </c>
    </row>
    <row r="260" spans="1:20" x14ac:dyDescent="0.4">
      <c r="A260">
        <v>2021</v>
      </c>
      <c r="B260">
        <v>1.5398000000000001</v>
      </c>
      <c r="C260">
        <v>1.5398000000000001</v>
      </c>
      <c r="D260">
        <v>1.5398000000000001</v>
      </c>
      <c r="E260">
        <v>1.5398000000000001</v>
      </c>
      <c r="F260">
        <v>1.5398000000000001</v>
      </c>
      <c r="G260">
        <v>1.5398000000000001</v>
      </c>
      <c r="H260">
        <v>1.5398000000000001</v>
      </c>
      <c r="I260">
        <v>1.5398000000000001</v>
      </c>
      <c r="J260">
        <v>1.5398000000000001</v>
      </c>
      <c r="L260">
        <f>B260*1000</f>
        <v>1539.8</v>
      </c>
      <c r="M260">
        <f t="shared" ref="M260:T273" si="2">C260*1000</f>
        <v>1539.8</v>
      </c>
      <c r="N260">
        <f t="shared" si="2"/>
        <v>1539.8</v>
      </c>
      <c r="O260">
        <f t="shared" si="2"/>
        <v>1539.8</v>
      </c>
      <c r="P260">
        <f t="shared" si="2"/>
        <v>1539.8</v>
      </c>
      <c r="Q260">
        <f t="shared" si="2"/>
        <v>1539.8</v>
      </c>
      <c r="R260">
        <f t="shared" si="2"/>
        <v>1539.8</v>
      </c>
      <c r="S260">
        <f t="shared" si="2"/>
        <v>1539.8</v>
      </c>
      <c r="T260">
        <f t="shared" si="2"/>
        <v>1539.8</v>
      </c>
    </row>
    <row r="261" spans="1:20" x14ac:dyDescent="0.4">
      <c r="A261">
        <v>2022</v>
      </c>
      <c r="B261">
        <v>1.4739</v>
      </c>
      <c r="C261">
        <v>1.4739</v>
      </c>
      <c r="D261">
        <v>1.4739</v>
      </c>
      <c r="E261">
        <v>1.4739</v>
      </c>
      <c r="F261">
        <v>1.4739</v>
      </c>
      <c r="G261">
        <v>1.4739</v>
      </c>
      <c r="H261">
        <v>1.4739</v>
      </c>
      <c r="I261">
        <v>1.4739</v>
      </c>
      <c r="J261">
        <v>1.4739</v>
      </c>
      <c r="L261">
        <f t="shared" ref="L261:L273" si="3">B261*1000</f>
        <v>1473.9</v>
      </c>
      <c r="M261">
        <f t="shared" si="2"/>
        <v>1473.9</v>
      </c>
      <c r="N261">
        <f t="shared" si="2"/>
        <v>1473.9</v>
      </c>
      <c r="O261">
        <f t="shared" si="2"/>
        <v>1473.9</v>
      </c>
      <c r="P261">
        <f t="shared" si="2"/>
        <v>1473.9</v>
      </c>
      <c r="Q261">
        <f t="shared" si="2"/>
        <v>1473.9</v>
      </c>
      <c r="R261">
        <f t="shared" si="2"/>
        <v>1473.9</v>
      </c>
      <c r="S261">
        <f t="shared" si="2"/>
        <v>1473.9</v>
      </c>
      <c r="T261">
        <f t="shared" si="2"/>
        <v>1473.9</v>
      </c>
    </row>
    <row r="262" spans="1:20" x14ac:dyDescent="0.4">
      <c r="A262">
        <v>2023</v>
      </c>
      <c r="B262">
        <v>1.6854</v>
      </c>
      <c r="C262">
        <v>1.6854</v>
      </c>
      <c r="D262">
        <v>1.6854</v>
      </c>
      <c r="E262">
        <v>1.6854</v>
      </c>
      <c r="F262">
        <v>1.6854</v>
      </c>
      <c r="G262">
        <v>1.6854</v>
      </c>
      <c r="H262">
        <v>1.6854</v>
      </c>
      <c r="I262">
        <v>1.6854</v>
      </c>
      <c r="J262">
        <v>1.6854</v>
      </c>
      <c r="L262">
        <f t="shared" si="3"/>
        <v>1685.4</v>
      </c>
      <c r="M262">
        <f t="shared" si="2"/>
        <v>1685.4</v>
      </c>
      <c r="N262">
        <f t="shared" si="2"/>
        <v>1685.4</v>
      </c>
      <c r="O262">
        <f t="shared" si="2"/>
        <v>1685.4</v>
      </c>
      <c r="P262">
        <f t="shared" si="2"/>
        <v>1685.4</v>
      </c>
      <c r="Q262">
        <f t="shared" si="2"/>
        <v>1685.4</v>
      </c>
      <c r="R262">
        <f t="shared" si="2"/>
        <v>1685.4</v>
      </c>
      <c r="S262">
        <f t="shared" si="2"/>
        <v>1685.4</v>
      </c>
      <c r="T262">
        <f t="shared" si="2"/>
        <v>1685.4</v>
      </c>
    </row>
    <row r="263" spans="1:20" x14ac:dyDescent="0.4">
      <c r="A263">
        <v>2024</v>
      </c>
      <c r="B263">
        <v>2.1566999999999998</v>
      </c>
      <c r="C263">
        <v>2.1566999999999998</v>
      </c>
      <c r="D263">
        <v>2.1566999999999998</v>
      </c>
      <c r="E263">
        <v>2.1566999999999998</v>
      </c>
      <c r="F263">
        <v>2.1566999999999998</v>
      </c>
      <c r="G263">
        <v>2.1566999999999998</v>
      </c>
      <c r="H263">
        <v>2.1566999999999998</v>
      </c>
      <c r="I263">
        <v>2.1566999999999998</v>
      </c>
      <c r="J263">
        <v>2.1566999999999998</v>
      </c>
      <c r="L263">
        <f t="shared" si="3"/>
        <v>2156.6999999999998</v>
      </c>
      <c r="M263">
        <f t="shared" si="2"/>
        <v>2156.6999999999998</v>
      </c>
      <c r="N263">
        <f t="shared" si="2"/>
        <v>2156.6999999999998</v>
      </c>
      <c r="O263">
        <f t="shared" si="2"/>
        <v>2156.6999999999998</v>
      </c>
      <c r="P263">
        <f t="shared" si="2"/>
        <v>2156.6999999999998</v>
      </c>
      <c r="Q263">
        <f t="shared" si="2"/>
        <v>2156.6999999999998</v>
      </c>
      <c r="R263">
        <f t="shared" si="2"/>
        <v>2156.6999999999998</v>
      </c>
      <c r="S263">
        <f t="shared" si="2"/>
        <v>2156.6999999999998</v>
      </c>
      <c r="T263">
        <f t="shared" si="2"/>
        <v>2156.6999999999998</v>
      </c>
    </row>
    <row r="264" spans="1:20" x14ac:dyDescent="0.4">
      <c r="A264">
        <v>2025</v>
      </c>
      <c r="B264">
        <v>3.2250000000000001</v>
      </c>
      <c r="C264">
        <v>3.2250000000000001</v>
      </c>
      <c r="D264">
        <v>3.2250000000000001</v>
      </c>
      <c r="E264">
        <v>3.2250000000000001</v>
      </c>
      <c r="F264">
        <v>3.2250000000000001</v>
      </c>
      <c r="G264">
        <v>3.2250000000000001</v>
      </c>
      <c r="H264">
        <v>3.2250000000000001</v>
      </c>
      <c r="I264">
        <v>3.2250000000000001</v>
      </c>
      <c r="J264">
        <v>3.2250000000000001</v>
      </c>
      <c r="L264">
        <f t="shared" si="3"/>
        <v>3225</v>
      </c>
      <c r="M264">
        <f t="shared" si="2"/>
        <v>3225</v>
      </c>
      <c r="N264">
        <f t="shared" si="2"/>
        <v>3225</v>
      </c>
      <c r="O264">
        <f t="shared" si="2"/>
        <v>3225</v>
      </c>
      <c r="P264">
        <f t="shared" si="2"/>
        <v>3225</v>
      </c>
      <c r="Q264">
        <f t="shared" si="2"/>
        <v>3225</v>
      </c>
      <c r="R264">
        <f t="shared" si="2"/>
        <v>3225</v>
      </c>
      <c r="S264">
        <f t="shared" si="2"/>
        <v>3225</v>
      </c>
      <c r="T264">
        <f t="shared" si="2"/>
        <v>3225</v>
      </c>
    </row>
    <row r="265" spans="1:20" x14ac:dyDescent="0.4">
      <c r="A265">
        <v>2026</v>
      </c>
      <c r="B265">
        <v>3.2250000000000001</v>
      </c>
      <c r="C265">
        <v>3.2250000000000001</v>
      </c>
      <c r="D265">
        <v>3.2250000000000001</v>
      </c>
      <c r="E265">
        <v>3.2250000000000001</v>
      </c>
      <c r="F265">
        <v>3.2250000000000001</v>
      </c>
      <c r="G265">
        <v>3.2250000000000001</v>
      </c>
      <c r="H265">
        <v>3.2250000000000001</v>
      </c>
      <c r="I265">
        <v>3.2250000000000001</v>
      </c>
      <c r="J265">
        <v>3.2250000000000001</v>
      </c>
      <c r="L265">
        <f t="shared" si="3"/>
        <v>3225</v>
      </c>
      <c r="M265">
        <f t="shared" si="2"/>
        <v>3225</v>
      </c>
      <c r="N265">
        <f t="shared" si="2"/>
        <v>3225</v>
      </c>
      <c r="O265">
        <f t="shared" si="2"/>
        <v>3225</v>
      </c>
      <c r="P265">
        <f t="shared" si="2"/>
        <v>3225</v>
      </c>
      <c r="Q265">
        <f t="shared" si="2"/>
        <v>3225</v>
      </c>
      <c r="R265">
        <f t="shared" si="2"/>
        <v>3225</v>
      </c>
      <c r="S265">
        <f t="shared" si="2"/>
        <v>3225</v>
      </c>
      <c r="T265">
        <f t="shared" si="2"/>
        <v>3225</v>
      </c>
    </row>
    <row r="266" spans="1:20" x14ac:dyDescent="0.4">
      <c r="A266">
        <v>2027</v>
      </c>
      <c r="B266">
        <v>2.4</v>
      </c>
      <c r="C266">
        <v>2.4</v>
      </c>
      <c r="D266">
        <v>2.4</v>
      </c>
      <c r="E266">
        <v>2.4</v>
      </c>
      <c r="F266">
        <v>2.4</v>
      </c>
      <c r="G266">
        <v>2.4</v>
      </c>
      <c r="H266">
        <v>2.4</v>
      </c>
      <c r="I266">
        <v>2.4</v>
      </c>
      <c r="J266">
        <v>2.4</v>
      </c>
      <c r="L266">
        <f t="shared" si="3"/>
        <v>2400</v>
      </c>
      <c r="M266">
        <f t="shared" si="2"/>
        <v>2400</v>
      </c>
      <c r="N266">
        <f t="shared" si="2"/>
        <v>2400</v>
      </c>
      <c r="O266">
        <f t="shared" si="2"/>
        <v>2400</v>
      </c>
      <c r="P266">
        <f t="shared" si="2"/>
        <v>2400</v>
      </c>
      <c r="Q266">
        <f t="shared" si="2"/>
        <v>2400</v>
      </c>
      <c r="R266">
        <f t="shared" si="2"/>
        <v>2400</v>
      </c>
      <c r="S266">
        <f t="shared" si="2"/>
        <v>2400</v>
      </c>
      <c r="T266">
        <f t="shared" si="2"/>
        <v>2400</v>
      </c>
    </row>
    <row r="267" spans="1:20" x14ac:dyDescent="0.4">
      <c r="A267">
        <v>2028</v>
      </c>
      <c r="B267">
        <v>2.15</v>
      </c>
      <c r="C267">
        <v>2.15</v>
      </c>
      <c r="D267">
        <v>2.15</v>
      </c>
      <c r="E267">
        <v>2.15</v>
      </c>
      <c r="F267">
        <v>2.15</v>
      </c>
      <c r="G267">
        <v>2.15</v>
      </c>
      <c r="H267">
        <v>2.15</v>
      </c>
      <c r="I267">
        <v>2.15</v>
      </c>
      <c r="J267">
        <v>2.15</v>
      </c>
      <c r="L267">
        <f t="shared" si="3"/>
        <v>2150</v>
      </c>
      <c r="M267">
        <f t="shared" si="2"/>
        <v>2150</v>
      </c>
      <c r="N267">
        <f t="shared" si="2"/>
        <v>2150</v>
      </c>
      <c r="O267">
        <f t="shared" si="2"/>
        <v>2150</v>
      </c>
      <c r="P267">
        <f t="shared" si="2"/>
        <v>2150</v>
      </c>
      <c r="Q267">
        <f t="shared" si="2"/>
        <v>2150</v>
      </c>
      <c r="R267">
        <f t="shared" si="2"/>
        <v>2150</v>
      </c>
      <c r="S267">
        <f t="shared" si="2"/>
        <v>2150</v>
      </c>
      <c r="T267">
        <f t="shared" si="2"/>
        <v>2150</v>
      </c>
    </row>
    <row r="268" spans="1:20" x14ac:dyDescent="0.4">
      <c r="A268">
        <v>2029</v>
      </c>
      <c r="B268">
        <v>2.15</v>
      </c>
      <c r="C268">
        <v>2.15</v>
      </c>
      <c r="D268">
        <v>2.15</v>
      </c>
      <c r="E268">
        <v>2.15</v>
      </c>
      <c r="F268">
        <v>2.15</v>
      </c>
      <c r="G268">
        <v>2.15</v>
      </c>
      <c r="H268">
        <v>2.15</v>
      </c>
      <c r="I268">
        <v>2.15</v>
      </c>
      <c r="J268">
        <v>2.15</v>
      </c>
      <c r="L268">
        <f t="shared" si="3"/>
        <v>2150</v>
      </c>
      <c r="M268">
        <f t="shared" si="2"/>
        <v>2150</v>
      </c>
      <c r="N268">
        <f t="shared" si="2"/>
        <v>2150</v>
      </c>
      <c r="O268">
        <f t="shared" si="2"/>
        <v>2150</v>
      </c>
      <c r="P268">
        <f t="shared" si="2"/>
        <v>2150</v>
      </c>
      <c r="Q268">
        <f t="shared" si="2"/>
        <v>2150</v>
      </c>
      <c r="R268">
        <f t="shared" si="2"/>
        <v>2150</v>
      </c>
      <c r="S268">
        <f t="shared" si="2"/>
        <v>2150</v>
      </c>
      <c r="T268">
        <f t="shared" si="2"/>
        <v>2150</v>
      </c>
    </row>
    <row r="269" spans="1:20" x14ac:dyDescent="0.4">
      <c r="A269">
        <v>2030</v>
      </c>
      <c r="B269">
        <v>2.15</v>
      </c>
      <c r="C269">
        <v>2.15</v>
      </c>
      <c r="D269">
        <v>2.15</v>
      </c>
      <c r="E269">
        <v>2.15</v>
      </c>
      <c r="F269">
        <v>2.15</v>
      </c>
      <c r="G269">
        <v>2.15</v>
      </c>
      <c r="H269">
        <v>2.15</v>
      </c>
      <c r="I269">
        <v>2.15</v>
      </c>
      <c r="J269">
        <v>2.15</v>
      </c>
      <c r="L269">
        <f t="shared" si="3"/>
        <v>2150</v>
      </c>
      <c r="M269">
        <f t="shared" si="2"/>
        <v>2150</v>
      </c>
      <c r="N269">
        <f t="shared" si="2"/>
        <v>2150</v>
      </c>
      <c r="O269">
        <f t="shared" si="2"/>
        <v>2150</v>
      </c>
      <c r="P269">
        <f t="shared" si="2"/>
        <v>2150</v>
      </c>
      <c r="Q269">
        <f t="shared" si="2"/>
        <v>2150</v>
      </c>
      <c r="R269">
        <f t="shared" si="2"/>
        <v>2150</v>
      </c>
      <c r="S269">
        <f t="shared" si="2"/>
        <v>2150</v>
      </c>
      <c r="T269">
        <f t="shared" si="2"/>
        <v>2150</v>
      </c>
    </row>
    <row r="270" spans="1:20" x14ac:dyDescent="0.4">
      <c r="A270">
        <v>2031</v>
      </c>
      <c r="B270">
        <v>2.15</v>
      </c>
      <c r="C270">
        <v>2.15</v>
      </c>
      <c r="D270">
        <v>2.15</v>
      </c>
      <c r="E270">
        <v>2.15</v>
      </c>
      <c r="F270">
        <v>2.15</v>
      </c>
      <c r="G270">
        <v>2.15</v>
      </c>
      <c r="H270">
        <v>2.15</v>
      </c>
      <c r="I270">
        <v>2.15</v>
      </c>
      <c r="J270">
        <v>2.15</v>
      </c>
      <c r="L270">
        <f t="shared" si="3"/>
        <v>2150</v>
      </c>
      <c r="M270">
        <f t="shared" si="2"/>
        <v>2150</v>
      </c>
      <c r="N270">
        <f t="shared" si="2"/>
        <v>2150</v>
      </c>
      <c r="O270">
        <f t="shared" si="2"/>
        <v>2150</v>
      </c>
      <c r="P270">
        <f t="shared" si="2"/>
        <v>2150</v>
      </c>
      <c r="Q270">
        <f t="shared" si="2"/>
        <v>2150</v>
      </c>
      <c r="R270">
        <f t="shared" si="2"/>
        <v>2150</v>
      </c>
      <c r="S270">
        <f t="shared" si="2"/>
        <v>2150</v>
      </c>
      <c r="T270">
        <f t="shared" si="2"/>
        <v>2150</v>
      </c>
    </row>
    <row r="271" spans="1:20" x14ac:dyDescent="0.4">
      <c r="A271">
        <v>2032</v>
      </c>
      <c r="B271">
        <v>2.15</v>
      </c>
      <c r="C271">
        <v>2.15</v>
      </c>
      <c r="D271">
        <v>2.15</v>
      </c>
      <c r="E271">
        <v>2.15</v>
      </c>
      <c r="F271">
        <v>2.15</v>
      </c>
      <c r="G271">
        <v>2.15</v>
      </c>
      <c r="H271">
        <v>2.15</v>
      </c>
      <c r="I271">
        <v>2.15</v>
      </c>
      <c r="J271">
        <v>2.15</v>
      </c>
      <c r="L271">
        <f t="shared" si="3"/>
        <v>2150</v>
      </c>
      <c r="M271">
        <f t="shared" si="2"/>
        <v>2150</v>
      </c>
      <c r="N271">
        <f t="shared" si="2"/>
        <v>2150</v>
      </c>
      <c r="O271">
        <f t="shared" si="2"/>
        <v>2150</v>
      </c>
      <c r="P271">
        <f t="shared" si="2"/>
        <v>2150</v>
      </c>
      <c r="Q271">
        <f t="shared" si="2"/>
        <v>2150</v>
      </c>
      <c r="R271">
        <f t="shared" si="2"/>
        <v>2150</v>
      </c>
      <c r="S271">
        <f t="shared" si="2"/>
        <v>2150</v>
      </c>
      <c r="T271">
        <f t="shared" si="2"/>
        <v>2150</v>
      </c>
    </row>
    <row r="272" spans="1:20" x14ac:dyDescent="0.4">
      <c r="A272">
        <v>2033</v>
      </c>
      <c r="B272">
        <v>2.15</v>
      </c>
      <c r="C272">
        <v>2.15</v>
      </c>
      <c r="D272">
        <v>2.15</v>
      </c>
      <c r="E272">
        <v>2.15</v>
      </c>
      <c r="F272">
        <v>2.15</v>
      </c>
      <c r="G272">
        <v>2.15</v>
      </c>
      <c r="H272">
        <v>2.15</v>
      </c>
      <c r="I272">
        <v>2.15</v>
      </c>
      <c r="J272">
        <v>2.15</v>
      </c>
      <c r="L272">
        <f t="shared" si="3"/>
        <v>2150</v>
      </c>
      <c r="M272">
        <f t="shared" si="2"/>
        <v>2150</v>
      </c>
      <c r="N272">
        <f t="shared" si="2"/>
        <v>2150</v>
      </c>
      <c r="O272">
        <f t="shared" si="2"/>
        <v>2150</v>
      </c>
      <c r="P272">
        <f t="shared" si="2"/>
        <v>2150</v>
      </c>
      <c r="Q272">
        <f t="shared" si="2"/>
        <v>2150</v>
      </c>
      <c r="R272">
        <f t="shared" si="2"/>
        <v>2150</v>
      </c>
      <c r="S272">
        <f t="shared" si="2"/>
        <v>2150</v>
      </c>
      <c r="T272">
        <f t="shared" si="2"/>
        <v>2150</v>
      </c>
    </row>
    <row r="273" spans="1:20" x14ac:dyDescent="0.4">
      <c r="A273">
        <v>2034</v>
      </c>
      <c r="B273">
        <v>2.15</v>
      </c>
      <c r="C273">
        <v>2.15</v>
      </c>
      <c r="D273">
        <v>2.15</v>
      </c>
      <c r="E273">
        <v>2.15</v>
      </c>
      <c r="F273">
        <v>2.15</v>
      </c>
      <c r="G273">
        <v>2.15</v>
      </c>
      <c r="H273">
        <v>2.15</v>
      </c>
      <c r="I273">
        <v>2.15</v>
      </c>
      <c r="J273">
        <v>2.15</v>
      </c>
      <c r="L273">
        <f t="shared" si="3"/>
        <v>2150</v>
      </c>
      <c r="M273">
        <f t="shared" si="2"/>
        <v>2150</v>
      </c>
      <c r="N273">
        <f t="shared" si="2"/>
        <v>2150</v>
      </c>
      <c r="O273">
        <f t="shared" si="2"/>
        <v>2150</v>
      </c>
      <c r="P273">
        <f t="shared" si="2"/>
        <v>2150</v>
      </c>
      <c r="Q273">
        <f t="shared" si="2"/>
        <v>2150</v>
      </c>
      <c r="R273">
        <f t="shared" si="2"/>
        <v>2150</v>
      </c>
      <c r="S273">
        <f t="shared" si="2"/>
        <v>2150</v>
      </c>
      <c r="T273">
        <f t="shared" si="2"/>
        <v>2150</v>
      </c>
    </row>
    <row r="275" spans="1:20" x14ac:dyDescent="0.4">
      <c r="A275" t="s">
        <v>26</v>
      </c>
      <c r="B275" t="s">
        <v>25</v>
      </c>
      <c r="C275" t="s">
        <v>24</v>
      </c>
    </row>
    <row r="277" spans="1:20" x14ac:dyDescent="0.4">
      <c r="A277" t="s">
        <v>22</v>
      </c>
      <c r="B277" t="s">
        <v>34</v>
      </c>
      <c r="C277" t="s">
        <v>33</v>
      </c>
    </row>
    <row r="278" spans="1:20" x14ac:dyDescent="0.4">
      <c r="A278">
        <v>2021</v>
      </c>
      <c r="B278">
        <v>0.52710000000000001</v>
      </c>
      <c r="C278">
        <v>9.4799999999999995E-2</v>
      </c>
    </row>
    <row r="279" spans="1:20" x14ac:dyDescent="0.4">
      <c r="A279">
        <v>2022</v>
      </c>
      <c r="B279">
        <v>0.37269999999999998</v>
      </c>
      <c r="C279">
        <v>7.4999999999999997E-2</v>
      </c>
    </row>
    <row r="280" spans="1:20" x14ac:dyDescent="0.4">
      <c r="A280">
        <v>2023</v>
      </c>
      <c r="B280">
        <v>0.38159999999999999</v>
      </c>
      <c r="C280">
        <v>9.0999999999999998E-2</v>
      </c>
    </row>
    <row r="281" spans="1:20" x14ac:dyDescent="0.4">
      <c r="A281">
        <v>2024</v>
      </c>
      <c r="B281">
        <v>0.42399999999999999</v>
      </c>
      <c r="C281">
        <v>0.1206</v>
      </c>
    </row>
    <row r="282" spans="1:20" x14ac:dyDescent="0.4">
      <c r="A282">
        <v>2025</v>
      </c>
      <c r="B282">
        <v>0.69899999999999995</v>
      </c>
      <c r="C282">
        <v>0.2712</v>
      </c>
    </row>
    <row r="283" spans="1:20" x14ac:dyDescent="0.4">
      <c r="A283">
        <v>2026</v>
      </c>
      <c r="B283">
        <v>0.90090000000000003</v>
      </c>
      <c r="C283">
        <v>0.56779999999999997</v>
      </c>
    </row>
    <row r="284" spans="1:20" x14ac:dyDescent="0.4">
      <c r="A284">
        <v>2027</v>
      </c>
      <c r="B284">
        <v>0.78490000000000004</v>
      </c>
      <c r="C284">
        <v>0.6421</v>
      </c>
    </row>
    <row r="285" spans="1:20" x14ac:dyDescent="0.4">
      <c r="A285">
        <v>2028</v>
      </c>
      <c r="B285">
        <v>0.69040000000000001</v>
      </c>
      <c r="C285">
        <v>0.55289999999999995</v>
      </c>
    </row>
    <row r="286" spans="1:20" x14ac:dyDescent="0.4">
      <c r="A286">
        <v>2029</v>
      </c>
      <c r="B286">
        <v>0.66520000000000001</v>
      </c>
      <c r="C286">
        <v>0.5403</v>
      </c>
    </row>
    <row r="287" spans="1:20" x14ac:dyDescent="0.4">
      <c r="A287">
        <v>2030</v>
      </c>
      <c r="B287">
        <v>0.64410000000000001</v>
      </c>
      <c r="C287">
        <v>0.52059999999999995</v>
      </c>
    </row>
    <row r="288" spans="1:20" x14ac:dyDescent="0.4">
      <c r="A288">
        <v>2031</v>
      </c>
      <c r="B288">
        <v>0.62739999999999996</v>
      </c>
      <c r="C288">
        <v>0.49940000000000001</v>
      </c>
    </row>
    <row r="289" spans="1:21" x14ac:dyDescent="0.4">
      <c r="A289">
        <v>2032</v>
      </c>
      <c r="B289">
        <v>0.61319999999999997</v>
      </c>
      <c r="C289">
        <v>0.46949999999999997</v>
      </c>
    </row>
    <row r="290" spans="1:21" x14ac:dyDescent="0.4">
      <c r="A290">
        <v>2033</v>
      </c>
      <c r="B290">
        <v>0.60309999999999997</v>
      </c>
      <c r="C290">
        <v>0.45129999999999998</v>
      </c>
    </row>
    <row r="291" spans="1:21" x14ac:dyDescent="0.4">
      <c r="A291">
        <v>2034</v>
      </c>
      <c r="B291">
        <v>0.59589999999999999</v>
      </c>
      <c r="C291">
        <v>0.4425</v>
      </c>
    </row>
    <row r="293" spans="1:21" x14ac:dyDescent="0.4">
      <c r="A293" t="s">
        <v>26</v>
      </c>
      <c r="B293" t="s">
        <v>25</v>
      </c>
      <c r="C293" t="s">
        <v>24</v>
      </c>
      <c r="D293" t="s">
        <v>32</v>
      </c>
    </row>
    <row r="295" spans="1:21" x14ac:dyDescent="0.4">
      <c r="A295" t="s">
        <v>22</v>
      </c>
      <c r="B295" s="2">
        <v>0.01</v>
      </c>
      <c r="C295" s="2">
        <v>0.05</v>
      </c>
      <c r="D295" s="2">
        <v>0.1</v>
      </c>
      <c r="E295" s="2">
        <v>0.25</v>
      </c>
      <c r="F295" s="2">
        <v>0.5</v>
      </c>
      <c r="G295" s="2">
        <v>0.75</v>
      </c>
      <c r="H295" s="2">
        <v>0.9</v>
      </c>
      <c r="I295" s="2">
        <v>0.95</v>
      </c>
      <c r="J295" s="2">
        <v>0.99</v>
      </c>
      <c r="L295" t="s">
        <v>22</v>
      </c>
      <c r="M295" s="2">
        <v>0.01</v>
      </c>
      <c r="N295" s="2">
        <v>0.05</v>
      </c>
      <c r="O295" s="2">
        <v>0.1</v>
      </c>
      <c r="P295" s="2">
        <v>0.25</v>
      </c>
      <c r="Q295" s="2">
        <v>0.5</v>
      </c>
      <c r="R295" s="2">
        <v>0.75</v>
      </c>
      <c r="S295" s="2">
        <v>0.9</v>
      </c>
      <c r="T295" s="2">
        <v>0.95</v>
      </c>
      <c r="U295" s="2">
        <v>0.99</v>
      </c>
    </row>
    <row r="296" spans="1:21" x14ac:dyDescent="0.4">
      <c r="A296">
        <v>2021</v>
      </c>
      <c r="B296">
        <v>0.28339999999999999</v>
      </c>
      <c r="C296">
        <v>0.38690000000000002</v>
      </c>
      <c r="D296">
        <v>0.41820000000000002</v>
      </c>
      <c r="E296">
        <v>0.46350000000000002</v>
      </c>
      <c r="F296">
        <v>0.52500000000000002</v>
      </c>
      <c r="G296">
        <v>0.58330000000000004</v>
      </c>
      <c r="H296">
        <v>0.63719999999999999</v>
      </c>
      <c r="I296">
        <v>0.67279999999999995</v>
      </c>
      <c r="J296">
        <v>0.82879999999999998</v>
      </c>
      <c r="L296">
        <v>2021</v>
      </c>
      <c r="M296" s="14">
        <f>B296*0.63</f>
        <v>0.17854199999999998</v>
      </c>
      <c r="N296" s="14">
        <f t="shared" ref="N296:U309" si="4">C296*0.63</f>
        <v>0.24374700000000002</v>
      </c>
      <c r="O296" s="14">
        <f t="shared" si="4"/>
        <v>0.26346600000000003</v>
      </c>
      <c r="P296" s="14">
        <f t="shared" si="4"/>
        <v>0.29200500000000001</v>
      </c>
      <c r="Q296" s="14">
        <f t="shared" si="4"/>
        <v>0.33075000000000004</v>
      </c>
      <c r="R296" s="14">
        <f t="shared" si="4"/>
        <v>0.36747900000000006</v>
      </c>
      <c r="S296" s="14">
        <f t="shared" si="4"/>
        <v>0.40143600000000002</v>
      </c>
      <c r="T296" s="14">
        <f t="shared" si="4"/>
        <v>0.42386399999999996</v>
      </c>
      <c r="U296" s="14">
        <f t="shared" si="4"/>
        <v>0.52214399999999994</v>
      </c>
    </row>
    <row r="297" spans="1:21" x14ac:dyDescent="0.4">
      <c r="A297">
        <v>2022</v>
      </c>
      <c r="B297">
        <v>0.22600000000000001</v>
      </c>
      <c r="C297">
        <v>0.2606</v>
      </c>
      <c r="D297">
        <v>0.28079999999999999</v>
      </c>
      <c r="E297">
        <v>0.32500000000000001</v>
      </c>
      <c r="F297">
        <v>0.36370000000000002</v>
      </c>
      <c r="G297">
        <v>0.41489999999999999</v>
      </c>
      <c r="H297">
        <v>0.47299999999999998</v>
      </c>
      <c r="I297">
        <v>0.51100000000000001</v>
      </c>
      <c r="J297">
        <v>0.58760000000000001</v>
      </c>
      <c r="L297">
        <v>2022</v>
      </c>
      <c r="M297" s="14">
        <f t="shared" ref="M297:M309" si="5">B297*0.63</f>
        <v>0.14238000000000001</v>
      </c>
      <c r="N297" s="14">
        <f t="shared" si="4"/>
        <v>0.16417799999999999</v>
      </c>
      <c r="O297" s="14">
        <f t="shared" si="4"/>
        <v>0.17690400000000001</v>
      </c>
      <c r="P297" s="14">
        <f t="shared" si="4"/>
        <v>0.20475000000000002</v>
      </c>
      <c r="Q297" s="14">
        <f t="shared" si="4"/>
        <v>0.22913100000000003</v>
      </c>
      <c r="R297" s="14">
        <f t="shared" si="4"/>
        <v>0.26138699999999998</v>
      </c>
      <c r="S297" s="14">
        <f t="shared" si="4"/>
        <v>0.29798999999999998</v>
      </c>
      <c r="T297" s="14">
        <f t="shared" si="4"/>
        <v>0.32192999999999999</v>
      </c>
      <c r="U297" s="14">
        <f t="shared" si="4"/>
        <v>0.37018800000000002</v>
      </c>
    </row>
    <row r="298" spans="1:21" x14ac:dyDescent="0.4">
      <c r="A298">
        <v>2023</v>
      </c>
      <c r="B298">
        <v>0.22309999999999999</v>
      </c>
      <c r="C298">
        <v>0.2555</v>
      </c>
      <c r="D298">
        <v>0.27660000000000001</v>
      </c>
      <c r="E298">
        <v>0.31759999999999999</v>
      </c>
      <c r="F298">
        <v>0.36919999999999997</v>
      </c>
      <c r="G298">
        <v>0.43159999999999998</v>
      </c>
      <c r="H298">
        <v>0.50339999999999996</v>
      </c>
      <c r="I298">
        <v>0.55130000000000001</v>
      </c>
      <c r="J298">
        <v>0.65029999999999999</v>
      </c>
      <c r="L298">
        <v>2023</v>
      </c>
      <c r="M298" s="14">
        <f t="shared" si="5"/>
        <v>0.14055299999999998</v>
      </c>
      <c r="N298" s="14">
        <f t="shared" si="4"/>
        <v>0.160965</v>
      </c>
      <c r="O298" s="14">
        <f t="shared" si="4"/>
        <v>0.174258</v>
      </c>
      <c r="P298" s="14">
        <f t="shared" si="4"/>
        <v>0.20008799999999999</v>
      </c>
      <c r="Q298" s="14">
        <f t="shared" si="4"/>
        <v>0.232596</v>
      </c>
      <c r="R298" s="14">
        <f t="shared" si="4"/>
        <v>0.27190799999999998</v>
      </c>
      <c r="S298" s="14">
        <f t="shared" si="4"/>
        <v>0.31714199999999998</v>
      </c>
      <c r="T298" s="14">
        <f t="shared" si="4"/>
        <v>0.34731899999999999</v>
      </c>
      <c r="U298" s="14">
        <f t="shared" si="4"/>
        <v>0.40968899999999997</v>
      </c>
    </row>
    <row r="299" spans="1:21" x14ac:dyDescent="0.4">
      <c r="A299">
        <v>2024</v>
      </c>
      <c r="B299">
        <v>0.23200000000000001</v>
      </c>
      <c r="C299">
        <v>0.27079999999999999</v>
      </c>
      <c r="D299">
        <v>0.29409999999999997</v>
      </c>
      <c r="E299">
        <v>0.33929999999999999</v>
      </c>
      <c r="F299">
        <v>0.40300000000000002</v>
      </c>
      <c r="G299">
        <v>0.48570000000000002</v>
      </c>
      <c r="H299">
        <v>0.58120000000000005</v>
      </c>
      <c r="I299">
        <v>0.65100000000000002</v>
      </c>
      <c r="J299">
        <v>0.80769999999999997</v>
      </c>
      <c r="L299">
        <v>2024</v>
      </c>
      <c r="M299" s="14">
        <f t="shared" si="5"/>
        <v>0.14616000000000001</v>
      </c>
      <c r="N299" s="14">
        <f t="shared" si="4"/>
        <v>0.17060400000000001</v>
      </c>
      <c r="O299" s="14">
        <f t="shared" si="4"/>
        <v>0.18528299999999998</v>
      </c>
      <c r="P299" s="14">
        <f t="shared" si="4"/>
        <v>0.213759</v>
      </c>
      <c r="Q299" s="14">
        <f t="shared" si="4"/>
        <v>0.25389</v>
      </c>
      <c r="R299" s="14">
        <f t="shared" si="4"/>
        <v>0.30599100000000001</v>
      </c>
      <c r="S299" s="14">
        <f t="shared" si="4"/>
        <v>0.36615600000000004</v>
      </c>
      <c r="T299" s="14">
        <f t="shared" si="4"/>
        <v>0.41012999999999999</v>
      </c>
      <c r="U299" s="14">
        <f t="shared" si="4"/>
        <v>0.50885099999999994</v>
      </c>
    </row>
    <row r="300" spans="1:21" x14ac:dyDescent="0.4">
      <c r="A300">
        <v>2025</v>
      </c>
      <c r="B300">
        <v>0.3337</v>
      </c>
      <c r="C300">
        <v>0.40160000000000001</v>
      </c>
      <c r="D300">
        <v>0.44030000000000002</v>
      </c>
      <c r="E300">
        <v>0.51970000000000005</v>
      </c>
      <c r="F300">
        <v>0.63800000000000001</v>
      </c>
      <c r="G300">
        <v>0.80710000000000004</v>
      </c>
      <c r="H300">
        <v>1.0230999999999999</v>
      </c>
      <c r="I300">
        <v>1.2010000000000001</v>
      </c>
      <c r="J300">
        <v>1.6627000000000001</v>
      </c>
      <c r="L300">
        <v>2025</v>
      </c>
      <c r="M300" s="14">
        <f t="shared" si="5"/>
        <v>0.210231</v>
      </c>
      <c r="N300" s="14">
        <f t="shared" si="4"/>
        <v>0.25300800000000001</v>
      </c>
      <c r="O300" s="14">
        <f t="shared" si="4"/>
        <v>0.277389</v>
      </c>
      <c r="P300" s="14">
        <f t="shared" si="4"/>
        <v>0.32741100000000001</v>
      </c>
      <c r="Q300" s="14">
        <f t="shared" si="4"/>
        <v>0.40194000000000002</v>
      </c>
      <c r="R300" s="14">
        <f t="shared" si="4"/>
        <v>0.50847300000000006</v>
      </c>
      <c r="S300" s="14">
        <f t="shared" si="4"/>
        <v>0.64455299999999993</v>
      </c>
      <c r="T300" s="14">
        <f t="shared" si="4"/>
        <v>0.75663000000000002</v>
      </c>
      <c r="U300" s="14">
        <f t="shared" si="4"/>
        <v>1.047501</v>
      </c>
    </row>
    <row r="301" spans="1:21" x14ac:dyDescent="0.4">
      <c r="A301">
        <v>2026</v>
      </c>
      <c r="B301">
        <v>0.35060000000000002</v>
      </c>
      <c r="C301">
        <v>0.43759999999999999</v>
      </c>
      <c r="D301">
        <v>0.48859999999999998</v>
      </c>
      <c r="E301">
        <v>0.59440000000000004</v>
      </c>
      <c r="F301">
        <v>0.76139999999999997</v>
      </c>
      <c r="G301">
        <v>1.0246999999999999</v>
      </c>
      <c r="H301">
        <v>1.4207000000000001</v>
      </c>
      <c r="I301">
        <v>1.7906</v>
      </c>
      <c r="J301">
        <v>3.0304000000000002</v>
      </c>
      <c r="L301">
        <v>2026</v>
      </c>
      <c r="M301" s="14">
        <f t="shared" si="5"/>
        <v>0.22087800000000002</v>
      </c>
      <c r="N301" s="14">
        <f t="shared" si="4"/>
        <v>0.27568799999999999</v>
      </c>
      <c r="O301" s="14">
        <f t="shared" si="4"/>
        <v>0.30781799999999998</v>
      </c>
      <c r="P301" s="14">
        <f t="shared" si="4"/>
        <v>0.37447200000000003</v>
      </c>
      <c r="Q301" s="14">
        <f t="shared" si="4"/>
        <v>0.479682</v>
      </c>
      <c r="R301" s="14">
        <f t="shared" si="4"/>
        <v>0.64556099999999994</v>
      </c>
      <c r="S301" s="14">
        <f t="shared" si="4"/>
        <v>0.89504100000000009</v>
      </c>
      <c r="T301" s="14">
        <f t="shared" si="4"/>
        <v>1.1280779999999999</v>
      </c>
      <c r="U301" s="14">
        <f t="shared" si="4"/>
        <v>1.9091520000000002</v>
      </c>
    </row>
    <row r="302" spans="1:21" x14ac:dyDescent="0.4">
      <c r="A302">
        <v>2027</v>
      </c>
      <c r="B302">
        <v>0.26579999999999998</v>
      </c>
      <c r="C302">
        <v>0.33929999999999999</v>
      </c>
      <c r="D302">
        <v>0.38290000000000002</v>
      </c>
      <c r="E302">
        <v>0.4748</v>
      </c>
      <c r="F302">
        <v>0.62460000000000004</v>
      </c>
      <c r="G302">
        <v>0.87339999999999995</v>
      </c>
      <c r="H302">
        <v>1.2883</v>
      </c>
      <c r="I302">
        <v>1.6968000000000001</v>
      </c>
      <c r="J302">
        <v>3.3209</v>
      </c>
      <c r="L302">
        <v>2027</v>
      </c>
      <c r="M302" s="14">
        <f t="shared" si="5"/>
        <v>0.16745399999999999</v>
      </c>
      <c r="N302" s="14">
        <f t="shared" si="4"/>
        <v>0.213759</v>
      </c>
      <c r="O302" s="14">
        <f t="shared" si="4"/>
        <v>0.24122700000000002</v>
      </c>
      <c r="P302" s="14">
        <f t="shared" si="4"/>
        <v>0.299124</v>
      </c>
      <c r="Q302" s="14">
        <f t="shared" si="4"/>
        <v>0.39349800000000001</v>
      </c>
      <c r="R302" s="14">
        <f t="shared" si="4"/>
        <v>0.55024200000000001</v>
      </c>
      <c r="S302" s="14">
        <f t="shared" si="4"/>
        <v>0.81162900000000004</v>
      </c>
      <c r="T302" s="14">
        <f t="shared" si="4"/>
        <v>1.0689840000000002</v>
      </c>
      <c r="U302" s="14">
        <f t="shared" si="4"/>
        <v>2.0921669999999999</v>
      </c>
    </row>
    <row r="303" spans="1:21" x14ac:dyDescent="0.4">
      <c r="A303">
        <v>2028</v>
      </c>
      <c r="B303">
        <v>0.2354</v>
      </c>
      <c r="C303">
        <v>0.2984</v>
      </c>
      <c r="D303">
        <v>0.3367</v>
      </c>
      <c r="E303">
        <v>0.41770000000000002</v>
      </c>
      <c r="F303">
        <v>0.54949999999999999</v>
      </c>
      <c r="G303">
        <v>0.77139999999999997</v>
      </c>
      <c r="H303">
        <v>1.1295999999999999</v>
      </c>
      <c r="I303">
        <v>1.5006999999999999</v>
      </c>
      <c r="J303">
        <v>2.9277000000000002</v>
      </c>
      <c r="L303">
        <v>2028</v>
      </c>
      <c r="M303" s="14">
        <f t="shared" si="5"/>
        <v>0.14830199999999999</v>
      </c>
      <c r="N303" s="14">
        <f t="shared" si="4"/>
        <v>0.18799199999999999</v>
      </c>
      <c r="O303" s="14">
        <f t="shared" si="4"/>
        <v>0.212121</v>
      </c>
      <c r="P303" s="14">
        <f t="shared" si="4"/>
        <v>0.26315100000000002</v>
      </c>
      <c r="Q303" s="14">
        <f t="shared" si="4"/>
        <v>0.34618500000000002</v>
      </c>
      <c r="R303" s="14">
        <f t="shared" si="4"/>
        <v>0.48598199999999997</v>
      </c>
      <c r="S303" s="14">
        <f t="shared" si="4"/>
        <v>0.71164799999999995</v>
      </c>
      <c r="T303" s="14">
        <f t="shared" si="4"/>
        <v>0.94544099999999998</v>
      </c>
      <c r="U303" s="14">
        <f t="shared" si="4"/>
        <v>1.8444510000000001</v>
      </c>
    </row>
    <row r="304" spans="1:21" x14ac:dyDescent="0.4">
      <c r="A304">
        <v>2029</v>
      </c>
      <c r="B304">
        <v>0.2319</v>
      </c>
      <c r="C304">
        <v>0.29170000000000001</v>
      </c>
      <c r="D304">
        <v>0.32850000000000001</v>
      </c>
      <c r="E304">
        <v>0.40629999999999999</v>
      </c>
      <c r="F304">
        <v>0.53210000000000002</v>
      </c>
      <c r="G304">
        <v>0.7429</v>
      </c>
      <c r="H304">
        <v>1.0746</v>
      </c>
      <c r="I304">
        <v>1.4213</v>
      </c>
      <c r="J304">
        <v>2.7376999999999998</v>
      </c>
      <c r="L304">
        <v>2029</v>
      </c>
      <c r="M304" s="14">
        <f t="shared" si="5"/>
        <v>0.146097</v>
      </c>
      <c r="N304" s="14">
        <f t="shared" si="4"/>
        <v>0.18377100000000002</v>
      </c>
      <c r="O304" s="14">
        <f t="shared" si="4"/>
        <v>0.206955</v>
      </c>
      <c r="P304" s="14">
        <f t="shared" si="4"/>
        <v>0.255969</v>
      </c>
      <c r="Q304" s="14">
        <f t="shared" si="4"/>
        <v>0.33522299999999999</v>
      </c>
      <c r="R304" s="14">
        <f t="shared" si="4"/>
        <v>0.46802700000000003</v>
      </c>
      <c r="S304" s="14">
        <f t="shared" si="4"/>
        <v>0.67699799999999999</v>
      </c>
      <c r="T304" s="14">
        <f t="shared" si="4"/>
        <v>0.89541899999999996</v>
      </c>
      <c r="U304" s="14">
        <f t="shared" si="4"/>
        <v>1.7247509999999999</v>
      </c>
    </row>
    <row r="305" spans="1:21" x14ac:dyDescent="0.4">
      <c r="A305">
        <v>2030</v>
      </c>
      <c r="B305">
        <v>0.22750000000000001</v>
      </c>
      <c r="C305">
        <v>0.28589999999999999</v>
      </c>
      <c r="D305">
        <v>0.32179999999999997</v>
      </c>
      <c r="E305">
        <v>0.3972</v>
      </c>
      <c r="F305">
        <v>0.51890000000000003</v>
      </c>
      <c r="G305">
        <v>0.71760000000000002</v>
      </c>
      <c r="H305">
        <v>1.0335000000000001</v>
      </c>
      <c r="I305">
        <v>1.3577999999999999</v>
      </c>
      <c r="J305">
        <v>2.6114999999999999</v>
      </c>
      <c r="L305">
        <v>2030</v>
      </c>
      <c r="M305" s="14">
        <f t="shared" si="5"/>
        <v>0.14332500000000001</v>
      </c>
      <c r="N305" s="14">
        <f t="shared" si="4"/>
        <v>0.180117</v>
      </c>
      <c r="O305" s="14">
        <f t="shared" si="4"/>
        <v>0.202734</v>
      </c>
      <c r="P305" s="14">
        <f t="shared" si="4"/>
        <v>0.25023600000000001</v>
      </c>
      <c r="Q305" s="14">
        <f t="shared" si="4"/>
        <v>0.326907</v>
      </c>
      <c r="R305" s="14">
        <f t="shared" si="4"/>
        <v>0.45208799999999999</v>
      </c>
      <c r="S305" s="14">
        <f t="shared" si="4"/>
        <v>0.65110500000000004</v>
      </c>
      <c r="T305" s="14">
        <f t="shared" si="4"/>
        <v>0.8554139999999999</v>
      </c>
      <c r="U305" s="14">
        <f t="shared" si="4"/>
        <v>1.6452450000000001</v>
      </c>
    </row>
    <row r="306" spans="1:21" x14ac:dyDescent="0.4">
      <c r="A306">
        <v>2031</v>
      </c>
      <c r="B306">
        <v>0.22520000000000001</v>
      </c>
      <c r="C306">
        <v>0.28270000000000001</v>
      </c>
      <c r="D306">
        <v>0.31730000000000003</v>
      </c>
      <c r="E306">
        <v>0.3901</v>
      </c>
      <c r="F306">
        <v>0.50849999999999995</v>
      </c>
      <c r="G306">
        <v>0.69830000000000003</v>
      </c>
      <c r="H306">
        <v>1</v>
      </c>
      <c r="I306">
        <v>1.3115000000000001</v>
      </c>
      <c r="J306">
        <v>2.5011000000000001</v>
      </c>
      <c r="L306">
        <v>2031</v>
      </c>
      <c r="M306" s="14">
        <f t="shared" si="5"/>
        <v>0.141876</v>
      </c>
      <c r="N306" s="14">
        <f t="shared" si="4"/>
        <v>0.17810100000000001</v>
      </c>
      <c r="O306" s="14">
        <f t="shared" si="4"/>
        <v>0.19989900000000002</v>
      </c>
      <c r="P306" s="14">
        <f t="shared" si="4"/>
        <v>0.24576300000000001</v>
      </c>
      <c r="Q306" s="14">
        <f t="shared" si="4"/>
        <v>0.32035499999999995</v>
      </c>
      <c r="R306" s="14">
        <f t="shared" si="4"/>
        <v>0.43992900000000001</v>
      </c>
      <c r="S306" s="14">
        <f t="shared" si="4"/>
        <v>0.63</v>
      </c>
      <c r="T306" s="14">
        <f t="shared" si="4"/>
        <v>0.82624500000000012</v>
      </c>
      <c r="U306" s="14">
        <f t="shared" si="4"/>
        <v>1.575693</v>
      </c>
    </row>
    <row r="307" spans="1:21" x14ac:dyDescent="0.4">
      <c r="A307">
        <v>2032</v>
      </c>
      <c r="B307">
        <v>0.223</v>
      </c>
      <c r="C307">
        <v>0.28089999999999998</v>
      </c>
      <c r="D307">
        <v>0.31430000000000002</v>
      </c>
      <c r="E307">
        <v>0.38490000000000002</v>
      </c>
      <c r="F307">
        <v>0.4995</v>
      </c>
      <c r="G307">
        <v>0.68630000000000002</v>
      </c>
      <c r="H307">
        <v>0.98440000000000005</v>
      </c>
      <c r="I307">
        <v>1.2726999999999999</v>
      </c>
      <c r="J307">
        <v>2.3866999999999998</v>
      </c>
      <c r="L307">
        <v>2032</v>
      </c>
      <c r="M307" s="14">
        <f t="shared" si="5"/>
        <v>0.14049</v>
      </c>
      <c r="N307" s="14">
        <f t="shared" si="4"/>
        <v>0.17696699999999999</v>
      </c>
      <c r="O307" s="14">
        <f t="shared" si="4"/>
        <v>0.19800900000000002</v>
      </c>
      <c r="P307" s="14">
        <f t="shared" si="4"/>
        <v>0.24248700000000001</v>
      </c>
      <c r="Q307" s="14">
        <f t="shared" si="4"/>
        <v>0.31468499999999999</v>
      </c>
      <c r="R307" s="14">
        <f t="shared" si="4"/>
        <v>0.432369</v>
      </c>
      <c r="S307" s="14">
        <f t="shared" si="4"/>
        <v>0.62017200000000006</v>
      </c>
      <c r="T307" s="14">
        <f t="shared" si="4"/>
        <v>0.80180099999999999</v>
      </c>
      <c r="U307" s="14">
        <f t="shared" si="4"/>
        <v>1.5036209999999999</v>
      </c>
    </row>
    <row r="308" spans="1:21" x14ac:dyDescent="0.4">
      <c r="A308">
        <v>2033</v>
      </c>
      <c r="B308">
        <v>0.2228</v>
      </c>
      <c r="C308">
        <v>0.27839999999999998</v>
      </c>
      <c r="D308">
        <v>0.31140000000000001</v>
      </c>
      <c r="E308">
        <v>0.38090000000000002</v>
      </c>
      <c r="F308">
        <v>0.49349999999999999</v>
      </c>
      <c r="G308">
        <v>0.67500000000000004</v>
      </c>
      <c r="H308">
        <v>0.96760000000000002</v>
      </c>
      <c r="I308">
        <v>1.2426999999999999</v>
      </c>
      <c r="J308">
        <v>2.3098000000000001</v>
      </c>
      <c r="L308">
        <v>2033</v>
      </c>
      <c r="M308" s="14">
        <f t="shared" si="5"/>
        <v>0.14036399999999999</v>
      </c>
      <c r="N308" s="14">
        <f t="shared" si="4"/>
        <v>0.17539199999999999</v>
      </c>
      <c r="O308" s="14">
        <f t="shared" si="4"/>
        <v>0.196182</v>
      </c>
      <c r="P308" s="14">
        <f t="shared" si="4"/>
        <v>0.23996700000000001</v>
      </c>
      <c r="Q308" s="14">
        <f t="shared" si="4"/>
        <v>0.31090499999999999</v>
      </c>
      <c r="R308" s="14">
        <f t="shared" si="4"/>
        <v>0.42525000000000002</v>
      </c>
      <c r="S308" s="14">
        <f t="shared" si="4"/>
        <v>0.60958800000000002</v>
      </c>
      <c r="T308" s="14">
        <f t="shared" si="4"/>
        <v>0.78290099999999996</v>
      </c>
      <c r="U308" s="14">
        <f t="shared" si="4"/>
        <v>1.455174</v>
      </c>
    </row>
    <row r="309" spans="1:21" x14ac:dyDescent="0.4">
      <c r="A309">
        <v>2034</v>
      </c>
      <c r="B309">
        <v>0.21990000000000001</v>
      </c>
      <c r="C309">
        <v>0.27660000000000001</v>
      </c>
      <c r="D309">
        <v>0.30940000000000001</v>
      </c>
      <c r="E309">
        <v>0.37780000000000002</v>
      </c>
      <c r="F309">
        <v>0.48930000000000001</v>
      </c>
      <c r="G309">
        <v>0.66900000000000004</v>
      </c>
      <c r="H309">
        <v>0.95540000000000003</v>
      </c>
      <c r="I309">
        <v>1.2177</v>
      </c>
      <c r="J309">
        <v>2.2425999999999999</v>
      </c>
      <c r="L309">
        <v>2034</v>
      </c>
      <c r="M309" s="14">
        <f t="shared" si="5"/>
        <v>0.13853700000000002</v>
      </c>
      <c r="N309" s="14">
        <f t="shared" si="4"/>
        <v>0.174258</v>
      </c>
      <c r="O309" s="14">
        <f t="shared" si="4"/>
        <v>0.19492200000000001</v>
      </c>
      <c r="P309" s="14">
        <f t="shared" si="4"/>
        <v>0.23801400000000003</v>
      </c>
      <c r="Q309" s="14">
        <f t="shared" si="4"/>
        <v>0.30825900000000001</v>
      </c>
      <c r="R309" s="14">
        <f t="shared" si="4"/>
        <v>0.42147000000000001</v>
      </c>
      <c r="S309" s="14">
        <f t="shared" si="4"/>
        <v>0.60190200000000005</v>
      </c>
      <c r="T309" s="14">
        <f t="shared" si="4"/>
        <v>0.76715100000000003</v>
      </c>
      <c r="U309" s="14">
        <f t="shared" si="4"/>
        <v>1.412838</v>
      </c>
    </row>
    <row r="311" spans="1:21" x14ac:dyDescent="0.4">
      <c r="A311" s="1">
        <v>45658</v>
      </c>
      <c r="B311" t="s">
        <v>3</v>
      </c>
      <c r="C311" t="s">
        <v>2</v>
      </c>
      <c r="D311" t="s">
        <v>1</v>
      </c>
      <c r="E311" t="s">
        <v>0</v>
      </c>
      <c r="F311" t="s">
        <v>31</v>
      </c>
      <c r="G311">
        <v>1000</v>
      </c>
      <c r="H311" t="s">
        <v>30</v>
      </c>
    </row>
    <row r="313" spans="1:21" x14ac:dyDescent="0.4">
      <c r="A313">
        <v>2021</v>
      </c>
    </row>
    <row r="315" spans="1:21" x14ac:dyDescent="0.4">
      <c r="A315" t="s">
        <v>0</v>
      </c>
      <c r="B315" s="2">
        <v>0.01</v>
      </c>
      <c r="C315" s="2">
        <v>0.05</v>
      </c>
      <c r="D315" s="2">
        <v>0.1</v>
      </c>
      <c r="E315" s="2">
        <v>0.25</v>
      </c>
      <c r="F315" s="2">
        <v>0.5</v>
      </c>
      <c r="G315" s="2">
        <v>0.75</v>
      </c>
      <c r="H315" s="2">
        <v>0.9</v>
      </c>
      <c r="I315" s="2">
        <v>0.95</v>
      </c>
      <c r="J315" s="2">
        <v>0.99</v>
      </c>
    </row>
    <row r="316" spans="1:21" x14ac:dyDescent="0.4">
      <c r="A316">
        <v>1</v>
      </c>
      <c r="B316">
        <v>140.23699999999999</v>
      </c>
      <c r="C316">
        <v>175.09</v>
      </c>
      <c r="D316">
        <v>184.83199999999999</v>
      </c>
      <c r="E316">
        <v>216.71299999999999</v>
      </c>
      <c r="F316">
        <v>261.14800000000002</v>
      </c>
      <c r="G316">
        <v>317.36900000000003</v>
      </c>
      <c r="H316">
        <v>385.62900000000002</v>
      </c>
      <c r="I316">
        <v>409.50799999999998</v>
      </c>
      <c r="J316">
        <v>464.92500000000001</v>
      </c>
    </row>
    <row r="317" spans="1:21" x14ac:dyDescent="0.4">
      <c r="A317">
        <v>2</v>
      </c>
      <c r="B317">
        <v>58.938899999999997</v>
      </c>
      <c r="C317">
        <v>77.947699999999998</v>
      </c>
      <c r="D317">
        <v>80.861999999999995</v>
      </c>
      <c r="E317">
        <v>85.445099999999996</v>
      </c>
      <c r="F317">
        <v>100.4175</v>
      </c>
      <c r="G317">
        <v>112.524</v>
      </c>
      <c r="H317">
        <v>125.34699999999999</v>
      </c>
      <c r="I317">
        <v>138.49799999999999</v>
      </c>
      <c r="J317">
        <v>148.43899999999999</v>
      </c>
    </row>
    <row r="318" spans="1:21" x14ac:dyDescent="0.4">
      <c r="A318">
        <v>3</v>
      </c>
      <c r="B318">
        <v>34.198599999999999</v>
      </c>
      <c r="C318">
        <v>41.346600000000002</v>
      </c>
      <c r="D318">
        <v>43.517699999999998</v>
      </c>
      <c r="E318">
        <v>47.938099999999999</v>
      </c>
      <c r="F318">
        <v>54.8765</v>
      </c>
      <c r="G318">
        <v>60.445500000000003</v>
      </c>
      <c r="H318">
        <v>67.3245</v>
      </c>
      <c r="I318">
        <v>74.481700000000004</v>
      </c>
      <c r="J318">
        <v>84.833500000000001</v>
      </c>
    </row>
    <row r="319" spans="1:21" x14ac:dyDescent="0.4">
      <c r="A319">
        <v>4</v>
      </c>
      <c r="B319">
        <v>4.4701000000000004</v>
      </c>
      <c r="C319">
        <v>6.3288000000000002</v>
      </c>
      <c r="D319">
        <v>7.3712</v>
      </c>
      <c r="E319">
        <v>8.3369</v>
      </c>
      <c r="F319">
        <v>9.5329999999999995</v>
      </c>
      <c r="G319">
        <v>10.835800000000001</v>
      </c>
      <c r="H319">
        <v>12.5169</v>
      </c>
      <c r="I319">
        <v>14.0136</v>
      </c>
      <c r="J319">
        <v>20.605399999999999</v>
      </c>
    </row>
    <row r="320" spans="1:21" x14ac:dyDescent="0.4">
      <c r="A320">
        <v>5</v>
      </c>
      <c r="B320">
        <v>1.2938000000000001</v>
      </c>
      <c r="C320">
        <v>1.6031</v>
      </c>
      <c r="D320">
        <v>1.7337</v>
      </c>
      <c r="E320">
        <v>2.2441</v>
      </c>
      <c r="F320">
        <v>2.6907000000000001</v>
      </c>
      <c r="G320">
        <v>3.2694999999999999</v>
      </c>
      <c r="H320">
        <v>4.2092000000000001</v>
      </c>
      <c r="I320">
        <v>4.8898000000000001</v>
      </c>
      <c r="J320">
        <v>7.4995000000000003</v>
      </c>
    </row>
    <row r="321" spans="1:10" x14ac:dyDescent="0.4">
      <c r="A321">
        <v>6</v>
      </c>
      <c r="B321">
        <v>0.29170000000000001</v>
      </c>
      <c r="C321">
        <v>0.48420000000000002</v>
      </c>
      <c r="D321">
        <v>0.60240000000000005</v>
      </c>
      <c r="E321">
        <v>0.69359999999999999</v>
      </c>
      <c r="F321">
        <v>0.96650000000000003</v>
      </c>
      <c r="G321">
        <v>1.2286999999999999</v>
      </c>
      <c r="H321">
        <v>1.8233999999999999</v>
      </c>
      <c r="I321">
        <v>2.1764999999999999</v>
      </c>
      <c r="J321">
        <v>5.0518000000000001</v>
      </c>
    </row>
    <row r="322" spans="1:10" x14ac:dyDescent="0.4">
      <c r="A322">
        <v>7</v>
      </c>
      <c r="B322">
        <v>2.7799999999999998E-2</v>
      </c>
      <c r="C322">
        <v>5.8400000000000001E-2</v>
      </c>
      <c r="D322">
        <v>7.3899999999999993E-2</v>
      </c>
      <c r="E322">
        <v>0.10249999999999999</v>
      </c>
      <c r="F322">
        <v>0.15909999999999999</v>
      </c>
      <c r="G322">
        <v>0.2261</v>
      </c>
      <c r="H322">
        <v>0.31640000000000001</v>
      </c>
      <c r="I322">
        <v>0.39960000000000001</v>
      </c>
      <c r="J322">
        <v>1.3048999999999999</v>
      </c>
    </row>
    <row r="323" spans="1:10" x14ac:dyDescent="0.4">
      <c r="A323">
        <v>8</v>
      </c>
      <c r="B323">
        <v>8.2000000000000007E-3</v>
      </c>
      <c r="C323">
        <v>2.92E-2</v>
      </c>
      <c r="D323">
        <v>3.6999999999999998E-2</v>
      </c>
      <c r="E323">
        <v>5.8400000000000001E-2</v>
      </c>
      <c r="F323">
        <v>0.10920000000000001</v>
      </c>
      <c r="G323">
        <v>0.16700000000000001</v>
      </c>
      <c r="H323">
        <v>0.25750000000000001</v>
      </c>
      <c r="I323">
        <v>0.4456</v>
      </c>
      <c r="J323">
        <v>2.1858</v>
      </c>
    </row>
    <row r="324" spans="1:10" x14ac:dyDescent="0.4">
      <c r="A324">
        <v>9</v>
      </c>
      <c r="B324">
        <v>2.9999999999999997E-4</v>
      </c>
      <c r="C324">
        <v>1.4E-3</v>
      </c>
      <c r="D324">
        <v>2.0999999999999999E-3</v>
      </c>
      <c r="E324">
        <v>3.5000000000000001E-3</v>
      </c>
      <c r="F324">
        <v>8.5000000000000006E-3</v>
      </c>
      <c r="G324">
        <v>1.44E-2</v>
      </c>
      <c r="H324">
        <v>2.23E-2</v>
      </c>
      <c r="I324">
        <v>3.3399999999999999E-2</v>
      </c>
      <c r="J324">
        <v>0.2402</v>
      </c>
    </row>
    <row r="325" spans="1:10" x14ac:dyDescent="0.4">
      <c r="A325">
        <v>10</v>
      </c>
      <c r="B325">
        <v>1E-4</v>
      </c>
      <c r="C325">
        <v>5.0000000000000001E-4</v>
      </c>
      <c r="D325">
        <v>6.9999999999999999E-4</v>
      </c>
      <c r="E325">
        <v>1.5E-3</v>
      </c>
      <c r="F325">
        <v>4.3E-3</v>
      </c>
      <c r="G325">
        <v>6.8999999999999999E-3</v>
      </c>
      <c r="H325">
        <v>1.43E-2</v>
      </c>
      <c r="I325">
        <v>2.4199999999999999E-2</v>
      </c>
      <c r="J325">
        <v>0.26090000000000002</v>
      </c>
    </row>
    <row r="326" spans="1:10" x14ac:dyDescent="0.4">
      <c r="A326">
        <v>11</v>
      </c>
      <c r="B326">
        <v>0</v>
      </c>
      <c r="C326">
        <v>1E-4</v>
      </c>
      <c r="D326">
        <v>2.0000000000000001E-4</v>
      </c>
      <c r="E326">
        <v>4.0000000000000002E-4</v>
      </c>
      <c r="F326">
        <v>1.4E-3</v>
      </c>
      <c r="G326">
        <v>2.8E-3</v>
      </c>
      <c r="H326">
        <v>5.1000000000000004E-3</v>
      </c>
      <c r="I326">
        <v>8.2000000000000007E-3</v>
      </c>
      <c r="J326">
        <v>0.1988</v>
      </c>
    </row>
    <row r="327" spans="1:10" x14ac:dyDescent="0.4">
      <c r="A327">
        <v>12</v>
      </c>
      <c r="B327">
        <v>0</v>
      </c>
      <c r="C327">
        <v>0</v>
      </c>
      <c r="D327">
        <v>0</v>
      </c>
      <c r="E327">
        <v>0</v>
      </c>
      <c r="F327">
        <v>1E-4</v>
      </c>
      <c r="G327">
        <v>2.9999999999999997E-4</v>
      </c>
      <c r="H327">
        <v>5.0000000000000001E-4</v>
      </c>
      <c r="I327">
        <v>8.0000000000000004E-4</v>
      </c>
      <c r="J327">
        <v>2.8000000000000001E-2</v>
      </c>
    </row>
    <row r="328" spans="1:10" x14ac:dyDescent="0.4">
      <c r="A328">
        <v>13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2.0000000000000001E-4</v>
      </c>
      <c r="H328">
        <v>2.9999999999999997E-4</v>
      </c>
      <c r="I328">
        <v>5.0000000000000001E-4</v>
      </c>
      <c r="J328">
        <v>3.1600000000000003E-2</v>
      </c>
    </row>
    <row r="329" spans="1:10" x14ac:dyDescent="0.4">
      <c r="A329">
        <v>14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1E-4</v>
      </c>
      <c r="I329">
        <v>1E-4</v>
      </c>
      <c r="J329">
        <v>1.83E-2</v>
      </c>
    </row>
    <row r="330" spans="1:10" x14ac:dyDescent="0.4">
      <c r="A330" t="s">
        <v>29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1.2699999999999999E-2</v>
      </c>
    </row>
    <row r="332" spans="1:10" x14ac:dyDescent="0.4">
      <c r="A332">
        <v>2022</v>
      </c>
    </row>
    <row r="334" spans="1:10" x14ac:dyDescent="0.4">
      <c r="A334" t="s">
        <v>0</v>
      </c>
      <c r="B334" s="2">
        <v>0.01</v>
      </c>
      <c r="C334" s="2">
        <v>0.05</v>
      </c>
      <c r="D334" s="2">
        <v>0.1</v>
      </c>
      <c r="E334" s="2">
        <v>0.25</v>
      </c>
      <c r="F334" s="2">
        <v>0.5</v>
      </c>
      <c r="G334" s="2">
        <v>0.75</v>
      </c>
      <c r="H334" s="2">
        <v>0.9</v>
      </c>
      <c r="I334" s="2">
        <v>0.95</v>
      </c>
      <c r="J334" s="2">
        <v>0.99</v>
      </c>
    </row>
    <row r="335" spans="1:10" x14ac:dyDescent="0.4">
      <c r="A335">
        <v>1</v>
      </c>
      <c r="B335">
        <v>68.655199999999994</v>
      </c>
      <c r="C335">
        <v>70.776399999999995</v>
      </c>
      <c r="D335">
        <v>79.169499999999999</v>
      </c>
      <c r="E335">
        <v>104.8579</v>
      </c>
      <c r="F335">
        <v>168.48859999999999</v>
      </c>
      <c r="G335">
        <v>236.6208</v>
      </c>
      <c r="H335">
        <v>279.71550000000002</v>
      </c>
      <c r="I335">
        <v>306.44389999999999</v>
      </c>
      <c r="J335">
        <v>325.43239999999997</v>
      </c>
    </row>
    <row r="336" spans="1:10" x14ac:dyDescent="0.4">
      <c r="A336">
        <v>2</v>
      </c>
      <c r="B336">
        <v>87.857600000000005</v>
      </c>
      <c r="C336">
        <v>103.922</v>
      </c>
      <c r="D336">
        <v>110.7773</v>
      </c>
      <c r="E336">
        <v>128.05840000000001</v>
      </c>
      <c r="F336">
        <v>156.46420000000001</v>
      </c>
      <c r="G336">
        <v>191.71360000000001</v>
      </c>
      <c r="H336">
        <v>233.03450000000001</v>
      </c>
      <c r="I336">
        <v>253.42779999999999</v>
      </c>
      <c r="J336">
        <v>288.80549999999999</v>
      </c>
    </row>
    <row r="337" spans="1:10" x14ac:dyDescent="0.4">
      <c r="A337">
        <v>3</v>
      </c>
      <c r="B337">
        <v>30.193999999999999</v>
      </c>
      <c r="C337">
        <v>40.695999999999998</v>
      </c>
      <c r="D337">
        <v>43.047600000000003</v>
      </c>
      <c r="E337">
        <v>46.7821</v>
      </c>
      <c r="F337">
        <v>54.204900000000002</v>
      </c>
      <c r="G337">
        <v>62.809899999999999</v>
      </c>
      <c r="H337">
        <v>71.549599999999998</v>
      </c>
      <c r="I337">
        <v>78.517799999999994</v>
      </c>
      <c r="J337">
        <v>89.147400000000005</v>
      </c>
    </row>
    <row r="338" spans="1:10" x14ac:dyDescent="0.4">
      <c r="A338">
        <v>4</v>
      </c>
      <c r="B338">
        <v>15.2506</v>
      </c>
      <c r="C338">
        <v>18.640999999999998</v>
      </c>
      <c r="D338">
        <v>20.575099999999999</v>
      </c>
      <c r="E338">
        <v>23.125</v>
      </c>
      <c r="F338">
        <v>26.551500000000001</v>
      </c>
      <c r="G338">
        <v>30.747399999999999</v>
      </c>
      <c r="H338">
        <v>35.485799999999998</v>
      </c>
      <c r="I338">
        <v>40.027299999999997</v>
      </c>
      <c r="J338">
        <v>50.2423</v>
      </c>
    </row>
    <row r="339" spans="1:10" x14ac:dyDescent="0.4">
      <c r="A339">
        <v>5</v>
      </c>
      <c r="B339">
        <v>1.9811000000000001</v>
      </c>
      <c r="C339">
        <v>2.7429999999999999</v>
      </c>
      <c r="D339">
        <v>3.2496</v>
      </c>
      <c r="E339">
        <v>3.7778999999999998</v>
      </c>
      <c r="F339">
        <v>4.4702999999999999</v>
      </c>
      <c r="G339">
        <v>5.2507000000000001</v>
      </c>
      <c r="H339">
        <v>6.4249000000000001</v>
      </c>
      <c r="I339">
        <v>7.0674999999999999</v>
      </c>
      <c r="J339">
        <v>11.8992</v>
      </c>
    </row>
    <row r="340" spans="1:10" x14ac:dyDescent="0.4">
      <c r="A340">
        <v>6</v>
      </c>
      <c r="B340">
        <v>0.53979999999999995</v>
      </c>
      <c r="C340">
        <v>0.65529999999999999</v>
      </c>
      <c r="D340">
        <v>0.74109999999999998</v>
      </c>
      <c r="E340">
        <v>1.0003</v>
      </c>
      <c r="F340">
        <v>1.2045999999999999</v>
      </c>
      <c r="G340">
        <v>1.544</v>
      </c>
      <c r="H340">
        <v>2.0807000000000002</v>
      </c>
      <c r="I340">
        <v>2.4472999999999998</v>
      </c>
      <c r="J340">
        <v>4.5007000000000001</v>
      </c>
    </row>
    <row r="341" spans="1:10" x14ac:dyDescent="0.4">
      <c r="A341">
        <v>7</v>
      </c>
      <c r="B341">
        <v>0.13009999999999999</v>
      </c>
      <c r="C341">
        <v>0.2165</v>
      </c>
      <c r="D341">
        <v>0.2515</v>
      </c>
      <c r="E341">
        <v>0.30980000000000002</v>
      </c>
      <c r="F341">
        <v>0.4199</v>
      </c>
      <c r="G341">
        <v>0.58320000000000005</v>
      </c>
      <c r="H341">
        <v>0.88719999999999999</v>
      </c>
      <c r="I341">
        <v>1.0817000000000001</v>
      </c>
      <c r="J341">
        <v>3.0470000000000002</v>
      </c>
    </row>
    <row r="342" spans="1:10" x14ac:dyDescent="0.4">
      <c r="A342">
        <v>8</v>
      </c>
      <c r="B342">
        <v>1.32E-2</v>
      </c>
      <c r="C342">
        <v>2.5399999999999999E-2</v>
      </c>
      <c r="D342">
        <v>3.2599999999999997E-2</v>
      </c>
      <c r="E342">
        <v>4.5100000000000001E-2</v>
      </c>
      <c r="F342">
        <v>6.9500000000000006E-2</v>
      </c>
      <c r="G342">
        <v>0.10680000000000001</v>
      </c>
      <c r="H342">
        <v>0.1605</v>
      </c>
      <c r="I342">
        <v>0.20619999999999999</v>
      </c>
      <c r="J342">
        <v>0.80820000000000003</v>
      </c>
    </row>
    <row r="343" spans="1:10" x14ac:dyDescent="0.4">
      <c r="A343">
        <v>9</v>
      </c>
      <c r="B343">
        <v>4.0000000000000001E-3</v>
      </c>
      <c r="C343">
        <v>1.2800000000000001E-2</v>
      </c>
      <c r="D343">
        <v>1.6500000000000001E-2</v>
      </c>
      <c r="E343">
        <v>2.7E-2</v>
      </c>
      <c r="F343">
        <v>4.8899999999999999E-2</v>
      </c>
      <c r="G343">
        <v>8.0199999999999994E-2</v>
      </c>
      <c r="H343">
        <v>0.12989999999999999</v>
      </c>
      <c r="I343">
        <v>0.21970000000000001</v>
      </c>
      <c r="J343">
        <v>1.3303</v>
      </c>
    </row>
    <row r="344" spans="1:10" x14ac:dyDescent="0.4">
      <c r="A344">
        <v>10</v>
      </c>
      <c r="B344">
        <v>1E-4</v>
      </c>
      <c r="C344">
        <v>5.9999999999999995E-4</v>
      </c>
      <c r="D344">
        <v>8.9999999999999998E-4</v>
      </c>
      <c r="E344">
        <v>1.6999999999999999E-3</v>
      </c>
      <c r="F344">
        <v>3.8E-3</v>
      </c>
      <c r="G344">
        <v>6.8999999999999999E-3</v>
      </c>
      <c r="H344">
        <v>1.11E-2</v>
      </c>
      <c r="I344">
        <v>1.77E-2</v>
      </c>
      <c r="J344">
        <v>0.1467</v>
      </c>
    </row>
    <row r="345" spans="1:10" x14ac:dyDescent="0.4">
      <c r="A345">
        <v>11</v>
      </c>
      <c r="B345">
        <v>0</v>
      </c>
      <c r="C345">
        <v>2.0000000000000001E-4</v>
      </c>
      <c r="D345">
        <v>2.9999999999999997E-4</v>
      </c>
      <c r="E345">
        <v>6.9999999999999999E-4</v>
      </c>
      <c r="F345">
        <v>2E-3</v>
      </c>
      <c r="G345">
        <v>3.3E-3</v>
      </c>
      <c r="H345">
        <v>7.6E-3</v>
      </c>
      <c r="I345">
        <v>1.23E-2</v>
      </c>
      <c r="J345">
        <v>0.1623</v>
      </c>
    </row>
    <row r="346" spans="1:10" x14ac:dyDescent="0.4">
      <c r="A346">
        <v>12</v>
      </c>
      <c r="B346">
        <v>0</v>
      </c>
      <c r="C346">
        <v>0</v>
      </c>
      <c r="D346">
        <v>1E-4</v>
      </c>
      <c r="E346">
        <v>2.0000000000000001E-4</v>
      </c>
      <c r="F346">
        <v>6.9999999999999999E-4</v>
      </c>
      <c r="G346">
        <v>1.2999999999999999E-3</v>
      </c>
      <c r="H346">
        <v>2.5999999999999999E-3</v>
      </c>
      <c r="I346">
        <v>4.1999999999999997E-3</v>
      </c>
      <c r="J346">
        <v>0.12470000000000001</v>
      </c>
    </row>
    <row r="347" spans="1:10" x14ac:dyDescent="0.4">
      <c r="A347">
        <v>13</v>
      </c>
      <c r="B347">
        <v>0</v>
      </c>
      <c r="C347">
        <v>0</v>
      </c>
      <c r="D347">
        <v>0</v>
      </c>
      <c r="E347">
        <v>0</v>
      </c>
      <c r="F347">
        <v>1E-4</v>
      </c>
      <c r="G347">
        <v>1E-4</v>
      </c>
      <c r="H347">
        <v>2.9999999999999997E-4</v>
      </c>
      <c r="I347">
        <v>4.0000000000000002E-4</v>
      </c>
      <c r="J347">
        <v>1.7500000000000002E-2</v>
      </c>
    </row>
    <row r="348" spans="1:10" x14ac:dyDescent="0.4">
      <c r="A348">
        <v>14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1E-4</v>
      </c>
      <c r="H348">
        <v>1E-4</v>
      </c>
      <c r="I348">
        <v>2.9999999999999997E-4</v>
      </c>
      <c r="J348">
        <v>1.9900000000000001E-2</v>
      </c>
    </row>
    <row r="349" spans="1:10" x14ac:dyDescent="0.4">
      <c r="A349" t="s">
        <v>29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1E-4</v>
      </c>
      <c r="I349">
        <v>1E-4</v>
      </c>
      <c r="J349">
        <v>1.9800000000000002E-2</v>
      </c>
    </row>
    <row r="351" spans="1:10" x14ac:dyDescent="0.4">
      <c r="A351">
        <v>2023</v>
      </c>
    </row>
    <row r="353" spans="1:10" x14ac:dyDescent="0.4">
      <c r="A353" t="s">
        <v>0</v>
      </c>
      <c r="B353" s="2">
        <v>0.01</v>
      </c>
      <c r="C353" s="2">
        <v>0.05</v>
      </c>
      <c r="D353" s="2">
        <v>0.1</v>
      </c>
      <c r="E353" s="2">
        <v>0.25</v>
      </c>
      <c r="F353" s="2">
        <v>0.5</v>
      </c>
      <c r="G353" s="2">
        <v>0.75</v>
      </c>
      <c r="H353" s="2">
        <v>0.9</v>
      </c>
      <c r="I353" s="2">
        <v>0.95</v>
      </c>
      <c r="J353" s="2">
        <v>0.99</v>
      </c>
    </row>
    <row r="354" spans="1:10" x14ac:dyDescent="0.4">
      <c r="A354">
        <v>1</v>
      </c>
      <c r="B354">
        <v>68.659199999999998</v>
      </c>
      <c r="C354">
        <v>70.877799999999993</v>
      </c>
      <c r="D354">
        <v>79.183899999999994</v>
      </c>
      <c r="E354">
        <v>104.6806</v>
      </c>
      <c r="F354">
        <v>168.59280000000001</v>
      </c>
      <c r="G354">
        <v>237.215</v>
      </c>
      <c r="H354">
        <v>279.19229999999999</v>
      </c>
      <c r="I354">
        <v>306.87759999999997</v>
      </c>
      <c r="J354">
        <v>334.22989999999999</v>
      </c>
    </row>
    <row r="355" spans="1:10" x14ac:dyDescent="0.4">
      <c r="A355">
        <v>2</v>
      </c>
      <c r="B355">
        <v>39.820900000000002</v>
      </c>
      <c r="C355">
        <v>43.334400000000002</v>
      </c>
      <c r="D355">
        <v>47.5122</v>
      </c>
      <c r="E355">
        <v>63.039499999999997</v>
      </c>
      <c r="F355">
        <v>101.3678</v>
      </c>
      <c r="G355">
        <v>143.44300000000001</v>
      </c>
      <c r="H355">
        <v>171.2167</v>
      </c>
      <c r="I355">
        <v>186.31610000000001</v>
      </c>
      <c r="J355">
        <v>209.30789999999999</v>
      </c>
    </row>
    <row r="356" spans="1:10" x14ac:dyDescent="0.4">
      <c r="A356">
        <v>3</v>
      </c>
      <c r="B356">
        <v>48.2622</v>
      </c>
      <c r="C356">
        <v>57.752600000000001</v>
      </c>
      <c r="D356">
        <v>62.241199999999999</v>
      </c>
      <c r="E356">
        <v>72.721299999999999</v>
      </c>
      <c r="F356">
        <v>90.665300000000002</v>
      </c>
      <c r="G356">
        <v>112.2401</v>
      </c>
      <c r="H356">
        <v>137.85669999999999</v>
      </c>
      <c r="I356">
        <v>151.93350000000001</v>
      </c>
      <c r="J356">
        <v>174.56209999999999</v>
      </c>
    </row>
    <row r="357" spans="1:10" x14ac:dyDescent="0.4">
      <c r="A357">
        <v>4</v>
      </c>
      <c r="B357">
        <v>14.8589</v>
      </c>
      <c r="C357">
        <v>20.581700000000001</v>
      </c>
      <c r="D357">
        <v>22.3399</v>
      </c>
      <c r="E357">
        <v>24.9754</v>
      </c>
      <c r="F357">
        <v>29.503799999999998</v>
      </c>
      <c r="G357">
        <v>34.981200000000001</v>
      </c>
      <c r="H357">
        <v>40.565300000000001</v>
      </c>
      <c r="I357">
        <v>44.636400000000002</v>
      </c>
      <c r="J357">
        <v>51.697099999999999</v>
      </c>
    </row>
    <row r="358" spans="1:10" x14ac:dyDescent="0.4">
      <c r="A358">
        <v>5</v>
      </c>
      <c r="B358">
        <v>7.0735999999999999</v>
      </c>
      <c r="C358">
        <v>9.0520999999999994</v>
      </c>
      <c r="D358">
        <v>10.296799999999999</v>
      </c>
      <c r="E358">
        <v>11.924200000000001</v>
      </c>
      <c r="F358">
        <v>13.9236</v>
      </c>
      <c r="G358">
        <v>16.6572</v>
      </c>
      <c r="H358">
        <v>19.546299999999999</v>
      </c>
      <c r="I358">
        <v>22.491399999999999</v>
      </c>
      <c r="J358">
        <v>29.305299999999999</v>
      </c>
    </row>
    <row r="359" spans="1:10" x14ac:dyDescent="0.4">
      <c r="A359">
        <v>6</v>
      </c>
      <c r="B359">
        <v>0.88370000000000004</v>
      </c>
      <c r="C359">
        <v>1.3420000000000001</v>
      </c>
      <c r="D359">
        <v>1.6039000000000001</v>
      </c>
      <c r="E359">
        <v>1.9105000000000001</v>
      </c>
      <c r="F359">
        <v>2.2907000000000002</v>
      </c>
      <c r="G359">
        <v>2.7685</v>
      </c>
      <c r="H359">
        <v>3.4883999999999999</v>
      </c>
      <c r="I359">
        <v>3.8892000000000002</v>
      </c>
      <c r="J359">
        <v>6.8220999999999998</v>
      </c>
    </row>
    <row r="360" spans="1:10" x14ac:dyDescent="0.4">
      <c r="A360">
        <v>7</v>
      </c>
      <c r="B360">
        <v>0.25080000000000002</v>
      </c>
      <c r="C360">
        <v>0.30380000000000001</v>
      </c>
      <c r="D360">
        <v>0.36780000000000002</v>
      </c>
      <c r="E360">
        <v>0.49590000000000001</v>
      </c>
      <c r="F360">
        <v>0.61770000000000003</v>
      </c>
      <c r="G360">
        <v>0.80420000000000003</v>
      </c>
      <c r="H360">
        <v>1.1184000000000001</v>
      </c>
      <c r="I360">
        <v>1.3166</v>
      </c>
      <c r="J360">
        <v>2.7044000000000001</v>
      </c>
    </row>
    <row r="361" spans="1:10" x14ac:dyDescent="0.4">
      <c r="A361">
        <v>8</v>
      </c>
      <c r="B361">
        <v>6.0199999999999997E-2</v>
      </c>
      <c r="C361">
        <v>0.1074</v>
      </c>
      <c r="D361">
        <v>0.11990000000000001</v>
      </c>
      <c r="E361">
        <v>0.1573</v>
      </c>
      <c r="F361">
        <v>0.21820000000000001</v>
      </c>
      <c r="G361">
        <v>0.3034</v>
      </c>
      <c r="H361">
        <v>0.4829</v>
      </c>
      <c r="I361">
        <v>0.57730000000000004</v>
      </c>
      <c r="J361">
        <v>1.7843</v>
      </c>
    </row>
    <row r="362" spans="1:10" x14ac:dyDescent="0.4">
      <c r="A362">
        <v>9</v>
      </c>
      <c r="B362">
        <v>6.8999999999999999E-3</v>
      </c>
      <c r="C362">
        <v>1.2800000000000001E-2</v>
      </c>
      <c r="D362">
        <v>1.6400000000000001E-2</v>
      </c>
      <c r="E362">
        <v>2.3199999999999998E-2</v>
      </c>
      <c r="F362">
        <v>3.5700000000000003E-2</v>
      </c>
      <c r="G362">
        <v>5.5599999999999997E-2</v>
      </c>
      <c r="H362">
        <v>8.6499999999999994E-2</v>
      </c>
      <c r="I362">
        <v>0.1111</v>
      </c>
      <c r="J362">
        <v>0.4803</v>
      </c>
    </row>
    <row r="363" spans="1:10" x14ac:dyDescent="0.4">
      <c r="A363">
        <v>10</v>
      </c>
      <c r="B363">
        <v>2.0999999999999999E-3</v>
      </c>
      <c r="C363">
        <v>6.1999999999999998E-3</v>
      </c>
      <c r="D363">
        <v>8.3999999999999995E-3</v>
      </c>
      <c r="E363">
        <v>1.41E-2</v>
      </c>
      <c r="F363">
        <v>2.5000000000000001E-2</v>
      </c>
      <c r="G363">
        <v>4.24E-2</v>
      </c>
      <c r="H363">
        <v>7.1199999999999999E-2</v>
      </c>
      <c r="I363">
        <v>0.1157</v>
      </c>
      <c r="J363">
        <v>0.81289999999999996</v>
      </c>
    </row>
    <row r="364" spans="1:10" x14ac:dyDescent="0.4">
      <c r="A364">
        <v>11</v>
      </c>
      <c r="B364">
        <v>1E-4</v>
      </c>
      <c r="C364">
        <v>2.9999999999999997E-4</v>
      </c>
      <c r="D364">
        <v>4.0000000000000002E-4</v>
      </c>
      <c r="E364">
        <v>8.9999999999999998E-4</v>
      </c>
      <c r="F364">
        <v>1.9E-3</v>
      </c>
      <c r="G364">
        <v>3.7000000000000002E-3</v>
      </c>
      <c r="H364">
        <v>6.1000000000000004E-3</v>
      </c>
      <c r="I364">
        <v>9.7999999999999997E-3</v>
      </c>
      <c r="J364">
        <v>8.8800000000000004E-2</v>
      </c>
    </row>
    <row r="365" spans="1:10" x14ac:dyDescent="0.4">
      <c r="A365">
        <v>12</v>
      </c>
      <c r="B365">
        <v>0</v>
      </c>
      <c r="C365">
        <v>1E-4</v>
      </c>
      <c r="D365">
        <v>2.0000000000000001E-4</v>
      </c>
      <c r="E365">
        <v>4.0000000000000002E-4</v>
      </c>
      <c r="F365">
        <v>1E-3</v>
      </c>
      <c r="G365">
        <v>1.8E-3</v>
      </c>
      <c r="H365">
        <v>4.1999999999999997E-3</v>
      </c>
      <c r="I365">
        <v>6.7000000000000002E-3</v>
      </c>
      <c r="J365">
        <v>0.1</v>
      </c>
    </row>
    <row r="366" spans="1:10" x14ac:dyDescent="0.4">
      <c r="A366">
        <v>13</v>
      </c>
      <c r="B366">
        <v>0</v>
      </c>
      <c r="C366">
        <v>0</v>
      </c>
      <c r="D366">
        <v>0</v>
      </c>
      <c r="E366">
        <v>1E-4</v>
      </c>
      <c r="F366">
        <v>2.9999999999999997E-4</v>
      </c>
      <c r="G366">
        <v>6.9999999999999999E-4</v>
      </c>
      <c r="H366">
        <v>1.4E-3</v>
      </c>
      <c r="I366">
        <v>2.3E-3</v>
      </c>
      <c r="J366">
        <v>7.6899999999999996E-2</v>
      </c>
    </row>
    <row r="367" spans="1:10" x14ac:dyDescent="0.4">
      <c r="A367">
        <v>14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1E-4</v>
      </c>
      <c r="H367">
        <v>2.0000000000000001E-4</v>
      </c>
      <c r="I367">
        <v>2.0000000000000001E-4</v>
      </c>
      <c r="J367">
        <v>1.11E-2</v>
      </c>
    </row>
    <row r="368" spans="1:10" x14ac:dyDescent="0.4">
      <c r="A368" t="s">
        <v>29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1E-4</v>
      </c>
      <c r="H368">
        <v>1E-4</v>
      </c>
      <c r="I368">
        <v>2.0000000000000001E-4</v>
      </c>
      <c r="J368">
        <v>2.3699999999999999E-2</v>
      </c>
    </row>
    <row r="370" spans="1:10" x14ac:dyDescent="0.4">
      <c r="A370">
        <v>2024</v>
      </c>
    </row>
    <row r="372" spans="1:10" x14ac:dyDescent="0.4">
      <c r="A372" t="s">
        <v>0</v>
      </c>
      <c r="B372" s="2">
        <v>0.01</v>
      </c>
      <c r="C372" s="2">
        <v>0.05</v>
      </c>
      <c r="D372" s="2">
        <v>0.1</v>
      </c>
      <c r="E372" s="2">
        <v>0.25</v>
      </c>
      <c r="F372" s="2">
        <v>0.5</v>
      </c>
      <c r="G372" s="2">
        <v>0.75</v>
      </c>
      <c r="H372" s="2">
        <v>0.9</v>
      </c>
      <c r="I372" s="2">
        <v>0.95</v>
      </c>
      <c r="J372" s="2">
        <v>0.99</v>
      </c>
    </row>
    <row r="373" spans="1:10" x14ac:dyDescent="0.4">
      <c r="A373">
        <v>1</v>
      </c>
      <c r="B373">
        <v>68.655500000000004</v>
      </c>
      <c r="C373">
        <v>70.544300000000007</v>
      </c>
      <c r="D373">
        <v>78.959100000000007</v>
      </c>
      <c r="E373">
        <v>104.6541</v>
      </c>
      <c r="F373">
        <v>168.52080000000001</v>
      </c>
      <c r="G373">
        <v>237.20310000000001</v>
      </c>
      <c r="H373">
        <v>280.5222</v>
      </c>
      <c r="I373">
        <v>307.57459999999998</v>
      </c>
      <c r="J373">
        <v>356</v>
      </c>
    </row>
    <row r="374" spans="1:10" x14ac:dyDescent="0.4">
      <c r="A374">
        <v>2</v>
      </c>
      <c r="B374">
        <v>40.140599999999999</v>
      </c>
      <c r="C374">
        <v>43.671599999999998</v>
      </c>
      <c r="D374">
        <v>47.842700000000001</v>
      </c>
      <c r="E374">
        <v>63.289299999999997</v>
      </c>
      <c r="F374">
        <v>102.2205</v>
      </c>
      <c r="G374">
        <v>144.64680000000001</v>
      </c>
      <c r="H374">
        <v>172.08320000000001</v>
      </c>
      <c r="I374">
        <v>187.15389999999999</v>
      </c>
      <c r="J374">
        <v>212.41829999999999</v>
      </c>
    </row>
    <row r="375" spans="1:10" x14ac:dyDescent="0.4">
      <c r="A375">
        <v>3</v>
      </c>
      <c r="B375">
        <v>21.968</v>
      </c>
      <c r="C375">
        <v>24.741599999999998</v>
      </c>
      <c r="D375">
        <v>27.232299999999999</v>
      </c>
      <c r="E375">
        <v>36.235300000000002</v>
      </c>
      <c r="F375">
        <v>58.650100000000002</v>
      </c>
      <c r="G375">
        <v>83.994600000000005</v>
      </c>
      <c r="H375">
        <v>102.12</v>
      </c>
      <c r="I375">
        <v>111.34739999999999</v>
      </c>
      <c r="J375">
        <v>128.8546</v>
      </c>
    </row>
    <row r="376" spans="1:10" x14ac:dyDescent="0.4">
      <c r="A376">
        <v>4</v>
      </c>
      <c r="B376">
        <v>23.733799999999999</v>
      </c>
      <c r="C376">
        <v>29.392499999999998</v>
      </c>
      <c r="D376">
        <v>32.347200000000001</v>
      </c>
      <c r="E376">
        <v>38.775399999999998</v>
      </c>
      <c r="F376">
        <v>50.1006</v>
      </c>
      <c r="G376">
        <v>63.276000000000003</v>
      </c>
      <c r="H376">
        <v>79.367199999999997</v>
      </c>
      <c r="I376">
        <v>88.827600000000004</v>
      </c>
      <c r="J376">
        <v>104.0056</v>
      </c>
    </row>
    <row r="377" spans="1:10" x14ac:dyDescent="0.4">
      <c r="A377">
        <v>5</v>
      </c>
      <c r="B377">
        <v>6.9245999999999999</v>
      </c>
      <c r="C377">
        <v>9.7405000000000008</v>
      </c>
      <c r="D377">
        <v>11.0463</v>
      </c>
      <c r="E377">
        <v>12.949400000000001</v>
      </c>
      <c r="F377">
        <v>15.7553</v>
      </c>
      <c r="G377">
        <v>19.077500000000001</v>
      </c>
      <c r="H377">
        <v>22.718900000000001</v>
      </c>
      <c r="I377">
        <v>25.137699999999999</v>
      </c>
      <c r="J377">
        <v>29.749400000000001</v>
      </c>
    </row>
    <row r="378" spans="1:10" x14ac:dyDescent="0.4">
      <c r="A378">
        <v>6</v>
      </c>
      <c r="B378">
        <v>3.1675</v>
      </c>
      <c r="C378">
        <v>4.2859999999999996</v>
      </c>
      <c r="D378">
        <v>4.9310999999999998</v>
      </c>
      <c r="E378">
        <v>5.9766000000000004</v>
      </c>
      <c r="F378">
        <v>7.2430000000000003</v>
      </c>
      <c r="G378">
        <v>8.8506999999999998</v>
      </c>
      <c r="H378">
        <v>10.653</v>
      </c>
      <c r="I378">
        <v>12.3627</v>
      </c>
      <c r="J378">
        <v>16.5974</v>
      </c>
    </row>
    <row r="379" spans="1:10" x14ac:dyDescent="0.4">
      <c r="A379">
        <v>7</v>
      </c>
      <c r="B379">
        <v>0.37659999999999999</v>
      </c>
      <c r="C379">
        <v>0.63280000000000003</v>
      </c>
      <c r="D379">
        <v>0.76839999999999997</v>
      </c>
      <c r="E379">
        <v>0.94830000000000003</v>
      </c>
      <c r="F379">
        <v>1.1642999999999999</v>
      </c>
      <c r="G379">
        <v>1.4567000000000001</v>
      </c>
      <c r="H379">
        <v>1.8836999999999999</v>
      </c>
      <c r="I379">
        <v>2.1537000000000002</v>
      </c>
      <c r="J379">
        <v>3.8371</v>
      </c>
    </row>
    <row r="380" spans="1:10" x14ac:dyDescent="0.4">
      <c r="A380">
        <v>8</v>
      </c>
      <c r="B380">
        <v>0.1116</v>
      </c>
      <c r="C380">
        <v>0.1411</v>
      </c>
      <c r="D380">
        <v>0.1779</v>
      </c>
      <c r="E380">
        <v>0.2432</v>
      </c>
      <c r="F380">
        <v>0.31690000000000002</v>
      </c>
      <c r="G380">
        <v>0.41670000000000001</v>
      </c>
      <c r="H380">
        <v>0.59260000000000002</v>
      </c>
      <c r="I380">
        <v>0.7167</v>
      </c>
      <c r="J380">
        <v>1.5295000000000001</v>
      </c>
    </row>
    <row r="381" spans="1:10" x14ac:dyDescent="0.4">
      <c r="A381">
        <v>9</v>
      </c>
      <c r="B381">
        <v>2.81E-2</v>
      </c>
      <c r="C381">
        <v>5.0900000000000001E-2</v>
      </c>
      <c r="D381">
        <v>5.74E-2</v>
      </c>
      <c r="E381">
        <v>7.8200000000000006E-2</v>
      </c>
      <c r="F381">
        <v>0.11269999999999999</v>
      </c>
      <c r="G381">
        <v>0.15640000000000001</v>
      </c>
      <c r="H381">
        <v>0.25990000000000002</v>
      </c>
      <c r="I381">
        <v>0.31019999999999998</v>
      </c>
      <c r="J381">
        <v>1.0042</v>
      </c>
    </row>
    <row r="382" spans="1:10" x14ac:dyDescent="0.4">
      <c r="A382">
        <v>10</v>
      </c>
      <c r="B382">
        <v>3.2000000000000002E-3</v>
      </c>
      <c r="C382">
        <v>6.3E-3</v>
      </c>
      <c r="D382">
        <v>7.9000000000000008E-3</v>
      </c>
      <c r="E382">
        <v>1.17E-2</v>
      </c>
      <c r="F382">
        <v>1.8100000000000002E-2</v>
      </c>
      <c r="G382">
        <v>2.87E-2</v>
      </c>
      <c r="H382">
        <v>4.58E-2</v>
      </c>
      <c r="I382">
        <v>5.9700000000000003E-2</v>
      </c>
      <c r="J382">
        <v>0.29480000000000001</v>
      </c>
    </row>
    <row r="383" spans="1:10" x14ac:dyDescent="0.4">
      <c r="A383">
        <v>11</v>
      </c>
      <c r="B383">
        <v>1.1000000000000001E-3</v>
      </c>
      <c r="C383">
        <v>3.0999999999999999E-3</v>
      </c>
      <c r="D383">
        <v>4.1999999999999997E-3</v>
      </c>
      <c r="E383">
        <v>7.3000000000000001E-3</v>
      </c>
      <c r="F383">
        <v>1.2699999999999999E-2</v>
      </c>
      <c r="G383">
        <v>2.1999999999999999E-2</v>
      </c>
      <c r="H383">
        <v>3.9199999999999999E-2</v>
      </c>
      <c r="I383">
        <v>0.06</v>
      </c>
      <c r="J383">
        <v>0.48220000000000002</v>
      </c>
    </row>
    <row r="384" spans="1:10" x14ac:dyDescent="0.4">
      <c r="A384">
        <v>12</v>
      </c>
      <c r="B384">
        <v>0</v>
      </c>
      <c r="C384">
        <v>1E-4</v>
      </c>
      <c r="D384">
        <v>2.0000000000000001E-4</v>
      </c>
      <c r="E384">
        <v>5.0000000000000001E-4</v>
      </c>
      <c r="F384">
        <v>1E-3</v>
      </c>
      <c r="G384">
        <v>1.9E-3</v>
      </c>
      <c r="H384">
        <v>3.3999999999999998E-3</v>
      </c>
      <c r="I384">
        <v>5.3E-3</v>
      </c>
      <c r="J384">
        <v>5.1200000000000002E-2</v>
      </c>
    </row>
    <row r="385" spans="1:10" x14ac:dyDescent="0.4">
      <c r="A385">
        <v>13</v>
      </c>
      <c r="B385">
        <v>0</v>
      </c>
      <c r="C385">
        <v>1E-4</v>
      </c>
      <c r="D385">
        <v>1E-4</v>
      </c>
      <c r="E385">
        <v>2.0000000000000001E-4</v>
      </c>
      <c r="F385">
        <v>5.0000000000000001E-4</v>
      </c>
      <c r="G385">
        <v>8.9999999999999998E-4</v>
      </c>
      <c r="H385">
        <v>2.3E-3</v>
      </c>
      <c r="I385">
        <v>3.7000000000000002E-3</v>
      </c>
      <c r="J385">
        <v>5.7799999999999997E-2</v>
      </c>
    </row>
    <row r="386" spans="1:10" x14ac:dyDescent="0.4">
      <c r="A386">
        <v>14</v>
      </c>
      <c r="B386">
        <v>0</v>
      </c>
      <c r="C386">
        <v>0</v>
      </c>
      <c r="D386">
        <v>0</v>
      </c>
      <c r="E386">
        <v>1E-4</v>
      </c>
      <c r="F386">
        <v>2.0000000000000001E-4</v>
      </c>
      <c r="G386">
        <v>4.0000000000000002E-4</v>
      </c>
      <c r="H386">
        <v>8.0000000000000004E-4</v>
      </c>
      <c r="I386">
        <v>1.2999999999999999E-3</v>
      </c>
      <c r="J386">
        <v>4.9000000000000002E-2</v>
      </c>
    </row>
    <row r="387" spans="1:10" x14ac:dyDescent="0.4">
      <c r="A387" t="s">
        <v>29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1E-4</v>
      </c>
      <c r="H387">
        <v>1E-4</v>
      </c>
      <c r="I387">
        <v>2.0000000000000001E-4</v>
      </c>
      <c r="J387">
        <v>2.07E-2</v>
      </c>
    </row>
    <row r="389" spans="1:10" x14ac:dyDescent="0.4">
      <c r="A389">
        <v>2025</v>
      </c>
    </row>
    <row r="391" spans="1:10" x14ac:dyDescent="0.4">
      <c r="A391" t="s">
        <v>0</v>
      </c>
      <c r="B391" s="2">
        <v>0.01</v>
      </c>
      <c r="C391" s="2">
        <v>0.05</v>
      </c>
      <c r="D391" s="2">
        <v>0.1</v>
      </c>
      <c r="E391" s="2">
        <v>0.25</v>
      </c>
      <c r="F391" s="2">
        <v>0.5</v>
      </c>
      <c r="G391" s="2">
        <v>0.75</v>
      </c>
      <c r="H391" s="2">
        <v>0.9</v>
      </c>
      <c r="I391" s="2">
        <v>0.95</v>
      </c>
      <c r="J391" s="2">
        <v>0.99</v>
      </c>
    </row>
    <row r="392" spans="1:10" x14ac:dyDescent="0.4">
      <c r="A392">
        <v>1</v>
      </c>
      <c r="B392">
        <v>68.648700000000005</v>
      </c>
      <c r="C392">
        <v>70.662999999999997</v>
      </c>
      <c r="D392">
        <v>79.195599999999999</v>
      </c>
      <c r="E392">
        <v>105.0992</v>
      </c>
      <c r="F392">
        <v>168.57480000000001</v>
      </c>
      <c r="G392">
        <v>236.75620000000001</v>
      </c>
      <c r="H392">
        <v>280.38490000000002</v>
      </c>
      <c r="I392">
        <v>307.40499999999997</v>
      </c>
      <c r="J392">
        <v>359.67520000000002</v>
      </c>
    </row>
    <row r="393" spans="1:10" x14ac:dyDescent="0.4">
      <c r="A393">
        <v>2</v>
      </c>
      <c r="B393">
        <v>38.997500000000002</v>
      </c>
      <c r="C393">
        <v>42.533900000000003</v>
      </c>
      <c r="D393">
        <v>46.552900000000001</v>
      </c>
      <c r="E393">
        <v>61.732799999999997</v>
      </c>
      <c r="F393">
        <v>99.89</v>
      </c>
      <c r="G393">
        <v>141.84880000000001</v>
      </c>
      <c r="H393">
        <v>169.2285</v>
      </c>
      <c r="I393">
        <v>183.81819999999999</v>
      </c>
      <c r="J393">
        <v>214.48349999999999</v>
      </c>
    </row>
    <row r="394" spans="1:10" x14ac:dyDescent="0.4">
      <c r="A394">
        <v>3</v>
      </c>
      <c r="B394">
        <v>20.3264</v>
      </c>
      <c r="C394">
        <v>23.4238</v>
      </c>
      <c r="D394">
        <v>25.886099999999999</v>
      </c>
      <c r="E394">
        <v>34.369500000000002</v>
      </c>
      <c r="F394">
        <v>56.392099999999999</v>
      </c>
      <c r="G394">
        <v>81.232699999999994</v>
      </c>
      <c r="H394">
        <v>99.025300000000001</v>
      </c>
      <c r="I394">
        <v>107.9999</v>
      </c>
      <c r="J394">
        <v>126.9806</v>
      </c>
    </row>
    <row r="395" spans="1:10" x14ac:dyDescent="0.4">
      <c r="A395">
        <v>4</v>
      </c>
      <c r="B395">
        <v>9.6333000000000002</v>
      </c>
      <c r="C395">
        <v>11.758100000000001</v>
      </c>
      <c r="D395">
        <v>13.372</v>
      </c>
      <c r="E395">
        <v>18.183499999999999</v>
      </c>
      <c r="F395">
        <v>30.229600000000001</v>
      </c>
      <c r="G395">
        <v>44.6631</v>
      </c>
      <c r="H395">
        <v>56.400700000000001</v>
      </c>
      <c r="I395">
        <v>62.1828</v>
      </c>
      <c r="J395">
        <v>74.485399999999998</v>
      </c>
    </row>
    <row r="396" spans="1:10" x14ac:dyDescent="0.4">
      <c r="A396">
        <v>5</v>
      </c>
      <c r="B396">
        <v>9.7158999999999995</v>
      </c>
      <c r="C396">
        <v>12.9497</v>
      </c>
      <c r="D396">
        <v>14.8855</v>
      </c>
      <c r="E396">
        <v>18.818999999999999</v>
      </c>
      <c r="F396">
        <v>25.3522</v>
      </c>
      <c r="G396">
        <v>33.2761</v>
      </c>
      <c r="H396">
        <v>43.044400000000003</v>
      </c>
      <c r="I396">
        <v>49.049799999999998</v>
      </c>
      <c r="J396">
        <v>58.897199999999998</v>
      </c>
    </row>
    <row r="397" spans="1:10" x14ac:dyDescent="0.4">
      <c r="A397">
        <v>6</v>
      </c>
      <c r="B397">
        <v>2.8323999999999998</v>
      </c>
      <c r="C397">
        <v>4.0907</v>
      </c>
      <c r="D397">
        <v>4.9009</v>
      </c>
      <c r="E397">
        <v>6.2000999999999999</v>
      </c>
      <c r="F397">
        <v>7.8722000000000003</v>
      </c>
      <c r="G397">
        <v>9.8193000000000001</v>
      </c>
      <c r="H397">
        <v>12.030200000000001</v>
      </c>
      <c r="I397">
        <v>13.494300000000001</v>
      </c>
      <c r="J397">
        <v>16.372</v>
      </c>
    </row>
    <row r="398" spans="1:10" x14ac:dyDescent="0.4">
      <c r="A398">
        <v>7</v>
      </c>
      <c r="B398">
        <v>1.3021</v>
      </c>
      <c r="C398">
        <v>1.8567</v>
      </c>
      <c r="D398">
        <v>2.2115</v>
      </c>
      <c r="E398">
        <v>2.8475999999999999</v>
      </c>
      <c r="F398">
        <v>3.6223000000000001</v>
      </c>
      <c r="G398">
        <v>4.5465999999999998</v>
      </c>
      <c r="H398">
        <v>5.6528999999999998</v>
      </c>
      <c r="I398">
        <v>6.5824999999999996</v>
      </c>
      <c r="J398">
        <v>8.9620999999999995</v>
      </c>
    </row>
    <row r="399" spans="1:10" x14ac:dyDescent="0.4">
      <c r="A399">
        <v>8</v>
      </c>
      <c r="B399">
        <v>0.15329999999999999</v>
      </c>
      <c r="C399">
        <v>0.27360000000000001</v>
      </c>
      <c r="D399">
        <v>0.35020000000000001</v>
      </c>
      <c r="E399">
        <v>0.45600000000000002</v>
      </c>
      <c r="F399">
        <v>0.58330000000000004</v>
      </c>
      <c r="G399">
        <v>0.75600000000000001</v>
      </c>
      <c r="H399">
        <v>1.0004999999999999</v>
      </c>
      <c r="I399">
        <v>1.1803999999999999</v>
      </c>
      <c r="J399">
        <v>2.0985</v>
      </c>
    </row>
    <row r="400" spans="1:10" x14ac:dyDescent="0.4">
      <c r="A400">
        <v>9</v>
      </c>
      <c r="B400">
        <v>4.7300000000000002E-2</v>
      </c>
      <c r="C400">
        <v>6.4899999999999999E-2</v>
      </c>
      <c r="D400">
        <v>8.1900000000000001E-2</v>
      </c>
      <c r="E400">
        <v>0.1186</v>
      </c>
      <c r="F400">
        <v>0.1613</v>
      </c>
      <c r="G400">
        <v>0.21709999999999999</v>
      </c>
      <c r="H400">
        <v>0.3115</v>
      </c>
      <c r="I400">
        <v>0.38900000000000001</v>
      </c>
      <c r="J400">
        <v>0.83779999999999999</v>
      </c>
    </row>
    <row r="401" spans="1:10" x14ac:dyDescent="0.4">
      <c r="A401">
        <v>10</v>
      </c>
      <c r="B401">
        <v>1.2999999999999999E-2</v>
      </c>
      <c r="C401">
        <v>2.2800000000000001E-2</v>
      </c>
      <c r="D401">
        <v>2.7400000000000001E-2</v>
      </c>
      <c r="E401">
        <v>3.8800000000000001E-2</v>
      </c>
      <c r="F401">
        <v>5.74E-2</v>
      </c>
      <c r="G401">
        <v>8.14E-2</v>
      </c>
      <c r="H401">
        <v>0.13869999999999999</v>
      </c>
      <c r="I401">
        <v>0.16950000000000001</v>
      </c>
      <c r="J401">
        <v>0.55379999999999996</v>
      </c>
    </row>
    <row r="402" spans="1:10" x14ac:dyDescent="0.4">
      <c r="A402">
        <v>11</v>
      </c>
      <c r="B402">
        <v>1.5E-3</v>
      </c>
      <c r="C402">
        <v>3.0000000000000001E-3</v>
      </c>
      <c r="D402">
        <v>3.8E-3</v>
      </c>
      <c r="E402">
        <v>5.8999999999999999E-3</v>
      </c>
      <c r="F402">
        <v>9.1999999999999998E-3</v>
      </c>
      <c r="G402">
        <v>1.49E-2</v>
      </c>
      <c r="H402">
        <v>2.4500000000000001E-2</v>
      </c>
      <c r="I402">
        <v>3.2199999999999999E-2</v>
      </c>
      <c r="J402">
        <v>0.16639999999999999</v>
      </c>
    </row>
    <row r="403" spans="1:10" x14ac:dyDescent="0.4">
      <c r="A403">
        <v>12</v>
      </c>
      <c r="B403">
        <v>5.9999999999999995E-4</v>
      </c>
      <c r="C403">
        <v>1.5E-3</v>
      </c>
      <c r="D403">
        <v>2.0999999999999999E-3</v>
      </c>
      <c r="E403">
        <v>3.7000000000000002E-3</v>
      </c>
      <c r="F403">
        <v>6.6E-3</v>
      </c>
      <c r="G403">
        <v>1.15E-2</v>
      </c>
      <c r="H403">
        <v>2.1600000000000001E-2</v>
      </c>
      <c r="I403">
        <v>3.1800000000000002E-2</v>
      </c>
      <c r="J403">
        <v>0.27200000000000002</v>
      </c>
    </row>
    <row r="404" spans="1:10" x14ac:dyDescent="0.4">
      <c r="A404">
        <v>13</v>
      </c>
      <c r="B404">
        <v>0</v>
      </c>
      <c r="C404">
        <v>1E-4</v>
      </c>
      <c r="D404">
        <v>1E-4</v>
      </c>
      <c r="E404">
        <v>2.0000000000000001E-4</v>
      </c>
      <c r="F404">
        <v>5.0000000000000001E-4</v>
      </c>
      <c r="G404">
        <v>1E-3</v>
      </c>
      <c r="H404">
        <v>1.9E-3</v>
      </c>
      <c r="I404">
        <v>2.8E-3</v>
      </c>
      <c r="J404">
        <v>2.8799999999999999E-2</v>
      </c>
    </row>
    <row r="405" spans="1:10" x14ac:dyDescent="0.4">
      <c r="A405">
        <v>14</v>
      </c>
      <c r="B405">
        <v>0</v>
      </c>
      <c r="C405">
        <v>0</v>
      </c>
      <c r="D405">
        <v>0</v>
      </c>
      <c r="E405">
        <v>1E-4</v>
      </c>
      <c r="F405">
        <v>2.9999999999999997E-4</v>
      </c>
      <c r="G405">
        <v>5.0000000000000001E-4</v>
      </c>
      <c r="H405">
        <v>1.2999999999999999E-3</v>
      </c>
      <c r="I405">
        <v>2E-3</v>
      </c>
      <c r="J405">
        <v>3.2800000000000003E-2</v>
      </c>
    </row>
    <row r="406" spans="1:10" x14ac:dyDescent="0.4">
      <c r="A406" t="s">
        <v>29</v>
      </c>
      <c r="B406">
        <v>0</v>
      </c>
      <c r="C406">
        <v>0</v>
      </c>
      <c r="D406">
        <v>0</v>
      </c>
      <c r="E406">
        <v>0</v>
      </c>
      <c r="F406">
        <v>1E-4</v>
      </c>
      <c r="G406">
        <v>2.0000000000000001E-4</v>
      </c>
      <c r="H406">
        <v>5.0000000000000001E-4</v>
      </c>
      <c r="I406">
        <v>8.0000000000000004E-4</v>
      </c>
      <c r="J406">
        <v>4.0500000000000001E-2</v>
      </c>
    </row>
    <row r="408" spans="1:10" x14ac:dyDescent="0.4">
      <c r="A408">
        <v>2026</v>
      </c>
    </row>
    <row r="410" spans="1:10" x14ac:dyDescent="0.4">
      <c r="A410" t="s">
        <v>0</v>
      </c>
      <c r="B410" s="2">
        <v>0.01</v>
      </c>
      <c r="C410" s="2">
        <v>0.05</v>
      </c>
      <c r="D410" s="2">
        <v>0.1</v>
      </c>
      <c r="E410" s="2">
        <v>0.25</v>
      </c>
      <c r="F410" s="2">
        <v>0.5</v>
      </c>
      <c r="G410" s="2">
        <v>0.75</v>
      </c>
      <c r="H410" s="2">
        <v>0.9</v>
      </c>
      <c r="I410" s="2">
        <v>0.95</v>
      </c>
      <c r="J410" s="2">
        <v>0.99</v>
      </c>
    </row>
    <row r="411" spans="1:10" x14ac:dyDescent="0.4">
      <c r="A411">
        <v>1</v>
      </c>
      <c r="B411">
        <v>68.664000000000001</v>
      </c>
      <c r="C411">
        <v>70.714500000000001</v>
      </c>
      <c r="D411">
        <v>79.006799999999998</v>
      </c>
      <c r="E411">
        <v>105.2225</v>
      </c>
      <c r="F411">
        <v>168.6337</v>
      </c>
      <c r="G411">
        <v>236.999</v>
      </c>
      <c r="H411">
        <v>280.87259999999998</v>
      </c>
      <c r="I411">
        <v>307.14760000000001</v>
      </c>
      <c r="J411">
        <v>345.19290000000001</v>
      </c>
    </row>
    <row r="412" spans="1:10" x14ac:dyDescent="0.4">
      <c r="A412">
        <v>2</v>
      </c>
      <c r="B412">
        <v>38.253799999999998</v>
      </c>
      <c r="C412">
        <v>42.028500000000001</v>
      </c>
      <c r="D412">
        <v>46.113999999999997</v>
      </c>
      <c r="E412">
        <v>61.181699999999999</v>
      </c>
      <c r="F412">
        <v>98.676100000000005</v>
      </c>
      <c r="G412">
        <v>139.7252</v>
      </c>
      <c r="H412">
        <v>167.47669999999999</v>
      </c>
      <c r="I412">
        <v>182.18039999999999</v>
      </c>
      <c r="J412">
        <v>215.40799999999999</v>
      </c>
    </row>
    <row r="413" spans="1:10" x14ac:dyDescent="0.4">
      <c r="A413">
        <v>3</v>
      </c>
      <c r="B413">
        <v>15.719900000000001</v>
      </c>
      <c r="C413">
        <v>19.815300000000001</v>
      </c>
      <c r="D413">
        <v>22.3767</v>
      </c>
      <c r="E413">
        <v>30.251200000000001</v>
      </c>
      <c r="F413">
        <v>50.067300000000003</v>
      </c>
      <c r="G413">
        <v>73.085899999999995</v>
      </c>
      <c r="H413">
        <v>91.102099999999993</v>
      </c>
      <c r="I413">
        <v>99.898399999999995</v>
      </c>
      <c r="J413">
        <v>121.3759</v>
      </c>
    </row>
    <row r="414" spans="1:10" x14ac:dyDescent="0.4">
      <c r="A414">
        <v>4</v>
      </c>
      <c r="B414">
        <v>5.2340999999999998</v>
      </c>
      <c r="C414">
        <v>8.0143000000000004</v>
      </c>
      <c r="D414">
        <v>9.6935000000000002</v>
      </c>
      <c r="E414">
        <v>13.9444</v>
      </c>
      <c r="F414">
        <v>24.046199999999999</v>
      </c>
      <c r="G414">
        <v>36.892400000000002</v>
      </c>
      <c r="H414">
        <v>48.187399999999997</v>
      </c>
      <c r="I414">
        <v>53.979599999999998</v>
      </c>
      <c r="J414">
        <v>67.158600000000007</v>
      </c>
    </row>
    <row r="415" spans="1:10" x14ac:dyDescent="0.4">
      <c r="A415">
        <v>5</v>
      </c>
      <c r="B415">
        <v>2.0354999999999999</v>
      </c>
      <c r="C415">
        <v>3.5297000000000001</v>
      </c>
      <c r="D415">
        <v>4.5227000000000004</v>
      </c>
      <c r="E415">
        <v>6.8699000000000003</v>
      </c>
      <c r="F415">
        <v>12.045199999999999</v>
      </c>
      <c r="G415">
        <v>19.235900000000001</v>
      </c>
      <c r="H415">
        <v>26.1629</v>
      </c>
      <c r="I415">
        <v>29.8706</v>
      </c>
      <c r="J415">
        <v>37.860300000000002</v>
      </c>
    </row>
    <row r="416" spans="1:10" x14ac:dyDescent="0.4">
      <c r="A416">
        <v>6</v>
      </c>
      <c r="B416">
        <v>1.915</v>
      </c>
      <c r="C416">
        <v>3.5663</v>
      </c>
      <c r="D416">
        <v>4.67</v>
      </c>
      <c r="E416">
        <v>6.8531000000000004</v>
      </c>
      <c r="F416">
        <v>10.119300000000001</v>
      </c>
      <c r="G416">
        <v>14.4322</v>
      </c>
      <c r="H416">
        <v>19.509499999999999</v>
      </c>
      <c r="I416">
        <v>22.994800000000001</v>
      </c>
      <c r="J416">
        <v>29.1568</v>
      </c>
    </row>
    <row r="417" spans="1:10" x14ac:dyDescent="0.4">
      <c r="A417">
        <v>7</v>
      </c>
      <c r="B417">
        <v>0.6038</v>
      </c>
      <c r="C417">
        <v>1.1472</v>
      </c>
      <c r="D417">
        <v>1.5253000000000001</v>
      </c>
      <c r="E417">
        <v>2.2536</v>
      </c>
      <c r="F417">
        <v>3.1753999999999998</v>
      </c>
      <c r="G417">
        <v>4.2709999999999999</v>
      </c>
      <c r="H417">
        <v>5.4804000000000004</v>
      </c>
      <c r="I417">
        <v>6.3102999999999998</v>
      </c>
      <c r="J417">
        <v>7.9786999999999999</v>
      </c>
    </row>
    <row r="418" spans="1:10" x14ac:dyDescent="0.4">
      <c r="A418">
        <v>8</v>
      </c>
      <c r="B418">
        <v>0.28799999999999998</v>
      </c>
      <c r="C418">
        <v>0.54269999999999996</v>
      </c>
      <c r="D418">
        <v>0.71630000000000005</v>
      </c>
      <c r="E418">
        <v>1.0549999999999999</v>
      </c>
      <c r="F418">
        <v>1.4891000000000001</v>
      </c>
      <c r="G418">
        <v>2.0034999999999998</v>
      </c>
      <c r="H418">
        <v>2.6156999999999999</v>
      </c>
      <c r="I418">
        <v>3.093</v>
      </c>
      <c r="J418">
        <v>4.2809999999999997</v>
      </c>
    </row>
    <row r="419" spans="1:10" x14ac:dyDescent="0.4">
      <c r="A419">
        <v>9</v>
      </c>
      <c r="B419">
        <v>4.0500000000000001E-2</v>
      </c>
      <c r="C419">
        <v>8.2500000000000004E-2</v>
      </c>
      <c r="D419">
        <v>0.115</v>
      </c>
      <c r="E419">
        <v>0.1739</v>
      </c>
      <c r="F419">
        <v>0.24529999999999999</v>
      </c>
      <c r="G419">
        <v>0.33910000000000001</v>
      </c>
      <c r="H419">
        <v>0.46629999999999999</v>
      </c>
      <c r="I419">
        <v>0.57230000000000003</v>
      </c>
      <c r="J419">
        <v>0.99119999999999997</v>
      </c>
    </row>
    <row r="420" spans="1:10" x14ac:dyDescent="0.4">
      <c r="A420">
        <v>10</v>
      </c>
      <c r="B420">
        <v>1.2E-2</v>
      </c>
      <c r="C420">
        <v>2.1899999999999999E-2</v>
      </c>
      <c r="D420">
        <v>2.9399999999999999E-2</v>
      </c>
      <c r="E420">
        <v>4.65E-2</v>
      </c>
      <c r="F420">
        <v>6.93E-2</v>
      </c>
      <c r="G420">
        <v>9.8500000000000004E-2</v>
      </c>
      <c r="H420">
        <v>0.1447</v>
      </c>
      <c r="I420">
        <v>0.188</v>
      </c>
      <c r="J420">
        <v>0.4</v>
      </c>
    </row>
    <row r="421" spans="1:10" x14ac:dyDescent="0.4">
      <c r="A421">
        <v>11</v>
      </c>
      <c r="B421">
        <v>3.8999999999999998E-3</v>
      </c>
      <c r="C421">
        <v>7.4000000000000003E-3</v>
      </c>
      <c r="D421">
        <v>1.0200000000000001E-2</v>
      </c>
      <c r="E421">
        <v>1.5800000000000002E-2</v>
      </c>
      <c r="F421">
        <v>2.4799999999999999E-2</v>
      </c>
      <c r="G421">
        <v>3.7400000000000003E-2</v>
      </c>
      <c r="H421">
        <v>6.4600000000000005E-2</v>
      </c>
      <c r="I421">
        <v>8.2799999999999999E-2</v>
      </c>
      <c r="J421">
        <v>0.27029999999999998</v>
      </c>
    </row>
    <row r="422" spans="1:10" x14ac:dyDescent="0.4">
      <c r="A422">
        <v>12</v>
      </c>
      <c r="B422">
        <v>5.0000000000000001E-4</v>
      </c>
      <c r="C422">
        <v>1E-3</v>
      </c>
      <c r="D422">
        <v>1.5E-3</v>
      </c>
      <c r="E422">
        <v>2.3999999999999998E-3</v>
      </c>
      <c r="F422">
        <v>4.0000000000000001E-3</v>
      </c>
      <c r="G422">
        <v>6.7999999999999996E-3</v>
      </c>
      <c r="H422">
        <v>1.15E-2</v>
      </c>
      <c r="I422">
        <v>1.54E-2</v>
      </c>
      <c r="J422">
        <v>8.1299999999999997E-2</v>
      </c>
    </row>
    <row r="423" spans="1:10" x14ac:dyDescent="0.4">
      <c r="A423">
        <v>13</v>
      </c>
      <c r="B423">
        <v>2.0000000000000001E-4</v>
      </c>
      <c r="C423">
        <v>5.9999999999999995E-4</v>
      </c>
      <c r="D423">
        <v>8.0000000000000004E-4</v>
      </c>
      <c r="E423">
        <v>1.5E-3</v>
      </c>
      <c r="F423">
        <v>2.8999999999999998E-3</v>
      </c>
      <c r="G423">
        <v>5.1999999999999998E-3</v>
      </c>
      <c r="H423">
        <v>1.03E-2</v>
      </c>
      <c r="I423">
        <v>1.52E-2</v>
      </c>
      <c r="J423">
        <v>0.13420000000000001</v>
      </c>
    </row>
    <row r="424" spans="1:10" x14ac:dyDescent="0.4">
      <c r="A424">
        <v>14</v>
      </c>
      <c r="B424">
        <v>0</v>
      </c>
      <c r="C424">
        <v>0</v>
      </c>
      <c r="D424">
        <v>0</v>
      </c>
      <c r="E424">
        <v>1E-4</v>
      </c>
      <c r="F424">
        <v>2.0000000000000001E-4</v>
      </c>
      <c r="G424">
        <v>5.0000000000000001E-4</v>
      </c>
      <c r="H424">
        <v>8.9999999999999998E-4</v>
      </c>
      <c r="I424">
        <v>1.2999999999999999E-3</v>
      </c>
      <c r="J424">
        <v>1.44E-2</v>
      </c>
    </row>
    <row r="425" spans="1:10" x14ac:dyDescent="0.4">
      <c r="A425" t="s">
        <v>29</v>
      </c>
      <c r="B425">
        <v>0</v>
      </c>
      <c r="C425">
        <v>0</v>
      </c>
      <c r="D425">
        <v>0</v>
      </c>
      <c r="E425">
        <v>1E-4</v>
      </c>
      <c r="F425">
        <v>2.0000000000000001E-4</v>
      </c>
      <c r="G425">
        <v>2.9999999999999997E-4</v>
      </c>
      <c r="H425">
        <v>8.0000000000000004E-4</v>
      </c>
      <c r="I425">
        <v>1.4E-3</v>
      </c>
      <c r="J425">
        <v>3.6600000000000001E-2</v>
      </c>
    </row>
    <row r="427" spans="1:10" x14ac:dyDescent="0.4">
      <c r="A427">
        <v>2027</v>
      </c>
    </row>
    <row r="429" spans="1:10" x14ac:dyDescent="0.4">
      <c r="A429" t="s">
        <v>0</v>
      </c>
      <c r="B429" s="2">
        <v>0.01</v>
      </c>
      <c r="C429" s="2">
        <v>0.05</v>
      </c>
      <c r="D429" s="2">
        <v>0.1</v>
      </c>
      <c r="E429" s="2">
        <v>0.25</v>
      </c>
      <c r="F429" s="2">
        <v>0.5</v>
      </c>
      <c r="G429" s="2">
        <v>0.75</v>
      </c>
      <c r="H429" s="2">
        <v>0.9</v>
      </c>
      <c r="I429" s="2">
        <v>0.95</v>
      </c>
      <c r="J429" s="2">
        <v>0.99</v>
      </c>
    </row>
    <row r="430" spans="1:10" x14ac:dyDescent="0.4">
      <c r="A430">
        <v>1</v>
      </c>
      <c r="B430">
        <v>68.654499999999999</v>
      </c>
      <c r="C430">
        <v>70.751800000000003</v>
      </c>
      <c r="D430">
        <v>78.997</v>
      </c>
      <c r="E430">
        <v>104.7022</v>
      </c>
      <c r="F430">
        <v>168.4863</v>
      </c>
      <c r="G430">
        <v>236.25800000000001</v>
      </c>
      <c r="H430">
        <v>280.83069999999998</v>
      </c>
      <c r="I430">
        <v>307.4307</v>
      </c>
      <c r="J430">
        <v>336.60300000000001</v>
      </c>
    </row>
    <row r="431" spans="1:10" x14ac:dyDescent="0.4">
      <c r="A431">
        <v>2</v>
      </c>
      <c r="B431">
        <v>37.027099999999997</v>
      </c>
      <c r="C431">
        <v>41.334899999999998</v>
      </c>
      <c r="D431">
        <v>45.296799999999998</v>
      </c>
      <c r="E431">
        <v>60.259500000000003</v>
      </c>
      <c r="F431">
        <v>97.483999999999995</v>
      </c>
      <c r="G431">
        <v>138.31110000000001</v>
      </c>
      <c r="H431">
        <v>166.01</v>
      </c>
      <c r="I431">
        <v>180.32339999999999</v>
      </c>
      <c r="J431">
        <v>209.5538</v>
      </c>
    </row>
    <row r="432" spans="1:10" x14ac:dyDescent="0.4">
      <c r="A432">
        <v>3</v>
      </c>
      <c r="B432">
        <v>10.700699999999999</v>
      </c>
      <c r="C432">
        <v>17.151199999999999</v>
      </c>
      <c r="D432">
        <v>20.350200000000001</v>
      </c>
      <c r="E432">
        <v>28.0169</v>
      </c>
      <c r="F432">
        <v>46.881300000000003</v>
      </c>
      <c r="G432">
        <v>69.116399999999999</v>
      </c>
      <c r="H432">
        <v>87.821600000000004</v>
      </c>
      <c r="I432">
        <v>97.176599999999993</v>
      </c>
      <c r="J432">
        <v>119.0299</v>
      </c>
    </row>
    <row r="433" spans="1:10" x14ac:dyDescent="0.4">
      <c r="A433">
        <v>4</v>
      </c>
      <c r="B433">
        <v>1.8793</v>
      </c>
      <c r="C433">
        <v>4.8253000000000004</v>
      </c>
      <c r="D433">
        <v>6.7538999999999998</v>
      </c>
      <c r="E433">
        <v>10.8712</v>
      </c>
      <c r="F433">
        <v>19.5092</v>
      </c>
      <c r="G433">
        <v>31.349399999999999</v>
      </c>
      <c r="H433">
        <v>42.677100000000003</v>
      </c>
      <c r="I433">
        <v>48.561500000000002</v>
      </c>
      <c r="J433">
        <v>62.642899999999997</v>
      </c>
    </row>
    <row r="434" spans="1:10" x14ac:dyDescent="0.4">
      <c r="A434">
        <v>5</v>
      </c>
      <c r="B434">
        <v>0.42349999999999999</v>
      </c>
      <c r="C434">
        <v>1.5671999999999999</v>
      </c>
      <c r="D434">
        <v>2.4641999999999999</v>
      </c>
      <c r="E434">
        <v>4.5292000000000003</v>
      </c>
      <c r="F434">
        <v>8.6425000000000001</v>
      </c>
      <c r="G434">
        <v>14.920999999999999</v>
      </c>
      <c r="H434">
        <v>21.360800000000001</v>
      </c>
      <c r="I434">
        <v>25.036999999999999</v>
      </c>
      <c r="J434">
        <v>33.329700000000003</v>
      </c>
    </row>
    <row r="435" spans="1:10" x14ac:dyDescent="0.4">
      <c r="A435">
        <v>6</v>
      </c>
      <c r="B435">
        <v>0.14940000000000001</v>
      </c>
      <c r="C435">
        <v>0.64700000000000002</v>
      </c>
      <c r="D435">
        <v>1.0916999999999999</v>
      </c>
      <c r="E435">
        <v>2.1518999999999999</v>
      </c>
      <c r="F435">
        <v>4.2210000000000001</v>
      </c>
      <c r="G435">
        <v>7.5959000000000003</v>
      </c>
      <c r="H435">
        <v>11.2536</v>
      </c>
      <c r="I435">
        <v>13.5076</v>
      </c>
      <c r="J435">
        <v>18.473299999999998</v>
      </c>
    </row>
    <row r="436" spans="1:10" x14ac:dyDescent="0.4">
      <c r="A436">
        <v>7</v>
      </c>
      <c r="B436">
        <v>0.1368</v>
      </c>
      <c r="C436">
        <v>0.62770000000000004</v>
      </c>
      <c r="D436">
        <v>1.0794999999999999</v>
      </c>
      <c r="E436">
        <v>2.0914000000000001</v>
      </c>
      <c r="F436">
        <v>3.6692999999999998</v>
      </c>
      <c r="G436">
        <v>5.8586999999999998</v>
      </c>
      <c r="H436">
        <v>8.4679000000000002</v>
      </c>
      <c r="I436">
        <v>10.316000000000001</v>
      </c>
      <c r="J436">
        <v>14.059900000000001</v>
      </c>
    </row>
    <row r="437" spans="1:10" x14ac:dyDescent="0.4">
      <c r="A437">
        <v>8</v>
      </c>
      <c r="B437">
        <v>4.5600000000000002E-2</v>
      </c>
      <c r="C437">
        <v>0.21129999999999999</v>
      </c>
      <c r="D437">
        <v>0.36049999999999999</v>
      </c>
      <c r="E437">
        <v>0.69469999999999998</v>
      </c>
      <c r="F437">
        <v>1.1811</v>
      </c>
      <c r="G437">
        <v>1.7718</v>
      </c>
      <c r="H437">
        <v>2.4262000000000001</v>
      </c>
      <c r="I437">
        <v>2.8782999999999999</v>
      </c>
      <c r="J437">
        <v>3.8582000000000001</v>
      </c>
    </row>
    <row r="438" spans="1:10" x14ac:dyDescent="0.4">
      <c r="A438">
        <v>9</v>
      </c>
      <c r="B438">
        <v>2.3300000000000001E-2</v>
      </c>
      <c r="C438">
        <v>0.10639999999999999</v>
      </c>
      <c r="D438">
        <v>0.1779</v>
      </c>
      <c r="E438">
        <v>0.33829999999999999</v>
      </c>
      <c r="F438">
        <v>0.56799999999999995</v>
      </c>
      <c r="G438">
        <v>0.85209999999999997</v>
      </c>
      <c r="H438">
        <v>1.1788000000000001</v>
      </c>
      <c r="I438">
        <v>1.4260999999999999</v>
      </c>
      <c r="J438">
        <v>2.0284</v>
      </c>
    </row>
    <row r="439" spans="1:10" x14ac:dyDescent="0.4">
      <c r="A439">
        <v>10</v>
      </c>
      <c r="B439">
        <v>3.8E-3</v>
      </c>
      <c r="C439">
        <v>1.7299999999999999E-2</v>
      </c>
      <c r="D439">
        <v>2.9600000000000001E-2</v>
      </c>
      <c r="E439">
        <v>5.74E-2</v>
      </c>
      <c r="F439">
        <v>9.6299999999999997E-2</v>
      </c>
      <c r="G439">
        <v>0.14649999999999999</v>
      </c>
      <c r="H439">
        <v>0.21190000000000001</v>
      </c>
      <c r="I439">
        <v>0.26750000000000002</v>
      </c>
      <c r="J439">
        <v>0.45669999999999999</v>
      </c>
    </row>
    <row r="440" spans="1:10" x14ac:dyDescent="0.4">
      <c r="A440">
        <v>11</v>
      </c>
      <c r="B440">
        <v>1.1999999999999999E-3</v>
      </c>
      <c r="C440">
        <v>5.0000000000000001E-3</v>
      </c>
      <c r="D440">
        <v>8.3000000000000001E-3</v>
      </c>
      <c r="E440">
        <v>1.5900000000000001E-2</v>
      </c>
      <c r="F440">
        <v>2.75E-2</v>
      </c>
      <c r="G440">
        <v>4.2900000000000001E-2</v>
      </c>
      <c r="H440">
        <v>6.54E-2</v>
      </c>
      <c r="I440">
        <v>8.7999999999999995E-2</v>
      </c>
      <c r="J440">
        <v>0.183</v>
      </c>
    </row>
    <row r="441" spans="1:10" x14ac:dyDescent="0.4">
      <c r="A441">
        <v>12</v>
      </c>
      <c r="B441">
        <v>5.0000000000000001E-4</v>
      </c>
      <c r="C441">
        <v>1.8E-3</v>
      </c>
      <c r="D441">
        <v>2.8999999999999998E-3</v>
      </c>
      <c r="E441">
        <v>5.5999999999999999E-3</v>
      </c>
      <c r="F441">
        <v>0.01</v>
      </c>
      <c r="G441">
        <v>1.6400000000000001E-2</v>
      </c>
      <c r="H441">
        <v>2.8500000000000001E-2</v>
      </c>
      <c r="I441">
        <v>3.9399999999999998E-2</v>
      </c>
      <c r="J441">
        <v>0.12529999999999999</v>
      </c>
    </row>
    <row r="442" spans="1:10" x14ac:dyDescent="0.4">
      <c r="A442">
        <v>13</v>
      </c>
      <c r="B442">
        <v>1E-4</v>
      </c>
      <c r="C442">
        <v>2.9999999999999997E-4</v>
      </c>
      <c r="D442">
        <v>4.0000000000000002E-4</v>
      </c>
      <c r="E442">
        <v>8.9999999999999998E-4</v>
      </c>
      <c r="F442">
        <v>1.6000000000000001E-3</v>
      </c>
      <c r="G442">
        <v>2.8999999999999998E-3</v>
      </c>
      <c r="H442">
        <v>5.1999999999999998E-3</v>
      </c>
      <c r="I442">
        <v>7.3000000000000001E-3</v>
      </c>
      <c r="J442">
        <v>3.7600000000000001E-2</v>
      </c>
    </row>
    <row r="443" spans="1:10" x14ac:dyDescent="0.4">
      <c r="A443">
        <v>14</v>
      </c>
      <c r="B443">
        <v>0</v>
      </c>
      <c r="C443">
        <v>2.0000000000000001E-4</v>
      </c>
      <c r="D443">
        <v>2.9999999999999997E-4</v>
      </c>
      <c r="E443">
        <v>5.9999999999999995E-4</v>
      </c>
      <c r="F443">
        <v>1.1999999999999999E-3</v>
      </c>
      <c r="G443">
        <v>2.3E-3</v>
      </c>
      <c r="H443">
        <v>4.5999999999999999E-3</v>
      </c>
      <c r="I443">
        <v>7.0000000000000001E-3</v>
      </c>
      <c r="J443">
        <v>6.3E-2</v>
      </c>
    </row>
    <row r="444" spans="1:10" x14ac:dyDescent="0.4">
      <c r="A444" t="s">
        <v>29</v>
      </c>
      <c r="B444">
        <v>0</v>
      </c>
      <c r="C444">
        <v>0</v>
      </c>
      <c r="D444">
        <v>0</v>
      </c>
      <c r="E444">
        <v>1E-4</v>
      </c>
      <c r="F444">
        <v>2.0000000000000001E-4</v>
      </c>
      <c r="G444">
        <v>2.9999999999999997E-4</v>
      </c>
      <c r="H444">
        <v>8.0000000000000004E-4</v>
      </c>
      <c r="I444">
        <v>1.1999999999999999E-3</v>
      </c>
      <c r="J444">
        <v>2.4400000000000002E-2</v>
      </c>
    </row>
    <row r="446" spans="1:10" x14ac:dyDescent="0.4">
      <c r="A446">
        <v>2028</v>
      </c>
    </row>
    <row r="448" spans="1:10" x14ac:dyDescent="0.4">
      <c r="A448" t="s">
        <v>0</v>
      </c>
      <c r="B448" s="2">
        <v>0.01</v>
      </c>
      <c r="C448" s="2">
        <v>0.05</v>
      </c>
      <c r="D448" s="2">
        <v>0.1</v>
      </c>
      <c r="E448" s="2">
        <v>0.25</v>
      </c>
      <c r="F448" s="2">
        <v>0.5</v>
      </c>
      <c r="G448" s="2">
        <v>0.75</v>
      </c>
      <c r="H448" s="2">
        <v>0.9</v>
      </c>
      <c r="I448" s="2">
        <v>0.95</v>
      </c>
      <c r="J448" s="2">
        <v>0.99</v>
      </c>
    </row>
    <row r="449" spans="1:10" x14ac:dyDescent="0.4">
      <c r="A449">
        <v>1</v>
      </c>
      <c r="B449">
        <v>68.633300000000006</v>
      </c>
      <c r="C449">
        <v>70.503699999999995</v>
      </c>
      <c r="D449">
        <v>78.971800000000002</v>
      </c>
      <c r="E449">
        <v>104.7756</v>
      </c>
      <c r="F449">
        <v>168.51079999999999</v>
      </c>
      <c r="G449">
        <v>236.6086</v>
      </c>
      <c r="H449">
        <v>280.18689999999998</v>
      </c>
      <c r="I449">
        <v>307.15780000000001</v>
      </c>
      <c r="J449">
        <v>325.74220000000003</v>
      </c>
    </row>
    <row r="450" spans="1:10" x14ac:dyDescent="0.4">
      <c r="A450">
        <v>2</v>
      </c>
      <c r="B450">
        <v>37.678699999999999</v>
      </c>
      <c r="C450">
        <v>41.985599999999998</v>
      </c>
      <c r="D450">
        <v>45.936399999999999</v>
      </c>
      <c r="E450">
        <v>61.063499999999998</v>
      </c>
      <c r="F450">
        <v>98.695999999999998</v>
      </c>
      <c r="G450">
        <v>139.82550000000001</v>
      </c>
      <c r="H450">
        <v>168.2353</v>
      </c>
      <c r="I450">
        <v>183.114</v>
      </c>
      <c r="J450">
        <v>209.10339999999999</v>
      </c>
    </row>
    <row r="451" spans="1:10" x14ac:dyDescent="0.4">
      <c r="A451">
        <v>3</v>
      </c>
      <c r="B451">
        <v>9.9953000000000003</v>
      </c>
      <c r="C451">
        <v>17.729500000000002</v>
      </c>
      <c r="D451">
        <v>21.134899999999998</v>
      </c>
      <c r="E451">
        <v>29.213899999999999</v>
      </c>
      <c r="F451">
        <v>49.066099999999999</v>
      </c>
      <c r="G451">
        <v>71.872699999999995</v>
      </c>
      <c r="H451">
        <v>91.101600000000005</v>
      </c>
      <c r="I451">
        <v>100.46559999999999</v>
      </c>
      <c r="J451">
        <v>121.4496</v>
      </c>
    </row>
    <row r="452" spans="1:10" x14ac:dyDescent="0.4">
      <c r="A452">
        <v>4</v>
      </c>
      <c r="B452">
        <v>1.0589</v>
      </c>
      <c r="C452">
        <v>4.3762999999999996</v>
      </c>
      <c r="D452">
        <v>6.5841000000000003</v>
      </c>
      <c r="E452">
        <v>11.133900000000001</v>
      </c>
      <c r="F452">
        <v>20.0579</v>
      </c>
      <c r="G452">
        <v>32.456200000000003</v>
      </c>
      <c r="H452">
        <v>44.381100000000004</v>
      </c>
      <c r="I452">
        <v>50.65</v>
      </c>
      <c r="J452">
        <v>65.761399999999995</v>
      </c>
    </row>
    <row r="453" spans="1:10" x14ac:dyDescent="0.4">
      <c r="A453">
        <v>5</v>
      </c>
      <c r="B453">
        <v>0.1138</v>
      </c>
      <c r="C453">
        <v>0.97860000000000003</v>
      </c>
      <c r="D453">
        <v>1.8498000000000001</v>
      </c>
      <c r="E453">
        <v>3.9295</v>
      </c>
      <c r="F453">
        <v>7.9264000000000001</v>
      </c>
      <c r="G453">
        <v>14.1418</v>
      </c>
      <c r="H453">
        <v>20.6967</v>
      </c>
      <c r="I453">
        <v>24.559799999999999</v>
      </c>
      <c r="J453">
        <v>33.473100000000002</v>
      </c>
    </row>
    <row r="454" spans="1:10" x14ac:dyDescent="0.4">
      <c r="A454">
        <v>6</v>
      </c>
      <c r="B454">
        <v>2.3300000000000001E-2</v>
      </c>
      <c r="C454">
        <v>0.29549999999999998</v>
      </c>
      <c r="D454">
        <v>0.63859999999999995</v>
      </c>
      <c r="E454">
        <v>1.5733999999999999</v>
      </c>
      <c r="F454">
        <v>3.4464000000000001</v>
      </c>
      <c r="G454">
        <v>6.5871000000000004</v>
      </c>
      <c r="H454">
        <v>10.142899999999999</v>
      </c>
      <c r="I454">
        <v>12.423400000000001</v>
      </c>
      <c r="J454">
        <v>17.575600000000001</v>
      </c>
    </row>
    <row r="455" spans="1:10" x14ac:dyDescent="0.4">
      <c r="A455">
        <v>7</v>
      </c>
      <c r="B455">
        <v>7.9000000000000008E-3</v>
      </c>
      <c r="C455">
        <v>0.1225</v>
      </c>
      <c r="D455">
        <v>0.28289999999999998</v>
      </c>
      <c r="E455">
        <v>0.74629999999999996</v>
      </c>
      <c r="F455">
        <v>1.6998</v>
      </c>
      <c r="G455">
        <v>3.3540000000000001</v>
      </c>
      <c r="H455">
        <v>5.3482000000000003</v>
      </c>
      <c r="I455">
        <v>6.6897000000000002</v>
      </c>
      <c r="J455">
        <v>9.6860999999999997</v>
      </c>
    </row>
    <row r="456" spans="1:10" x14ac:dyDescent="0.4">
      <c r="A456">
        <v>8</v>
      </c>
      <c r="B456">
        <v>7.3000000000000001E-3</v>
      </c>
      <c r="C456">
        <v>0.1205</v>
      </c>
      <c r="D456">
        <v>0.27900000000000003</v>
      </c>
      <c r="E456">
        <v>0.73019999999999996</v>
      </c>
      <c r="F456">
        <v>1.5224</v>
      </c>
      <c r="G456">
        <v>2.6774</v>
      </c>
      <c r="H456">
        <v>4.0891999999999999</v>
      </c>
      <c r="I456">
        <v>5.1345000000000001</v>
      </c>
      <c r="J456">
        <v>7.3723999999999998</v>
      </c>
    </row>
    <row r="457" spans="1:10" x14ac:dyDescent="0.4">
      <c r="A457">
        <v>9</v>
      </c>
      <c r="B457">
        <v>2.5999999999999999E-3</v>
      </c>
      <c r="C457">
        <v>4.24E-2</v>
      </c>
      <c r="D457">
        <v>9.6100000000000005E-2</v>
      </c>
      <c r="E457">
        <v>0.2477</v>
      </c>
      <c r="F457">
        <v>0.49980000000000002</v>
      </c>
      <c r="G457">
        <v>0.8296</v>
      </c>
      <c r="H457">
        <v>1.1996</v>
      </c>
      <c r="I457">
        <v>1.4630000000000001</v>
      </c>
      <c r="J457">
        <v>2.0457000000000001</v>
      </c>
    </row>
    <row r="458" spans="1:10" x14ac:dyDescent="0.4">
      <c r="A458">
        <v>10</v>
      </c>
      <c r="B458">
        <v>1.5E-3</v>
      </c>
      <c r="C458">
        <v>2.2499999999999999E-2</v>
      </c>
      <c r="D458">
        <v>4.9399999999999999E-2</v>
      </c>
      <c r="E458">
        <v>0.12379999999999999</v>
      </c>
      <c r="F458">
        <v>0.245</v>
      </c>
      <c r="G458">
        <v>0.40479999999999999</v>
      </c>
      <c r="H458">
        <v>0.58950000000000002</v>
      </c>
      <c r="I458">
        <v>0.72770000000000001</v>
      </c>
      <c r="J458">
        <v>1.0656000000000001</v>
      </c>
    </row>
    <row r="459" spans="1:10" x14ac:dyDescent="0.4">
      <c r="A459">
        <v>11</v>
      </c>
      <c r="B459">
        <v>2.9999999999999997E-4</v>
      </c>
      <c r="C459">
        <v>3.8E-3</v>
      </c>
      <c r="D459">
        <v>8.5000000000000006E-3</v>
      </c>
      <c r="E459">
        <v>2.1399999999999999E-2</v>
      </c>
      <c r="F459">
        <v>4.2299999999999997E-2</v>
      </c>
      <c r="G459">
        <v>7.0499999999999993E-2</v>
      </c>
      <c r="H459">
        <v>0.1065</v>
      </c>
      <c r="I459">
        <v>0.13739999999999999</v>
      </c>
      <c r="J459">
        <v>0.23319999999999999</v>
      </c>
    </row>
    <row r="460" spans="1:10" x14ac:dyDescent="0.4">
      <c r="A460">
        <v>12</v>
      </c>
      <c r="B460">
        <v>1E-4</v>
      </c>
      <c r="C460">
        <v>1.1999999999999999E-3</v>
      </c>
      <c r="D460">
        <v>2.5000000000000001E-3</v>
      </c>
      <c r="E460">
        <v>6.1000000000000004E-3</v>
      </c>
      <c r="F460">
        <v>1.2200000000000001E-2</v>
      </c>
      <c r="G460">
        <v>2.0799999999999999E-2</v>
      </c>
      <c r="H460">
        <v>3.2800000000000003E-2</v>
      </c>
      <c r="I460">
        <v>4.48E-2</v>
      </c>
      <c r="J460">
        <v>9.2999999999999999E-2</v>
      </c>
    </row>
    <row r="461" spans="1:10" x14ac:dyDescent="0.4">
      <c r="A461">
        <v>13</v>
      </c>
      <c r="B461">
        <v>0</v>
      </c>
      <c r="C461">
        <v>4.0000000000000002E-4</v>
      </c>
      <c r="D461">
        <v>8.9999999999999998E-4</v>
      </c>
      <c r="E461">
        <v>2.2000000000000001E-3</v>
      </c>
      <c r="F461">
        <v>4.4999999999999997E-3</v>
      </c>
      <c r="G461">
        <v>8.0000000000000002E-3</v>
      </c>
      <c r="H461">
        <v>1.4E-2</v>
      </c>
      <c r="I461">
        <v>2.0199999999999999E-2</v>
      </c>
      <c r="J461">
        <v>6.1400000000000003E-2</v>
      </c>
    </row>
    <row r="462" spans="1:10" x14ac:dyDescent="0.4">
      <c r="A462">
        <v>14</v>
      </c>
      <c r="B462">
        <v>0</v>
      </c>
      <c r="C462">
        <v>1E-4</v>
      </c>
      <c r="D462">
        <v>1E-4</v>
      </c>
      <c r="E462">
        <v>4.0000000000000002E-4</v>
      </c>
      <c r="F462">
        <v>6.9999999999999999E-4</v>
      </c>
      <c r="G462">
        <v>1.4E-3</v>
      </c>
      <c r="H462">
        <v>2.5999999999999999E-3</v>
      </c>
      <c r="I462">
        <v>3.8E-3</v>
      </c>
      <c r="J462">
        <v>1.8800000000000001E-2</v>
      </c>
    </row>
    <row r="463" spans="1:10" x14ac:dyDescent="0.4">
      <c r="A463" t="s">
        <v>29</v>
      </c>
      <c r="B463">
        <v>0</v>
      </c>
      <c r="C463">
        <v>0</v>
      </c>
      <c r="D463">
        <v>1E-4</v>
      </c>
      <c r="E463">
        <v>2.9999999999999997E-4</v>
      </c>
      <c r="F463">
        <v>5.9999999999999995E-4</v>
      </c>
      <c r="G463">
        <v>1.1999999999999999E-3</v>
      </c>
      <c r="H463">
        <v>2.5999999999999999E-3</v>
      </c>
      <c r="I463">
        <v>4.1999999999999997E-3</v>
      </c>
      <c r="J463">
        <v>4.4299999999999999E-2</v>
      </c>
    </row>
    <row r="465" spans="1:10" x14ac:dyDescent="0.4">
      <c r="A465">
        <v>2029</v>
      </c>
    </row>
    <row r="467" spans="1:10" x14ac:dyDescent="0.4">
      <c r="A467" t="s">
        <v>0</v>
      </c>
      <c r="B467" s="2">
        <v>0.01</v>
      </c>
      <c r="C467" s="2">
        <v>0.05</v>
      </c>
      <c r="D467" s="2">
        <v>0.1</v>
      </c>
      <c r="E467" s="2">
        <v>0.25</v>
      </c>
      <c r="F467" s="2">
        <v>0.5</v>
      </c>
      <c r="G467" s="2">
        <v>0.75</v>
      </c>
      <c r="H467" s="2">
        <v>0.9</v>
      </c>
      <c r="I467" s="2">
        <v>0.95</v>
      </c>
      <c r="J467" s="2">
        <v>0.99</v>
      </c>
    </row>
    <row r="468" spans="1:10" x14ac:dyDescent="0.4">
      <c r="A468">
        <v>1</v>
      </c>
      <c r="B468">
        <v>68.645399999999995</v>
      </c>
      <c r="C468">
        <v>70.829400000000007</v>
      </c>
      <c r="D468">
        <v>79.066100000000006</v>
      </c>
      <c r="E468">
        <v>105.12609999999999</v>
      </c>
      <c r="F468">
        <v>168.4984</v>
      </c>
      <c r="G468">
        <v>236.88220000000001</v>
      </c>
      <c r="H468">
        <v>280.16860000000003</v>
      </c>
      <c r="I468">
        <v>307.1053</v>
      </c>
      <c r="J468">
        <v>327.0942</v>
      </c>
    </row>
    <row r="469" spans="1:10" x14ac:dyDescent="0.4">
      <c r="A469">
        <v>2</v>
      </c>
      <c r="B469">
        <v>37.3476</v>
      </c>
      <c r="C469">
        <v>41.7605</v>
      </c>
      <c r="D469">
        <v>45.6843</v>
      </c>
      <c r="E469">
        <v>60.738900000000001</v>
      </c>
      <c r="F469">
        <v>98.4422</v>
      </c>
      <c r="G469">
        <v>139.42910000000001</v>
      </c>
      <c r="H469">
        <v>167.52869999999999</v>
      </c>
      <c r="I469">
        <v>182.61240000000001</v>
      </c>
      <c r="J469">
        <v>207.51519999999999</v>
      </c>
    </row>
    <row r="470" spans="1:10" x14ac:dyDescent="0.4">
      <c r="A470">
        <v>3</v>
      </c>
      <c r="B470">
        <v>11.0945</v>
      </c>
      <c r="C470">
        <v>18.845800000000001</v>
      </c>
      <c r="D470">
        <v>22.120699999999999</v>
      </c>
      <c r="E470">
        <v>30.305499999999999</v>
      </c>
      <c r="F470">
        <v>50.549199999999999</v>
      </c>
      <c r="G470">
        <v>73.876800000000003</v>
      </c>
      <c r="H470">
        <v>93.513499999999993</v>
      </c>
      <c r="I470">
        <v>103.0014</v>
      </c>
      <c r="J470">
        <v>122.6823</v>
      </c>
    </row>
    <row r="471" spans="1:10" x14ac:dyDescent="0.4">
      <c r="A471">
        <v>4</v>
      </c>
      <c r="B471">
        <v>1.2439</v>
      </c>
      <c r="C471">
        <v>5.1630000000000003</v>
      </c>
      <c r="D471">
        <v>7.6458000000000004</v>
      </c>
      <c r="E471">
        <v>12.4468</v>
      </c>
      <c r="F471">
        <v>22.212199999999999</v>
      </c>
      <c r="G471">
        <v>35.148400000000002</v>
      </c>
      <c r="H471">
        <v>47.548400000000001</v>
      </c>
      <c r="I471">
        <v>53.973500000000001</v>
      </c>
      <c r="J471">
        <v>68.814400000000006</v>
      </c>
    </row>
    <row r="472" spans="1:10" x14ac:dyDescent="0.4">
      <c r="A472">
        <v>5</v>
      </c>
      <c r="B472">
        <v>9.4100000000000003E-2</v>
      </c>
      <c r="C472">
        <v>1.0405</v>
      </c>
      <c r="D472">
        <v>2.0244</v>
      </c>
      <c r="E472">
        <v>4.3997000000000002</v>
      </c>
      <c r="F472">
        <v>8.7438000000000002</v>
      </c>
      <c r="G472">
        <v>15.5189</v>
      </c>
      <c r="H472">
        <v>22.527999999999999</v>
      </c>
      <c r="I472">
        <v>26.688800000000001</v>
      </c>
      <c r="J472">
        <v>36.357999999999997</v>
      </c>
    </row>
    <row r="473" spans="1:10" x14ac:dyDescent="0.4">
      <c r="A473">
        <v>6</v>
      </c>
      <c r="B473">
        <v>9.1999999999999998E-3</v>
      </c>
      <c r="C473">
        <v>0.21870000000000001</v>
      </c>
      <c r="D473">
        <v>0.53500000000000003</v>
      </c>
      <c r="E473">
        <v>1.4954000000000001</v>
      </c>
      <c r="F473">
        <v>3.3967000000000001</v>
      </c>
      <c r="G473">
        <v>6.6268000000000002</v>
      </c>
      <c r="H473">
        <v>10.3087</v>
      </c>
      <c r="I473">
        <v>12.6959</v>
      </c>
      <c r="J473">
        <v>18.308900000000001</v>
      </c>
    </row>
    <row r="474" spans="1:10" x14ac:dyDescent="0.4">
      <c r="A474">
        <v>7</v>
      </c>
      <c r="B474">
        <v>1.6999999999999999E-3</v>
      </c>
      <c r="C474">
        <v>6.59E-2</v>
      </c>
      <c r="D474">
        <v>0.185</v>
      </c>
      <c r="E474">
        <v>0.5978</v>
      </c>
      <c r="F474">
        <v>1.4855</v>
      </c>
      <c r="G474">
        <v>3.0903999999999998</v>
      </c>
      <c r="H474">
        <v>5.0632000000000001</v>
      </c>
      <c r="I474">
        <v>6.4085999999999999</v>
      </c>
      <c r="J474">
        <v>9.5160999999999998</v>
      </c>
    </row>
    <row r="475" spans="1:10" x14ac:dyDescent="0.4">
      <c r="A475">
        <v>8</v>
      </c>
      <c r="B475">
        <v>8.9999999999999998E-4</v>
      </c>
      <c r="C475">
        <v>2.8000000000000001E-2</v>
      </c>
      <c r="D475">
        <v>8.3400000000000002E-2</v>
      </c>
      <c r="E475">
        <v>0.2858</v>
      </c>
      <c r="F475">
        <v>0.74509999999999998</v>
      </c>
      <c r="G475">
        <v>1.587</v>
      </c>
      <c r="H475">
        <v>2.6947999999999999</v>
      </c>
      <c r="I475">
        <v>3.4685000000000001</v>
      </c>
      <c r="J475">
        <v>5.2923</v>
      </c>
    </row>
    <row r="476" spans="1:10" x14ac:dyDescent="0.4">
      <c r="A476">
        <v>9</v>
      </c>
      <c r="B476">
        <v>8.0000000000000004E-4</v>
      </c>
      <c r="C476">
        <v>2.7799999999999998E-2</v>
      </c>
      <c r="D476">
        <v>8.3199999999999996E-2</v>
      </c>
      <c r="E476">
        <v>0.28349999999999997</v>
      </c>
      <c r="F476">
        <v>0.68269999999999997</v>
      </c>
      <c r="G476">
        <v>1.3084</v>
      </c>
      <c r="H476">
        <v>2.0971000000000002</v>
      </c>
      <c r="I476">
        <v>2.7115999999999998</v>
      </c>
      <c r="J476">
        <v>4.0467000000000004</v>
      </c>
    </row>
    <row r="477" spans="1:10" x14ac:dyDescent="0.4">
      <c r="A477">
        <v>10</v>
      </c>
      <c r="B477">
        <v>2.9999999999999997E-4</v>
      </c>
      <c r="C477">
        <v>1.01E-2</v>
      </c>
      <c r="D477">
        <v>2.9700000000000001E-2</v>
      </c>
      <c r="E477">
        <v>9.8199999999999996E-2</v>
      </c>
      <c r="F477">
        <v>0.22789999999999999</v>
      </c>
      <c r="G477">
        <v>0.41139999999999999</v>
      </c>
      <c r="H477">
        <v>0.62739999999999996</v>
      </c>
      <c r="I477">
        <v>0.78249999999999997</v>
      </c>
      <c r="J477">
        <v>1.1369</v>
      </c>
    </row>
    <row r="478" spans="1:10" x14ac:dyDescent="0.4">
      <c r="A478">
        <v>11</v>
      </c>
      <c r="B478">
        <v>2.0000000000000001E-4</v>
      </c>
      <c r="C478">
        <v>5.4999999999999997E-3</v>
      </c>
      <c r="D478">
        <v>1.5699999999999999E-2</v>
      </c>
      <c r="E478">
        <v>4.9700000000000001E-2</v>
      </c>
      <c r="F478">
        <v>0.1135</v>
      </c>
      <c r="G478">
        <v>0.2029</v>
      </c>
      <c r="H478">
        <v>0.31030000000000002</v>
      </c>
      <c r="I478">
        <v>0.39119999999999999</v>
      </c>
      <c r="J478">
        <v>0.58709999999999996</v>
      </c>
    </row>
    <row r="479" spans="1:10" x14ac:dyDescent="0.4">
      <c r="A479">
        <v>12</v>
      </c>
      <c r="B479">
        <v>0</v>
      </c>
      <c r="C479">
        <v>1E-3</v>
      </c>
      <c r="D479">
        <v>2.8E-3</v>
      </c>
      <c r="E479">
        <v>8.6999999999999994E-3</v>
      </c>
      <c r="F479">
        <v>1.9800000000000002E-2</v>
      </c>
      <c r="G479">
        <v>3.5700000000000003E-2</v>
      </c>
      <c r="H479">
        <v>5.62E-2</v>
      </c>
      <c r="I479">
        <v>7.3800000000000004E-2</v>
      </c>
      <c r="J479">
        <v>0.12559999999999999</v>
      </c>
    </row>
    <row r="480" spans="1:10" x14ac:dyDescent="0.4">
      <c r="A480">
        <v>13</v>
      </c>
      <c r="B480">
        <v>0</v>
      </c>
      <c r="C480">
        <v>2.9999999999999997E-4</v>
      </c>
      <c r="D480">
        <v>8.0000000000000004E-4</v>
      </c>
      <c r="E480">
        <v>2.5000000000000001E-3</v>
      </c>
      <c r="F480">
        <v>5.7999999999999996E-3</v>
      </c>
      <c r="G480">
        <v>1.06E-2</v>
      </c>
      <c r="H480">
        <v>1.7299999999999999E-2</v>
      </c>
      <c r="I480">
        <v>2.3900000000000001E-2</v>
      </c>
      <c r="J480">
        <v>4.9099999999999998E-2</v>
      </c>
    </row>
    <row r="481" spans="1:10" x14ac:dyDescent="0.4">
      <c r="A481">
        <v>14</v>
      </c>
      <c r="B481">
        <v>0</v>
      </c>
      <c r="C481">
        <v>1E-4</v>
      </c>
      <c r="D481">
        <v>2.9999999999999997E-4</v>
      </c>
      <c r="E481">
        <v>8.9999999999999998E-4</v>
      </c>
      <c r="F481">
        <v>2.0999999999999999E-3</v>
      </c>
      <c r="G481">
        <v>4.1000000000000003E-3</v>
      </c>
      <c r="H481">
        <v>7.3000000000000001E-3</v>
      </c>
      <c r="I481">
        <v>1.0699999999999999E-2</v>
      </c>
      <c r="J481">
        <v>3.1300000000000001E-2</v>
      </c>
    </row>
    <row r="482" spans="1:10" x14ac:dyDescent="0.4">
      <c r="A482" t="s">
        <v>29</v>
      </c>
      <c r="B482">
        <v>0</v>
      </c>
      <c r="C482">
        <v>0</v>
      </c>
      <c r="D482">
        <v>1E-4</v>
      </c>
      <c r="E482">
        <v>2.9999999999999997E-4</v>
      </c>
      <c r="F482">
        <v>5.9999999999999995E-4</v>
      </c>
      <c r="G482">
        <v>1.2999999999999999E-3</v>
      </c>
      <c r="H482">
        <v>2.7000000000000001E-3</v>
      </c>
      <c r="I482">
        <v>4.1999999999999997E-3</v>
      </c>
      <c r="J482">
        <v>3.2800000000000003E-2</v>
      </c>
    </row>
    <row r="484" spans="1:10" x14ac:dyDescent="0.4">
      <c r="A484">
        <v>2030</v>
      </c>
    </row>
    <row r="486" spans="1:10" x14ac:dyDescent="0.4">
      <c r="A486" t="s">
        <v>0</v>
      </c>
      <c r="B486" s="2">
        <v>0.01</v>
      </c>
      <c r="C486" s="2">
        <v>0.05</v>
      </c>
      <c r="D486" s="2">
        <v>0.1</v>
      </c>
      <c r="E486" s="2">
        <v>0.25</v>
      </c>
      <c r="F486" s="2">
        <v>0.5</v>
      </c>
      <c r="G486" s="2">
        <v>0.75</v>
      </c>
      <c r="H486" s="2">
        <v>0.9</v>
      </c>
      <c r="I486" s="2">
        <v>0.95</v>
      </c>
      <c r="J486" s="2">
        <v>0.99</v>
      </c>
    </row>
    <row r="487" spans="1:10" x14ac:dyDescent="0.4">
      <c r="A487">
        <v>1</v>
      </c>
      <c r="B487">
        <v>68.652600000000007</v>
      </c>
      <c r="C487">
        <v>70.702699999999993</v>
      </c>
      <c r="D487">
        <v>79.155100000000004</v>
      </c>
      <c r="E487">
        <v>104.8861</v>
      </c>
      <c r="F487">
        <v>168.56890000000001</v>
      </c>
      <c r="G487">
        <v>236.977</v>
      </c>
      <c r="H487">
        <v>280.1302</v>
      </c>
      <c r="I487">
        <v>306.78629999999998</v>
      </c>
      <c r="J487">
        <v>325.68340000000001</v>
      </c>
    </row>
    <row r="488" spans="1:10" x14ac:dyDescent="0.4">
      <c r="A488">
        <v>2</v>
      </c>
      <c r="B488">
        <v>37.349499999999999</v>
      </c>
      <c r="C488">
        <v>41.868899999999996</v>
      </c>
      <c r="D488">
        <v>45.841500000000003</v>
      </c>
      <c r="E488">
        <v>61.088999999999999</v>
      </c>
      <c r="F488">
        <v>98.625699999999995</v>
      </c>
      <c r="G488">
        <v>139.81399999999999</v>
      </c>
      <c r="H488">
        <v>167.8563</v>
      </c>
      <c r="I488">
        <v>182.6086</v>
      </c>
      <c r="J488">
        <v>207.17070000000001</v>
      </c>
    </row>
    <row r="489" spans="1:10" x14ac:dyDescent="0.4">
      <c r="A489">
        <v>3</v>
      </c>
      <c r="B489">
        <v>11.354799999999999</v>
      </c>
      <c r="C489">
        <v>19.058199999999999</v>
      </c>
      <c r="D489">
        <v>22.3065</v>
      </c>
      <c r="E489">
        <v>30.513400000000001</v>
      </c>
      <c r="F489">
        <v>50.784399999999998</v>
      </c>
      <c r="G489">
        <v>73.884500000000003</v>
      </c>
      <c r="H489">
        <v>93.508200000000002</v>
      </c>
      <c r="I489">
        <v>103.0889</v>
      </c>
      <c r="J489">
        <v>122.59650000000001</v>
      </c>
    </row>
    <row r="490" spans="1:10" x14ac:dyDescent="0.4">
      <c r="A490">
        <v>4</v>
      </c>
      <c r="B490">
        <v>1.5092000000000001</v>
      </c>
      <c r="C490">
        <v>5.7621000000000002</v>
      </c>
      <c r="D490">
        <v>8.2738999999999994</v>
      </c>
      <c r="E490">
        <v>13.116099999999999</v>
      </c>
      <c r="F490">
        <v>23.111899999999999</v>
      </c>
      <c r="G490">
        <v>36.467199999999998</v>
      </c>
      <c r="H490">
        <v>49.119399999999999</v>
      </c>
      <c r="I490">
        <v>55.592100000000002</v>
      </c>
      <c r="J490">
        <v>69.815399999999997</v>
      </c>
    </row>
    <row r="491" spans="1:10" x14ac:dyDescent="0.4">
      <c r="A491">
        <v>5</v>
      </c>
      <c r="B491">
        <v>0.12239999999999999</v>
      </c>
      <c r="C491">
        <v>1.2977000000000001</v>
      </c>
      <c r="D491">
        <v>2.4428999999999998</v>
      </c>
      <c r="E491">
        <v>5.0244999999999997</v>
      </c>
      <c r="F491">
        <v>9.7545000000000002</v>
      </c>
      <c r="G491">
        <v>16.940100000000001</v>
      </c>
      <c r="H491">
        <v>24.284800000000001</v>
      </c>
      <c r="I491">
        <v>28.482199999999999</v>
      </c>
      <c r="J491">
        <v>38.264899999999997</v>
      </c>
    </row>
    <row r="492" spans="1:10" x14ac:dyDescent="0.4">
      <c r="A492">
        <v>6</v>
      </c>
      <c r="B492">
        <v>8.0999999999999996E-3</v>
      </c>
      <c r="C492">
        <v>0.2455</v>
      </c>
      <c r="D492">
        <v>0.61480000000000001</v>
      </c>
      <c r="E492">
        <v>1.6986000000000001</v>
      </c>
      <c r="F492">
        <v>3.8075000000000001</v>
      </c>
      <c r="G492">
        <v>7.3372999999999999</v>
      </c>
      <c r="H492">
        <v>11.271800000000001</v>
      </c>
      <c r="I492">
        <v>13.8917</v>
      </c>
      <c r="J492">
        <v>19.776900000000001</v>
      </c>
    </row>
    <row r="493" spans="1:10" x14ac:dyDescent="0.4">
      <c r="A493">
        <v>7</v>
      </c>
      <c r="B493">
        <v>1E-3</v>
      </c>
      <c r="C493">
        <v>5.1700000000000003E-2</v>
      </c>
      <c r="D493">
        <v>0.161</v>
      </c>
      <c r="E493">
        <v>0.57430000000000003</v>
      </c>
      <c r="F493">
        <v>1.4883</v>
      </c>
      <c r="G493">
        <v>3.1389</v>
      </c>
      <c r="H493">
        <v>5.1745000000000001</v>
      </c>
      <c r="I493">
        <v>6.5842999999999998</v>
      </c>
      <c r="J493">
        <v>10.005699999999999</v>
      </c>
    </row>
    <row r="494" spans="1:10" x14ac:dyDescent="0.4">
      <c r="A494">
        <v>8</v>
      </c>
      <c r="B494">
        <v>2.0000000000000001E-4</v>
      </c>
      <c r="C494">
        <v>1.5900000000000001E-2</v>
      </c>
      <c r="D494">
        <v>5.7700000000000001E-2</v>
      </c>
      <c r="E494">
        <v>0.2334</v>
      </c>
      <c r="F494">
        <v>0.65780000000000005</v>
      </c>
      <c r="G494">
        <v>1.4754</v>
      </c>
      <c r="H494">
        <v>2.5627</v>
      </c>
      <c r="I494">
        <v>3.3460000000000001</v>
      </c>
      <c r="J494">
        <v>5.234</v>
      </c>
    </row>
    <row r="495" spans="1:10" x14ac:dyDescent="0.4">
      <c r="A495">
        <v>9</v>
      </c>
      <c r="B495">
        <v>1E-4</v>
      </c>
      <c r="C495">
        <v>7.0000000000000001E-3</v>
      </c>
      <c r="D495">
        <v>2.6599999999999999E-2</v>
      </c>
      <c r="E495">
        <v>0.1139</v>
      </c>
      <c r="F495">
        <v>0.33639999999999998</v>
      </c>
      <c r="G495">
        <v>0.76900000000000002</v>
      </c>
      <c r="H495">
        <v>1.3824000000000001</v>
      </c>
      <c r="I495">
        <v>1.8238000000000001</v>
      </c>
      <c r="J495">
        <v>2.9113000000000002</v>
      </c>
    </row>
    <row r="496" spans="1:10" x14ac:dyDescent="0.4">
      <c r="A496">
        <v>10</v>
      </c>
      <c r="B496">
        <v>1E-4</v>
      </c>
      <c r="C496">
        <v>7.1999999999999998E-3</v>
      </c>
      <c r="D496">
        <v>2.69E-2</v>
      </c>
      <c r="E496">
        <v>0.1139</v>
      </c>
      <c r="F496">
        <v>0.31459999999999999</v>
      </c>
      <c r="G496">
        <v>0.64939999999999998</v>
      </c>
      <c r="H496">
        <v>1.0946</v>
      </c>
      <c r="I496">
        <v>1.446</v>
      </c>
      <c r="J496">
        <v>2.2435999999999998</v>
      </c>
    </row>
    <row r="497" spans="1:10" x14ac:dyDescent="0.4">
      <c r="A497">
        <v>11</v>
      </c>
      <c r="B497">
        <v>0</v>
      </c>
      <c r="C497">
        <v>2.7000000000000001E-3</v>
      </c>
      <c r="D497">
        <v>9.7999999999999997E-3</v>
      </c>
      <c r="E497">
        <v>3.9899999999999998E-2</v>
      </c>
      <c r="F497">
        <v>0.1061</v>
      </c>
      <c r="G497">
        <v>0.20749999999999999</v>
      </c>
      <c r="H497">
        <v>0.33200000000000002</v>
      </c>
      <c r="I497">
        <v>0.42370000000000002</v>
      </c>
      <c r="J497">
        <v>0.63729999999999998</v>
      </c>
    </row>
    <row r="498" spans="1:10" x14ac:dyDescent="0.4">
      <c r="A498">
        <v>12</v>
      </c>
      <c r="B498">
        <v>0</v>
      </c>
      <c r="C498">
        <v>1.5E-3</v>
      </c>
      <c r="D498">
        <v>5.3E-3</v>
      </c>
      <c r="E498">
        <v>2.06E-2</v>
      </c>
      <c r="F498">
        <v>5.3400000000000003E-2</v>
      </c>
      <c r="G498">
        <v>0.10340000000000001</v>
      </c>
      <c r="H498">
        <v>0.16489999999999999</v>
      </c>
      <c r="I498">
        <v>0.21210000000000001</v>
      </c>
      <c r="J498">
        <v>0.32840000000000003</v>
      </c>
    </row>
    <row r="499" spans="1:10" x14ac:dyDescent="0.4">
      <c r="A499">
        <v>13</v>
      </c>
      <c r="B499">
        <v>0</v>
      </c>
      <c r="C499">
        <v>2.9999999999999997E-4</v>
      </c>
      <c r="D499">
        <v>1E-3</v>
      </c>
      <c r="E499">
        <v>3.7000000000000002E-3</v>
      </c>
      <c r="F499">
        <v>9.4000000000000004E-3</v>
      </c>
      <c r="G499">
        <v>1.83E-2</v>
      </c>
      <c r="H499">
        <v>0.03</v>
      </c>
      <c r="I499">
        <v>0.04</v>
      </c>
      <c r="J499">
        <v>6.88E-2</v>
      </c>
    </row>
    <row r="500" spans="1:10" x14ac:dyDescent="0.4">
      <c r="A500">
        <v>14</v>
      </c>
      <c r="B500">
        <v>0</v>
      </c>
      <c r="C500">
        <v>1E-4</v>
      </c>
      <c r="D500">
        <v>2.9999999999999997E-4</v>
      </c>
      <c r="E500">
        <v>1.1000000000000001E-3</v>
      </c>
      <c r="F500">
        <v>2.8E-3</v>
      </c>
      <c r="G500">
        <v>5.4000000000000003E-3</v>
      </c>
      <c r="H500">
        <v>9.1999999999999998E-3</v>
      </c>
      <c r="I500">
        <v>1.2800000000000001E-2</v>
      </c>
      <c r="J500">
        <v>2.63E-2</v>
      </c>
    </row>
    <row r="501" spans="1:10" x14ac:dyDescent="0.4">
      <c r="A501" t="s">
        <v>29</v>
      </c>
      <c r="B501">
        <v>0</v>
      </c>
      <c r="C501">
        <v>0</v>
      </c>
      <c r="D501">
        <v>1E-4</v>
      </c>
      <c r="E501">
        <v>5.0000000000000001E-4</v>
      </c>
      <c r="F501">
        <v>1.2999999999999999E-3</v>
      </c>
      <c r="G501">
        <v>2.8E-3</v>
      </c>
      <c r="H501">
        <v>5.1999999999999998E-3</v>
      </c>
      <c r="I501">
        <v>8.0000000000000002E-3</v>
      </c>
      <c r="J501">
        <v>3.2599999999999997E-2</v>
      </c>
    </row>
    <row r="503" spans="1:10" x14ac:dyDescent="0.4">
      <c r="A503">
        <v>2031</v>
      </c>
    </row>
    <row r="505" spans="1:10" x14ac:dyDescent="0.4">
      <c r="A505" t="s">
        <v>0</v>
      </c>
      <c r="B505" s="2">
        <v>0.01</v>
      </c>
      <c r="C505" s="2">
        <v>0.05</v>
      </c>
      <c r="D505" s="2">
        <v>0.1</v>
      </c>
      <c r="E505" s="2">
        <v>0.25</v>
      </c>
      <c r="F505" s="2">
        <v>0.5</v>
      </c>
      <c r="G505" s="2">
        <v>0.75</v>
      </c>
      <c r="H505" s="2">
        <v>0.9</v>
      </c>
      <c r="I505" s="2">
        <v>0.95</v>
      </c>
      <c r="J505" s="2">
        <v>0.99</v>
      </c>
    </row>
    <row r="506" spans="1:10" x14ac:dyDescent="0.4">
      <c r="A506">
        <v>1</v>
      </c>
      <c r="B506">
        <v>68.649699999999996</v>
      </c>
      <c r="C506">
        <v>70.642799999999994</v>
      </c>
      <c r="D506">
        <v>78.970600000000005</v>
      </c>
      <c r="E506">
        <v>104.7593</v>
      </c>
      <c r="F506">
        <v>168.5864</v>
      </c>
      <c r="G506">
        <v>237.08160000000001</v>
      </c>
      <c r="H506">
        <v>280.3057</v>
      </c>
      <c r="I506">
        <v>306.96449999999999</v>
      </c>
      <c r="J506">
        <v>340.61610000000002</v>
      </c>
    </row>
    <row r="507" spans="1:10" x14ac:dyDescent="0.4">
      <c r="A507">
        <v>2</v>
      </c>
      <c r="B507">
        <v>37.309399999999997</v>
      </c>
      <c r="C507">
        <v>41.9422</v>
      </c>
      <c r="D507">
        <v>45.968600000000002</v>
      </c>
      <c r="E507">
        <v>61.0242</v>
      </c>
      <c r="F507">
        <v>98.795599999999993</v>
      </c>
      <c r="G507">
        <v>139.97470000000001</v>
      </c>
      <c r="H507">
        <v>167.89340000000001</v>
      </c>
      <c r="I507">
        <v>182.91229999999999</v>
      </c>
      <c r="J507">
        <v>207.01339999999999</v>
      </c>
    </row>
    <row r="508" spans="1:10" x14ac:dyDescent="0.4">
      <c r="A508">
        <v>3</v>
      </c>
      <c r="B508">
        <v>11.5701</v>
      </c>
      <c r="C508">
        <v>19.340399999999999</v>
      </c>
      <c r="D508">
        <v>22.597200000000001</v>
      </c>
      <c r="E508">
        <v>30.8843</v>
      </c>
      <c r="F508">
        <v>51.152799999999999</v>
      </c>
      <c r="G508">
        <v>74.616600000000005</v>
      </c>
      <c r="H508">
        <v>93.940600000000003</v>
      </c>
      <c r="I508">
        <v>103.22150000000001</v>
      </c>
      <c r="J508">
        <v>122.36069999999999</v>
      </c>
    </row>
    <row r="509" spans="1:10" x14ac:dyDescent="0.4">
      <c r="A509">
        <v>4</v>
      </c>
      <c r="B509">
        <v>1.5535000000000001</v>
      </c>
      <c r="C509">
        <v>6.0537999999999998</v>
      </c>
      <c r="D509">
        <v>8.5417000000000005</v>
      </c>
      <c r="E509">
        <v>13.3817</v>
      </c>
      <c r="F509">
        <v>23.453299999999999</v>
      </c>
      <c r="G509">
        <v>36.523699999999998</v>
      </c>
      <c r="H509">
        <v>49.365000000000002</v>
      </c>
      <c r="I509">
        <v>55.759799999999998</v>
      </c>
      <c r="J509">
        <v>69.602000000000004</v>
      </c>
    </row>
    <row r="510" spans="1:10" x14ac:dyDescent="0.4">
      <c r="A510">
        <v>5</v>
      </c>
      <c r="B510">
        <v>0.15509999999999999</v>
      </c>
      <c r="C510">
        <v>1.4968999999999999</v>
      </c>
      <c r="D510">
        <v>2.7294</v>
      </c>
      <c r="E510">
        <v>5.3921000000000001</v>
      </c>
      <c r="F510">
        <v>10.282999999999999</v>
      </c>
      <c r="G510">
        <v>17.673500000000001</v>
      </c>
      <c r="H510">
        <v>25.199300000000001</v>
      </c>
      <c r="I510">
        <v>29.475100000000001</v>
      </c>
      <c r="J510">
        <v>38.925699999999999</v>
      </c>
    </row>
    <row r="511" spans="1:10" x14ac:dyDescent="0.4">
      <c r="A511">
        <v>6</v>
      </c>
      <c r="B511">
        <v>1.09E-2</v>
      </c>
      <c r="C511">
        <v>0.31869999999999998</v>
      </c>
      <c r="D511">
        <v>0.76380000000000003</v>
      </c>
      <c r="E511">
        <v>1.9846999999999999</v>
      </c>
      <c r="F511">
        <v>4.282</v>
      </c>
      <c r="G511">
        <v>8.0878999999999994</v>
      </c>
      <c r="H511">
        <v>12.2584</v>
      </c>
      <c r="I511">
        <v>14.881500000000001</v>
      </c>
      <c r="J511">
        <v>20.946000000000002</v>
      </c>
    </row>
    <row r="512" spans="1:10" x14ac:dyDescent="0.4">
      <c r="A512">
        <v>7</v>
      </c>
      <c r="B512">
        <v>1E-3</v>
      </c>
      <c r="C512">
        <v>6.1499999999999999E-2</v>
      </c>
      <c r="D512">
        <v>0.1913</v>
      </c>
      <c r="E512">
        <v>0.66290000000000004</v>
      </c>
      <c r="F512">
        <v>1.6868000000000001</v>
      </c>
      <c r="G512">
        <v>3.5085999999999999</v>
      </c>
      <c r="H512">
        <v>5.6853999999999996</v>
      </c>
      <c r="I512">
        <v>7.2542</v>
      </c>
      <c r="J512">
        <v>10.9214</v>
      </c>
    </row>
    <row r="513" spans="1:10" x14ac:dyDescent="0.4">
      <c r="A513">
        <v>8</v>
      </c>
      <c r="B513">
        <v>1E-4</v>
      </c>
      <c r="C513">
        <v>1.3299999999999999E-2</v>
      </c>
      <c r="D513">
        <v>5.1499999999999997E-2</v>
      </c>
      <c r="E513">
        <v>0.2271</v>
      </c>
      <c r="F513">
        <v>0.66869999999999996</v>
      </c>
      <c r="G513">
        <v>1.5135000000000001</v>
      </c>
      <c r="H513">
        <v>2.6315</v>
      </c>
      <c r="I513">
        <v>3.4510999999999998</v>
      </c>
      <c r="J513">
        <v>5.5077999999999996</v>
      </c>
    </row>
    <row r="514" spans="1:10" x14ac:dyDescent="0.4">
      <c r="A514">
        <v>9</v>
      </c>
      <c r="B514">
        <v>0</v>
      </c>
      <c r="C514">
        <v>4.4000000000000003E-3</v>
      </c>
      <c r="D514">
        <v>1.9E-2</v>
      </c>
      <c r="E514">
        <v>9.4899999999999998E-2</v>
      </c>
      <c r="F514">
        <v>0.3</v>
      </c>
      <c r="G514">
        <v>0.72019999999999995</v>
      </c>
      <c r="H514">
        <v>1.3202</v>
      </c>
      <c r="I514">
        <v>1.7723</v>
      </c>
      <c r="J514">
        <v>2.8733</v>
      </c>
    </row>
    <row r="515" spans="1:10" x14ac:dyDescent="0.4">
      <c r="A515">
        <v>10</v>
      </c>
      <c r="B515">
        <v>0</v>
      </c>
      <c r="C515">
        <v>2E-3</v>
      </c>
      <c r="D515">
        <v>8.9999999999999993E-3</v>
      </c>
      <c r="E515">
        <v>4.7E-2</v>
      </c>
      <c r="F515">
        <v>0.15540000000000001</v>
      </c>
      <c r="G515">
        <v>0.38100000000000001</v>
      </c>
      <c r="H515">
        <v>0.71750000000000003</v>
      </c>
      <c r="I515">
        <v>0.97440000000000004</v>
      </c>
      <c r="J515">
        <v>1.6194</v>
      </c>
    </row>
    <row r="516" spans="1:10" x14ac:dyDescent="0.4">
      <c r="A516">
        <v>11</v>
      </c>
      <c r="B516">
        <v>0</v>
      </c>
      <c r="C516">
        <v>2E-3</v>
      </c>
      <c r="D516">
        <v>9.1999999999999998E-3</v>
      </c>
      <c r="E516">
        <v>4.7500000000000001E-2</v>
      </c>
      <c r="F516">
        <v>0.1474</v>
      </c>
      <c r="G516">
        <v>0.32790000000000002</v>
      </c>
      <c r="H516">
        <v>0.57799999999999996</v>
      </c>
      <c r="I516">
        <v>0.77759999999999996</v>
      </c>
      <c r="J516">
        <v>1.2536</v>
      </c>
    </row>
    <row r="517" spans="1:10" x14ac:dyDescent="0.4">
      <c r="A517">
        <v>12</v>
      </c>
      <c r="B517">
        <v>0</v>
      </c>
      <c r="C517">
        <v>8.0000000000000004E-4</v>
      </c>
      <c r="D517">
        <v>3.3999999999999998E-3</v>
      </c>
      <c r="E517">
        <v>1.6799999999999999E-2</v>
      </c>
      <c r="F517">
        <v>5.0200000000000002E-2</v>
      </c>
      <c r="G517">
        <v>0.106</v>
      </c>
      <c r="H517">
        <v>0.1769</v>
      </c>
      <c r="I517">
        <v>0.23080000000000001</v>
      </c>
      <c r="J517">
        <v>0.35699999999999998</v>
      </c>
    </row>
    <row r="518" spans="1:10" x14ac:dyDescent="0.4">
      <c r="A518">
        <v>13</v>
      </c>
      <c r="B518">
        <v>0</v>
      </c>
      <c r="C518">
        <v>5.0000000000000001E-4</v>
      </c>
      <c r="D518">
        <v>1.9E-3</v>
      </c>
      <c r="E518">
        <v>8.8000000000000005E-3</v>
      </c>
      <c r="F518">
        <v>2.5499999999999998E-2</v>
      </c>
      <c r="G518">
        <v>5.3100000000000001E-2</v>
      </c>
      <c r="H518">
        <v>8.8499999999999995E-2</v>
      </c>
      <c r="I518">
        <v>0.11600000000000001</v>
      </c>
      <c r="J518">
        <v>0.1842</v>
      </c>
    </row>
    <row r="519" spans="1:10" x14ac:dyDescent="0.4">
      <c r="A519">
        <v>14</v>
      </c>
      <c r="B519">
        <v>0</v>
      </c>
      <c r="C519">
        <v>1E-4</v>
      </c>
      <c r="D519">
        <v>4.0000000000000002E-4</v>
      </c>
      <c r="E519">
        <v>1.6000000000000001E-3</v>
      </c>
      <c r="F519">
        <v>4.4999999999999997E-3</v>
      </c>
      <c r="G519">
        <v>9.4000000000000004E-3</v>
      </c>
      <c r="H519">
        <v>1.61E-2</v>
      </c>
      <c r="I519">
        <v>2.1700000000000001E-2</v>
      </c>
      <c r="J519">
        <v>3.7900000000000003E-2</v>
      </c>
    </row>
    <row r="520" spans="1:10" x14ac:dyDescent="0.4">
      <c r="A520" t="s">
        <v>29</v>
      </c>
      <c r="B520">
        <v>0</v>
      </c>
      <c r="C520">
        <v>0</v>
      </c>
      <c r="D520">
        <v>2.0000000000000001E-4</v>
      </c>
      <c r="E520">
        <v>6.9999999999999999E-4</v>
      </c>
      <c r="F520">
        <v>2E-3</v>
      </c>
      <c r="G520">
        <v>4.3E-3</v>
      </c>
      <c r="H520">
        <v>7.7000000000000002E-3</v>
      </c>
      <c r="I520">
        <v>1.12E-2</v>
      </c>
      <c r="J520">
        <v>2.93E-2</v>
      </c>
    </row>
    <row r="522" spans="1:10" x14ac:dyDescent="0.4">
      <c r="A522">
        <v>2032</v>
      </c>
    </row>
    <row r="524" spans="1:10" x14ac:dyDescent="0.4">
      <c r="A524" t="s">
        <v>0</v>
      </c>
      <c r="B524" s="2">
        <v>0.01</v>
      </c>
      <c r="C524" s="2">
        <v>0.05</v>
      </c>
      <c r="D524" s="2">
        <v>0.1</v>
      </c>
      <c r="E524" s="2">
        <v>0.25</v>
      </c>
      <c r="F524" s="2">
        <v>0.5</v>
      </c>
      <c r="G524" s="2">
        <v>0.75</v>
      </c>
      <c r="H524" s="2">
        <v>0.9</v>
      </c>
      <c r="I524" s="2">
        <v>0.95</v>
      </c>
      <c r="J524" s="2">
        <v>0.99</v>
      </c>
    </row>
    <row r="525" spans="1:10" x14ac:dyDescent="0.4">
      <c r="A525">
        <v>1</v>
      </c>
      <c r="B525">
        <v>68.64</v>
      </c>
      <c r="C525">
        <v>70.543800000000005</v>
      </c>
      <c r="D525">
        <v>79.111599999999996</v>
      </c>
      <c r="E525">
        <v>105.2379</v>
      </c>
      <c r="F525">
        <v>168.6345</v>
      </c>
      <c r="G525">
        <v>236.9599</v>
      </c>
      <c r="H525">
        <v>280.34449999999998</v>
      </c>
      <c r="I525">
        <v>307.16120000000001</v>
      </c>
      <c r="J525">
        <v>330.17509999999999</v>
      </c>
    </row>
    <row r="526" spans="1:10" x14ac:dyDescent="0.4">
      <c r="A526">
        <v>2</v>
      </c>
      <c r="B526">
        <v>37.449399999999997</v>
      </c>
      <c r="C526">
        <v>41.933199999999999</v>
      </c>
      <c r="D526">
        <v>45.932299999999998</v>
      </c>
      <c r="E526">
        <v>60.993600000000001</v>
      </c>
      <c r="F526">
        <v>99.036900000000003</v>
      </c>
      <c r="G526">
        <v>140.29839999999999</v>
      </c>
      <c r="H526">
        <v>168.1875</v>
      </c>
      <c r="I526">
        <v>182.84180000000001</v>
      </c>
      <c r="J526">
        <v>210.25720000000001</v>
      </c>
    </row>
    <row r="527" spans="1:10" x14ac:dyDescent="0.4">
      <c r="A527">
        <v>3</v>
      </c>
      <c r="B527">
        <v>11.996700000000001</v>
      </c>
      <c r="C527">
        <v>19.5837</v>
      </c>
      <c r="D527">
        <v>22.788699999999999</v>
      </c>
      <c r="E527">
        <v>30.9633</v>
      </c>
      <c r="F527">
        <v>51.460700000000003</v>
      </c>
      <c r="G527">
        <v>74.939099999999996</v>
      </c>
      <c r="H527">
        <v>94.121499999999997</v>
      </c>
      <c r="I527">
        <v>103.57899999999999</v>
      </c>
      <c r="J527">
        <v>122.2428</v>
      </c>
    </row>
    <row r="528" spans="1:10" x14ac:dyDescent="0.4">
      <c r="A528">
        <v>4</v>
      </c>
      <c r="B528">
        <v>1.72</v>
      </c>
      <c r="C528">
        <v>6.3136000000000001</v>
      </c>
      <c r="D528">
        <v>8.8131000000000004</v>
      </c>
      <c r="E528">
        <v>13.630100000000001</v>
      </c>
      <c r="F528">
        <v>23.8109</v>
      </c>
      <c r="G528">
        <v>37.011600000000001</v>
      </c>
      <c r="H528">
        <v>49.653599999999997</v>
      </c>
      <c r="I528">
        <v>56.039000000000001</v>
      </c>
      <c r="J528">
        <v>69.577500000000001</v>
      </c>
    </row>
    <row r="529" spans="1:10" x14ac:dyDescent="0.4">
      <c r="A529">
        <v>5</v>
      </c>
      <c r="B529">
        <v>0.17219999999999999</v>
      </c>
      <c r="C529">
        <v>1.6389</v>
      </c>
      <c r="D529">
        <v>2.9049999999999998</v>
      </c>
      <c r="E529">
        <v>5.5812999999999997</v>
      </c>
      <c r="F529">
        <v>10.497400000000001</v>
      </c>
      <c r="G529">
        <v>17.820699999999999</v>
      </c>
      <c r="H529">
        <v>25.439800000000002</v>
      </c>
      <c r="I529">
        <v>29.7302</v>
      </c>
      <c r="J529">
        <v>38.925400000000003</v>
      </c>
    </row>
    <row r="530" spans="1:10" x14ac:dyDescent="0.4">
      <c r="A530">
        <v>6</v>
      </c>
      <c r="B530">
        <v>1.46E-2</v>
      </c>
      <c r="C530">
        <v>0.38419999999999999</v>
      </c>
      <c r="D530">
        <v>0.87360000000000004</v>
      </c>
      <c r="E530">
        <v>2.1663999999999999</v>
      </c>
      <c r="F530">
        <v>4.5628000000000002</v>
      </c>
      <c r="G530">
        <v>8.4701000000000004</v>
      </c>
      <c r="H530">
        <v>12.775600000000001</v>
      </c>
      <c r="I530">
        <v>15.4193</v>
      </c>
      <c r="J530">
        <v>21.555599999999998</v>
      </c>
    </row>
    <row r="531" spans="1:10" x14ac:dyDescent="0.4">
      <c r="A531">
        <v>7</v>
      </c>
      <c r="B531">
        <v>1.1000000000000001E-3</v>
      </c>
      <c r="C531">
        <v>8.2900000000000001E-2</v>
      </c>
      <c r="D531">
        <v>0.24640000000000001</v>
      </c>
      <c r="E531">
        <v>0.78969999999999996</v>
      </c>
      <c r="F531">
        <v>1.9202999999999999</v>
      </c>
      <c r="G531">
        <v>3.8879999999999999</v>
      </c>
      <c r="H531">
        <v>6.2281000000000004</v>
      </c>
      <c r="I531">
        <v>7.8059000000000003</v>
      </c>
      <c r="J531">
        <v>11.539400000000001</v>
      </c>
    </row>
    <row r="532" spans="1:10" x14ac:dyDescent="0.4">
      <c r="A532">
        <v>8</v>
      </c>
      <c r="B532">
        <v>2.0000000000000001E-4</v>
      </c>
      <c r="C532">
        <v>1.6400000000000001E-2</v>
      </c>
      <c r="D532">
        <v>6.2899999999999998E-2</v>
      </c>
      <c r="E532">
        <v>0.26619999999999999</v>
      </c>
      <c r="F532">
        <v>0.76249999999999996</v>
      </c>
      <c r="G532">
        <v>1.7047000000000001</v>
      </c>
      <c r="H532">
        <v>2.9119999999999999</v>
      </c>
      <c r="I532">
        <v>3.8092999999999999</v>
      </c>
      <c r="J532">
        <v>6.0305</v>
      </c>
    </row>
    <row r="533" spans="1:10" x14ac:dyDescent="0.4">
      <c r="A533">
        <v>9</v>
      </c>
      <c r="B533">
        <v>0</v>
      </c>
      <c r="C533">
        <v>3.7000000000000002E-3</v>
      </c>
      <c r="D533">
        <v>1.7399999999999999E-2</v>
      </c>
      <c r="E533">
        <v>9.3399999999999997E-2</v>
      </c>
      <c r="F533">
        <v>0.30730000000000002</v>
      </c>
      <c r="G533">
        <v>0.74350000000000005</v>
      </c>
      <c r="H533">
        <v>1.3580000000000001</v>
      </c>
      <c r="I533">
        <v>1.8292999999999999</v>
      </c>
      <c r="J533">
        <v>3.024</v>
      </c>
    </row>
    <row r="534" spans="1:10" x14ac:dyDescent="0.4">
      <c r="A534">
        <v>10</v>
      </c>
      <c r="B534">
        <v>0</v>
      </c>
      <c r="C534">
        <v>1.2999999999999999E-3</v>
      </c>
      <c r="D534">
        <v>6.6E-3</v>
      </c>
      <c r="E534">
        <v>3.9300000000000002E-2</v>
      </c>
      <c r="F534">
        <v>0.14000000000000001</v>
      </c>
      <c r="G534">
        <v>0.3584</v>
      </c>
      <c r="H534">
        <v>0.6865</v>
      </c>
      <c r="I534">
        <v>0.94240000000000002</v>
      </c>
      <c r="J534">
        <v>1.5925</v>
      </c>
    </row>
    <row r="535" spans="1:10" x14ac:dyDescent="0.4">
      <c r="A535">
        <v>11</v>
      </c>
      <c r="B535">
        <v>0</v>
      </c>
      <c r="C535">
        <v>6.9999999999999999E-4</v>
      </c>
      <c r="D535">
        <v>3.2000000000000002E-3</v>
      </c>
      <c r="E535">
        <v>0.02</v>
      </c>
      <c r="F535">
        <v>7.3099999999999998E-2</v>
      </c>
      <c r="G535">
        <v>0.19189999999999999</v>
      </c>
      <c r="H535">
        <v>0.37690000000000001</v>
      </c>
      <c r="I535">
        <v>0.52380000000000004</v>
      </c>
      <c r="J535">
        <v>0.90969999999999995</v>
      </c>
    </row>
    <row r="536" spans="1:10" x14ac:dyDescent="0.4">
      <c r="A536">
        <v>12</v>
      </c>
      <c r="B536">
        <v>0</v>
      </c>
      <c r="C536">
        <v>6.9999999999999999E-4</v>
      </c>
      <c r="D536">
        <v>3.3E-3</v>
      </c>
      <c r="E536">
        <v>2.0199999999999999E-2</v>
      </c>
      <c r="F536">
        <v>7.0300000000000001E-2</v>
      </c>
      <c r="G536">
        <v>0.16789999999999999</v>
      </c>
      <c r="H536">
        <v>0.30759999999999998</v>
      </c>
      <c r="I536">
        <v>0.42230000000000001</v>
      </c>
      <c r="J536">
        <v>0.70379999999999998</v>
      </c>
    </row>
    <row r="537" spans="1:10" x14ac:dyDescent="0.4">
      <c r="A537">
        <v>13</v>
      </c>
      <c r="B537">
        <v>0</v>
      </c>
      <c r="C537">
        <v>2.9999999999999997E-4</v>
      </c>
      <c r="D537">
        <v>1.1999999999999999E-3</v>
      </c>
      <c r="E537">
        <v>7.3000000000000001E-3</v>
      </c>
      <c r="F537">
        <v>2.4E-2</v>
      </c>
      <c r="G537">
        <v>5.45E-2</v>
      </c>
      <c r="H537">
        <v>9.5299999999999996E-2</v>
      </c>
      <c r="I537">
        <v>0.12640000000000001</v>
      </c>
      <c r="J537">
        <v>0.20080000000000001</v>
      </c>
    </row>
    <row r="538" spans="1:10" x14ac:dyDescent="0.4">
      <c r="A538">
        <v>14</v>
      </c>
      <c r="B538">
        <v>0</v>
      </c>
      <c r="C538">
        <v>2.0000000000000001E-4</v>
      </c>
      <c r="D538">
        <v>6.9999999999999999E-4</v>
      </c>
      <c r="E538">
        <v>3.8E-3</v>
      </c>
      <c r="F538">
        <v>1.23E-2</v>
      </c>
      <c r="G538">
        <v>2.7400000000000001E-2</v>
      </c>
      <c r="H538">
        <v>4.7600000000000003E-2</v>
      </c>
      <c r="I538">
        <v>6.3500000000000001E-2</v>
      </c>
      <c r="J538">
        <v>0.1038</v>
      </c>
    </row>
    <row r="539" spans="1:10" x14ac:dyDescent="0.4">
      <c r="A539" t="s">
        <v>29</v>
      </c>
      <c r="B539">
        <v>0</v>
      </c>
      <c r="C539">
        <v>0</v>
      </c>
      <c r="D539">
        <v>2.0000000000000001E-4</v>
      </c>
      <c r="E539">
        <v>1E-3</v>
      </c>
      <c r="F539">
        <v>3.2000000000000002E-3</v>
      </c>
      <c r="G539">
        <v>7.1999999999999998E-3</v>
      </c>
      <c r="H539">
        <v>1.2800000000000001E-2</v>
      </c>
      <c r="I539">
        <v>1.7899999999999999E-2</v>
      </c>
      <c r="J539">
        <v>3.56E-2</v>
      </c>
    </row>
    <row r="541" spans="1:10" x14ac:dyDescent="0.4">
      <c r="A541">
        <v>2033</v>
      </c>
    </row>
    <row r="543" spans="1:10" x14ac:dyDescent="0.4">
      <c r="A543" t="s">
        <v>0</v>
      </c>
      <c r="B543" s="2">
        <v>0.01</v>
      </c>
      <c r="C543" s="2">
        <v>0.05</v>
      </c>
      <c r="D543" s="2">
        <v>0.1</v>
      </c>
      <c r="E543" s="2">
        <v>0.25</v>
      </c>
      <c r="F543" s="2">
        <v>0.5</v>
      </c>
      <c r="G543" s="2">
        <v>0.75</v>
      </c>
      <c r="H543" s="2">
        <v>0.9</v>
      </c>
      <c r="I543" s="2">
        <v>0.95</v>
      </c>
      <c r="J543" s="2">
        <v>0.99</v>
      </c>
    </row>
    <row r="544" spans="1:10" x14ac:dyDescent="0.4">
      <c r="A544">
        <v>1</v>
      </c>
      <c r="B544">
        <v>68.649100000000004</v>
      </c>
      <c r="C544">
        <v>70.7667</v>
      </c>
      <c r="D544">
        <v>79.116200000000006</v>
      </c>
      <c r="E544">
        <v>104.8292</v>
      </c>
      <c r="F544">
        <v>168.4846</v>
      </c>
      <c r="G544">
        <v>236.8434</v>
      </c>
      <c r="H544">
        <v>278.91239999999999</v>
      </c>
      <c r="I544">
        <v>306.82</v>
      </c>
      <c r="J544">
        <v>329.6995</v>
      </c>
    </row>
    <row r="545" spans="1:10" x14ac:dyDescent="0.4">
      <c r="A545">
        <v>2</v>
      </c>
      <c r="B545">
        <v>37.524099999999997</v>
      </c>
      <c r="C545">
        <v>41.982199999999999</v>
      </c>
      <c r="D545">
        <v>46.027900000000002</v>
      </c>
      <c r="E545">
        <v>61.2346</v>
      </c>
      <c r="F545">
        <v>99.072800000000001</v>
      </c>
      <c r="G545">
        <v>140.55350000000001</v>
      </c>
      <c r="H545">
        <v>168.30619999999999</v>
      </c>
      <c r="I545">
        <v>182.77369999999999</v>
      </c>
      <c r="J545">
        <v>208.23220000000001</v>
      </c>
    </row>
    <row r="546" spans="1:10" x14ac:dyDescent="0.4">
      <c r="A546">
        <v>3</v>
      </c>
      <c r="B546">
        <v>12.3079</v>
      </c>
      <c r="C546">
        <v>19.7362</v>
      </c>
      <c r="D546">
        <v>22.884699999999999</v>
      </c>
      <c r="E546">
        <v>31.056100000000001</v>
      </c>
      <c r="F546">
        <v>51.819299999999998</v>
      </c>
      <c r="G546">
        <v>75.276399999999995</v>
      </c>
      <c r="H546">
        <v>94.419600000000003</v>
      </c>
      <c r="I546">
        <v>103.8133</v>
      </c>
      <c r="J546">
        <v>124.1617</v>
      </c>
    </row>
    <row r="547" spans="1:10" x14ac:dyDescent="0.4">
      <c r="A547">
        <v>4</v>
      </c>
      <c r="B547">
        <v>1.9280999999999999</v>
      </c>
      <c r="C547">
        <v>6.4927999999999999</v>
      </c>
      <c r="D547">
        <v>8.9680999999999997</v>
      </c>
      <c r="E547">
        <v>13.804600000000001</v>
      </c>
      <c r="F547">
        <v>24.036999999999999</v>
      </c>
      <c r="G547">
        <v>37.395600000000002</v>
      </c>
      <c r="H547">
        <v>49.922199999999997</v>
      </c>
      <c r="I547">
        <v>56.278700000000001</v>
      </c>
      <c r="J547">
        <v>69.671800000000005</v>
      </c>
    </row>
    <row r="548" spans="1:10" x14ac:dyDescent="0.4">
      <c r="A548">
        <v>5</v>
      </c>
      <c r="B548">
        <v>0.20130000000000001</v>
      </c>
      <c r="C548">
        <v>1.7542</v>
      </c>
      <c r="D548">
        <v>3.0226000000000002</v>
      </c>
      <c r="E548">
        <v>5.7485999999999997</v>
      </c>
      <c r="F548">
        <v>10.7102</v>
      </c>
      <c r="G548">
        <v>18.121099999999998</v>
      </c>
      <c r="H548">
        <v>25.618400000000001</v>
      </c>
      <c r="I548">
        <v>29.8535</v>
      </c>
      <c r="J548">
        <v>38.834899999999998</v>
      </c>
    </row>
    <row r="549" spans="1:10" x14ac:dyDescent="0.4">
      <c r="A549">
        <v>6</v>
      </c>
      <c r="B549">
        <v>1.7500000000000002E-2</v>
      </c>
      <c r="C549">
        <v>0.42649999999999999</v>
      </c>
      <c r="D549">
        <v>0.94850000000000001</v>
      </c>
      <c r="E549">
        <v>2.2639</v>
      </c>
      <c r="F549">
        <v>4.6898999999999997</v>
      </c>
      <c r="G549">
        <v>8.5900999999999996</v>
      </c>
      <c r="H549">
        <v>12.9215</v>
      </c>
      <c r="I549">
        <v>15.649100000000001</v>
      </c>
      <c r="J549">
        <v>21.518000000000001</v>
      </c>
    </row>
    <row r="550" spans="1:10" x14ac:dyDescent="0.4">
      <c r="A550">
        <v>7</v>
      </c>
      <c r="B550">
        <v>1.6000000000000001E-3</v>
      </c>
      <c r="C550">
        <v>0.1024</v>
      </c>
      <c r="D550">
        <v>0.28389999999999999</v>
      </c>
      <c r="E550">
        <v>0.87749999999999995</v>
      </c>
      <c r="F550">
        <v>2.0516000000000001</v>
      </c>
      <c r="G550">
        <v>4.0951000000000004</v>
      </c>
      <c r="H550">
        <v>6.5186000000000002</v>
      </c>
      <c r="I550">
        <v>8.1011000000000006</v>
      </c>
      <c r="J550">
        <v>11.8118</v>
      </c>
    </row>
    <row r="551" spans="1:10" x14ac:dyDescent="0.4">
      <c r="A551">
        <v>8</v>
      </c>
      <c r="B551">
        <v>2.9999999999999997E-4</v>
      </c>
      <c r="C551">
        <v>2.2499999999999999E-2</v>
      </c>
      <c r="D551">
        <v>8.1600000000000006E-2</v>
      </c>
      <c r="E551">
        <v>0.32129999999999997</v>
      </c>
      <c r="F551">
        <v>0.87490000000000001</v>
      </c>
      <c r="G551">
        <v>1.895</v>
      </c>
      <c r="H551">
        <v>3.2012</v>
      </c>
      <c r="I551">
        <v>4.1147</v>
      </c>
      <c r="J551">
        <v>6.3400999999999996</v>
      </c>
    </row>
    <row r="552" spans="1:10" x14ac:dyDescent="0.4">
      <c r="A552">
        <v>9</v>
      </c>
      <c r="B552">
        <v>0</v>
      </c>
      <c r="C552">
        <v>4.5999999999999999E-3</v>
      </c>
      <c r="D552">
        <v>2.1600000000000001E-2</v>
      </c>
      <c r="E552">
        <v>0.11</v>
      </c>
      <c r="F552">
        <v>0.35410000000000003</v>
      </c>
      <c r="G552">
        <v>0.83789999999999998</v>
      </c>
      <c r="H552">
        <v>1.5083</v>
      </c>
      <c r="I552">
        <v>2.0299</v>
      </c>
      <c r="J552">
        <v>3.3471000000000002</v>
      </c>
    </row>
    <row r="553" spans="1:10" x14ac:dyDescent="0.4">
      <c r="A553">
        <v>10</v>
      </c>
      <c r="B553">
        <v>0</v>
      </c>
      <c r="C553">
        <v>1.1000000000000001E-3</v>
      </c>
      <c r="D553">
        <v>6.1999999999999998E-3</v>
      </c>
      <c r="E553">
        <v>3.9199999999999999E-2</v>
      </c>
      <c r="F553">
        <v>0.1439</v>
      </c>
      <c r="G553">
        <v>0.371</v>
      </c>
      <c r="H553">
        <v>0.70930000000000004</v>
      </c>
      <c r="I553">
        <v>0.98089999999999999</v>
      </c>
      <c r="J553">
        <v>1.6825000000000001</v>
      </c>
    </row>
    <row r="554" spans="1:10" x14ac:dyDescent="0.4">
      <c r="A554">
        <v>11</v>
      </c>
      <c r="B554">
        <v>0</v>
      </c>
      <c r="C554">
        <v>4.0000000000000002E-4</v>
      </c>
      <c r="D554">
        <v>2.3999999999999998E-3</v>
      </c>
      <c r="E554">
        <v>1.6899999999999998E-2</v>
      </c>
      <c r="F554">
        <v>6.6299999999999998E-2</v>
      </c>
      <c r="G554">
        <v>0.1812</v>
      </c>
      <c r="H554">
        <v>0.36120000000000002</v>
      </c>
      <c r="I554">
        <v>0.50739999999999996</v>
      </c>
      <c r="J554">
        <v>0.89239999999999997</v>
      </c>
    </row>
    <row r="555" spans="1:10" x14ac:dyDescent="0.4">
      <c r="A555">
        <v>12</v>
      </c>
      <c r="B555">
        <v>0</v>
      </c>
      <c r="C555">
        <v>2.0000000000000001E-4</v>
      </c>
      <c r="D555">
        <v>1.1999999999999999E-3</v>
      </c>
      <c r="E555">
        <v>8.6999999999999994E-3</v>
      </c>
      <c r="F555">
        <v>3.5000000000000003E-2</v>
      </c>
      <c r="G555">
        <v>9.7500000000000003E-2</v>
      </c>
      <c r="H555">
        <v>0.19939999999999999</v>
      </c>
      <c r="I555">
        <v>0.28320000000000001</v>
      </c>
      <c r="J555">
        <v>0.50560000000000005</v>
      </c>
    </row>
    <row r="556" spans="1:10" x14ac:dyDescent="0.4">
      <c r="A556">
        <v>13</v>
      </c>
      <c r="B556">
        <v>0</v>
      </c>
      <c r="C556">
        <v>2.0000000000000001E-4</v>
      </c>
      <c r="D556">
        <v>1.1999999999999999E-3</v>
      </c>
      <c r="E556">
        <v>8.8000000000000005E-3</v>
      </c>
      <c r="F556">
        <v>3.39E-2</v>
      </c>
      <c r="G556">
        <v>8.6300000000000002E-2</v>
      </c>
      <c r="H556">
        <v>0.1643</v>
      </c>
      <c r="I556">
        <v>0.2303</v>
      </c>
      <c r="J556">
        <v>0.39789999999999998</v>
      </c>
    </row>
    <row r="557" spans="1:10" x14ac:dyDescent="0.4">
      <c r="A557">
        <v>14</v>
      </c>
      <c r="B557">
        <v>0</v>
      </c>
      <c r="C557">
        <v>1E-4</v>
      </c>
      <c r="D557">
        <v>5.0000000000000001E-4</v>
      </c>
      <c r="E557">
        <v>3.2000000000000002E-3</v>
      </c>
      <c r="F557">
        <v>1.1599999999999999E-2</v>
      </c>
      <c r="G557">
        <v>2.8199999999999999E-2</v>
      </c>
      <c r="H557">
        <v>5.1400000000000001E-2</v>
      </c>
      <c r="I557">
        <v>6.9400000000000003E-2</v>
      </c>
      <c r="J557">
        <v>0.114</v>
      </c>
    </row>
    <row r="558" spans="1:10" x14ac:dyDescent="0.4">
      <c r="A558" t="s">
        <v>29</v>
      </c>
      <c r="B558">
        <v>0</v>
      </c>
      <c r="C558">
        <v>1E-4</v>
      </c>
      <c r="D558">
        <v>4.0000000000000002E-4</v>
      </c>
      <c r="E558">
        <v>2.2000000000000001E-3</v>
      </c>
      <c r="F558">
        <v>7.6E-3</v>
      </c>
      <c r="G558">
        <v>1.7999999999999999E-2</v>
      </c>
      <c r="H558">
        <v>3.27E-2</v>
      </c>
      <c r="I558">
        <v>4.4900000000000002E-2</v>
      </c>
      <c r="J558">
        <v>7.7100000000000002E-2</v>
      </c>
    </row>
    <row r="560" spans="1:10" x14ac:dyDescent="0.4">
      <c r="A560">
        <v>2034</v>
      </c>
    </row>
    <row r="562" spans="1:10" x14ac:dyDescent="0.4">
      <c r="A562" t="s">
        <v>0</v>
      </c>
      <c r="B562" s="2">
        <v>0.01</v>
      </c>
      <c r="C562" s="2">
        <v>0.05</v>
      </c>
      <c r="D562" s="2">
        <v>0.1</v>
      </c>
      <c r="E562" s="2">
        <v>0.25</v>
      </c>
      <c r="F562" s="2">
        <v>0.5</v>
      </c>
      <c r="G562" s="2">
        <v>0.75</v>
      </c>
      <c r="H562" s="2">
        <v>0.9</v>
      </c>
      <c r="I562" s="2">
        <v>0.95</v>
      </c>
      <c r="J562" s="2">
        <v>0.99</v>
      </c>
    </row>
    <row r="563" spans="1:10" x14ac:dyDescent="0.4">
      <c r="A563">
        <v>1</v>
      </c>
      <c r="B563">
        <v>68.645300000000006</v>
      </c>
      <c r="C563">
        <v>70.684899999999999</v>
      </c>
      <c r="D563">
        <v>78.945499999999996</v>
      </c>
      <c r="E563">
        <v>104.783</v>
      </c>
      <c r="F563">
        <v>168.53219999999999</v>
      </c>
      <c r="G563">
        <v>236.87110000000001</v>
      </c>
      <c r="H563">
        <v>280.63479999999998</v>
      </c>
      <c r="I563">
        <v>307.65570000000002</v>
      </c>
      <c r="J563">
        <v>340.90789999999998</v>
      </c>
    </row>
    <row r="564" spans="1:10" x14ac:dyDescent="0.4">
      <c r="A564">
        <v>2</v>
      </c>
      <c r="B564">
        <v>37.552300000000002</v>
      </c>
      <c r="C564">
        <v>42.018700000000003</v>
      </c>
      <c r="D564">
        <v>46.000900000000001</v>
      </c>
      <c r="E564">
        <v>61.064900000000002</v>
      </c>
      <c r="F564">
        <v>98.862200000000001</v>
      </c>
      <c r="G564">
        <v>140.19290000000001</v>
      </c>
      <c r="H564">
        <v>167.97620000000001</v>
      </c>
      <c r="I564">
        <v>182.8176</v>
      </c>
      <c r="J564">
        <v>208.99520000000001</v>
      </c>
    </row>
    <row r="565" spans="1:10" x14ac:dyDescent="0.4">
      <c r="A565">
        <v>3</v>
      </c>
      <c r="B565">
        <v>12.625400000000001</v>
      </c>
      <c r="C565">
        <v>19.907699999999998</v>
      </c>
      <c r="D565">
        <v>23.026299999999999</v>
      </c>
      <c r="E565">
        <v>31.247599999999998</v>
      </c>
      <c r="F565">
        <v>51.950899999999997</v>
      </c>
      <c r="G565">
        <v>75.676400000000001</v>
      </c>
      <c r="H565">
        <v>94.625699999999995</v>
      </c>
      <c r="I565">
        <v>103.83110000000001</v>
      </c>
      <c r="J565">
        <v>123.4997</v>
      </c>
    </row>
    <row r="566" spans="1:10" x14ac:dyDescent="0.4">
      <c r="A566">
        <v>4</v>
      </c>
      <c r="B566">
        <v>1.9999</v>
      </c>
      <c r="C566">
        <v>6.6447000000000003</v>
      </c>
      <c r="D566">
        <v>9.1251999999999995</v>
      </c>
      <c r="E566">
        <v>13.836600000000001</v>
      </c>
      <c r="F566">
        <v>24.3035</v>
      </c>
      <c r="G566">
        <v>37.597200000000001</v>
      </c>
      <c r="H566">
        <v>50.139899999999997</v>
      </c>
      <c r="I566">
        <v>56.528500000000001</v>
      </c>
      <c r="J566">
        <v>70.566299999999998</v>
      </c>
    </row>
    <row r="567" spans="1:10" x14ac:dyDescent="0.4">
      <c r="A567">
        <v>5</v>
      </c>
      <c r="B567">
        <v>0.22570000000000001</v>
      </c>
      <c r="C567">
        <v>1.8391999999999999</v>
      </c>
      <c r="D567">
        <v>3.1355</v>
      </c>
      <c r="E567">
        <v>5.8407999999999998</v>
      </c>
      <c r="F567">
        <v>10.865</v>
      </c>
      <c r="G567">
        <v>18.317900000000002</v>
      </c>
      <c r="H567">
        <v>25.782</v>
      </c>
      <c r="I567">
        <v>30.0945</v>
      </c>
      <c r="J567">
        <v>39.020499999999998</v>
      </c>
    </row>
    <row r="568" spans="1:10" x14ac:dyDescent="0.4">
      <c r="A568">
        <v>6</v>
      </c>
      <c r="B568">
        <v>2.2100000000000002E-2</v>
      </c>
      <c r="C568">
        <v>0.46820000000000001</v>
      </c>
      <c r="D568">
        <v>0.99890000000000001</v>
      </c>
      <c r="E568">
        <v>2.3549000000000002</v>
      </c>
      <c r="F568">
        <v>4.8037999999999998</v>
      </c>
      <c r="G568">
        <v>8.7576000000000001</v>
      </c>
      <c r="H568">
        <v>13.048400000000001</v>
      </c>
      <c r="I568">
        <v>15.7302</v>
      </c>
      <c r="J568">
        <v>21.503900000000002</v>
      </c>
    </row>
    <row r="569" spans="1:10" x14ac:dyDescent="0.4">
      <c r="A569">
        <v>7</v>
      </c>
      <c r="B569">
        <v>2.0999999999999999E-3</v>
      </c>
      <c r="C569">
        <v>0.11360000000000001</v>
      </c>
      <c r="D569">
        <v>0.3135</v>
      </c>
      <c r="E569">
        <v>0.92249999999999999</v>
      </c>
      <c r="F569">
        <v>2.1168999999999998</v>
      </c>
      <c r="G569">
        <v>4.1748000000000003</v>
      </c>
      <c r="H569">
        <v>6.5933999999999999</v>
      </c>
      <c r="I569">
        <v>8.2332000000000001</v>
      </c>
      <c r="J569">
        <v>11.8767</v>
      </c>
    </row>
    <row r="570" spans="1:10" x14ac:dyDescent="0.4">
      <c r="A570">
        <v>8</v>
      </c>
      <c r="B570">
        <v>4.0000000000000002E-4</v>
      </c>
      <c r="C570">
        <v>2.8400000000000002E-2</v>
      </c>
      <c r="D570">
        <v>9.6199999999999994E-2</v>
      </c>
      <c r="E570">
        <v>0.36220000000000002</v>
      </c>
      <c r="F570">
        <v>0.94069999999999998</v>
      </c>
      <c r="G570">
        <v>2.0009000000000001</v>
      </c>
      <c r="H570">
        <v>3.3530000000000002</v>
      </c>
      <c r="I570">
        <v>4.2854999999999999</v>
      </c>
      <c r="J570">
        <v>6.5410000000000004</v>
      </c>
    </row>
    <row r="571" spans="1:10" x14ac:dyDescent="0.4">
      <c r="A571">
        <v>9</v>
      </c>
      <c r="B571">
        <v>0</v>
      </c>
      <c r="C571">
        <v>6.4999999999999997E-3</v>
      </c>
      <c r="D571">
        <v>2.8199999999999999E-2</v>
      </c>
      <c r="E571">
        <v>0.13400000000000001</v>
      </c>
      <c r="F571">
        <v>0.40670000000000001</v>
      </c>
      <c r="G571">
        <v>0.94079999999999997</v>
      </c>
      <c r="H571">
        <v>1.6581999999999999</v>
      </c>
      <c r="I571">
        <v>2.1960999999999999</v>
      </c>
      <c r="J571">
        <v>3.5286</v>
      </c>
    </row>
    <row r="572" spans="1:10" x14ac:dyDescent="0.4">
      <c r="A572">
        <v>10</v>
      </c>
      <c r="B572">
        <v>0</v>
      </c>
      <c r="C572">
        <v>1.4E-3</v>
      </c>
      <c r="D572">
        <v>7.7000000000000002E-3</v>
      </c>
      <c r="E572">
        <v>4.6699999999999998E-2</v>
      </c>
      <c r="F572">
        <v>0.16719999999999999</v>
      </c>
      <c r="G572">
        <v>0.41920000000000002</v>
      </c>
      <c r="H572">
        <v>0.79190000000000005</v>
      </c>
      <c r="I572">
        <v>1.0887</v>
      </c>
      <c r="J572">
        <v>1.8605</v>
      </c>
    </row>
    <row r="573" spans="1:10" x14ac:dyDescent="0.4">
      <c r="A573">
        <v>11</v>
      </c>
      <c r="B573">
        <v>0</v>
      </c>
      <c r="C573">
        <v>4.0000000000000002E-4</v>
      </c>
      <c r="D573">
        <v>2.3E-3</v>
      </c>
      <c r="E573">
        <v>1.6899999999999998E-2</v>
      </c>
      <c r="F573">
        <v>6.88E-2</v>
      </c>
      <c r="G573">
        <v>0.18790000000000001</v>
      </c>
      <c r="H573">
        <v>0.37390000000000001</v>
      </c>
      <c r="I573">
        <v>0.52980000000000005</v>
      </c>
      <c r="J573">
        <v>0.94059999999999999</v>
      </c>
    </row>
    <row r="574" spans="1:10" x14ac:dyDescent="0.4">
      <c r="A574">
        <v>12</v>
      </c>
      <c r="B574">
        <v>0</v>
      </c>
      <c r="C574">
        <v>1E-4</v>
      </c>
      <c r="D574">
        <v>8.9999999999999998E-4</v>
      </c>
      <c r="E574">
        <v>7.4000000000000003E-3</v>
      </c>
      <c r="F574">
        <v>3.2000000000000001E-2</v>
      </c>
      <c r="G574">
        <v>9.2399999999999996E-2</v>
      </c>
      <c r="H574">
        <v>0.19109999999999999</v>
      </c>
      <c r="I574">
        <v>0.27439999999999998</v>
      </c>
      <c r="J574">
        <v>0.50090000000000001</v>
      </c>
    </row>
    <row r="575" spans="1:10" x14ac:dyDescent="0.4">
      <c r="A575">
        <v>13</v>
      </c>
      <c r="B575">
        <v>0</v>
      </c>
      <c r="C575">
        <v>1E-4</v>
      </c>
      <c r="D575">
        <v>5.0000000000000001E-4</v>
      </c>
      <c r="E575">
        <v>3.8E-3</v>
      </c>
      <c r="F575">
        <v>1.6899999999999998E-2</v>
      </c>
      <c r="G575">
        <v>5.0099999999999999E-2</v>
      </c>
      <c r="H575">
        <v>0.1065</v>
      </c>
      <c r="I575">
        <v>0.15409999999999999</v>
      </c>
      <c r="J575">
        <v>0.28439999999999999</v>
      </c>
    </row>
    <row r="576" spans="1:10" x14ac:dyDescent="0.4">
      <c r="A576">
        <v>14</v>
      </c>
      <c r="B576">
        <v>0</v>
      </c>
      <c r="C576">
        <v>1E-4</v>
      </c>
      <c r="D576">
        <v>5.0000000000000001E-4</v>
      </c>
      <c r="E576">
        <v>3.8999999999999998E-3</v>
      </c>
      <c r="F576">
        <v>1.6500000000000001E-2</v>
      </c>
      <c r="G576">
        <v>4.4699999999999997E-2</v>
      </c>
      <c r="H576">
        <v>8.8099999999999998E-2</v>
      </c>
      <c r="I576">
        <v>0.12559999999999999</v>
      </c>
      <c r="J576">
        <v>0.22339999999999999</v>
      </c>
    </row>
    <row r="577" spans="1:10" x14ac:dyDescent="0.4">
      <c r="A577" t="s">
        <v>29</v>
      </c>
      <c r="B577">
        <v>0</v>
      </c>
      <c r="C577">
        <v>1E-4</v>
      </c>
      <c r="D577">
        <v>2.9999999999999997E-4</v>
      </c>
      <c r="E577">
        <v>2.3999999999999998E-3</v>
      </c>
      <c r="F577">
        <v>9.4999999999999998E-3</v>
      </c>
      <c r="G577">
        <v>2.4299999999999999E-2</v>
      </c>
      <c r="H577">
        <v>4.5699999999999998E-2</v>
      </c>
      <c r="I577">
        <v>6.2899999999999998E-2</v>
      </c>
      <c r="J577">
        <v>0.10589999999999999</v>
      </c>
    </row>
    <row r="579" spans="1:10" x14ac:dyDescent="0.4">
      <c r="A579" t="s">
        <v>21</v>
      </c>
      <c r="B579" t="s">
        <v>10</v>
      </c>
      <c r="C579" t="s">
        <v>3</v>
      </c>
      <c r="D579" t="s">
        <v>6</v>
      </c>
      <c r="E579" t="s">
        <v>23</v>
      </c>
      <c r="F579" t="s">
        <v>20</v>
      </c>
      <c r="G579">
        <v>3.66</v>
      </c>
      <c r="H579" t="s">
        <v>28</v>
      </c>
      <c r="I579" t="s">
        <v>27</v>
      </c>
    </row>
    <row r="581" spans="1:10" x14ac:dyDescent="0.4">
      <c r="A581" t="s">
        <v>22</v>
      </c>
      <c r="B581" t="s">
        <v>21</v>
      </c>
    </row>
    <row r="583" spans="1:10" x14ac:dyDescent="0.4">
      <c r="A583">
        <v>2021</v>
      </c>
      <c r="B583">
        <v>5.8110000000000002E-2</v>
      </c>
    </row>
    <row r="584" spans="1:10" x14ac:dyDescent="0.4">
      <c r="A584">
        <v>2022</v>
      </c>
      <c r="B584">
        <v>0.66713999999999996</v>
      </c>
    </row>
    <row r="585" spans="1:10" x14ac:dyDescent="0.4">
      <c r="A585">
        <v>2023</v>
      </c>
      <c r="B585">
        <v>0.94130000000000003</v>
      </c>
    </row>
    <row r="586" spans="1:10" x14ac:dyDescent="0.4">
      <c r="A586">
        <v>2024</v>
      </c>
      <c r="B586">
        <v>0.91490000000000005</v>
      </c>
    </row>
    <row r="587" spans="1:10" x14ac:dyDescent="0.4">
      <c r="A587">
        <v>2025</v>
      </c>
      <c r="B587">
        <v>0.78861999999999999</v>
      </c>
    </row>
    <row r="588" spans="1:10" x14ac:dyDescent="0.4">
      <c r="A588">
        <v>2026</v>
      </c>
      <c r="B588">
        <v>0.59623000000000004</v>
      </c>
    </row>
    <row r="589" spans="1:10" x14ac:dyDescent="0.4">
      <c r="A589">
        <v>2027</v>
      </c>
      <c r="B589">
        <v>0.50592000000000004</v>
      </c>
    </row>
    <row r="590" spans="1:10" x14ac:dyDescent="0.4">
      <c r="A590">
        <v>2028</v>
      </c>
      <c r="B590">
        <v>0.51709000000000005</v>
      </c>
    </row>
    <row r="591" spans="1:10" x14ac:dyDescent="0.4">
      <c r="A591">
        <v>2029</v>
      </c>
      <c r="B591">
        <v>0.54659999999999997</v>
      </c>
    </row>
    <row r="592" spans="1:10" x14ac:dyDescent="0.4">
      <c r="A592">
        <v>2030</v>
      </c>
      <c r="B592">
        <v>0.57064000000000004</v>
      </c>
    </row>
    <row r="593" spans="1:8" x14ac:dyDescent="0.4">
      <c r="A593">
        <v>2031</v>
      </c>
      <c r="B593">
        <v>0.59136999999999995</v>
      </c>
    </row>
    <row r="594" spans="1:8" x14ac:dyDescent="0.4">
      <c r="A594">
        <v>2032</v>
      </c>
      <c r="B594">
        <v>0.60546999999999995</v>
      </c>
    </row>
    <row r="595" spans="1:8" x14ac:dyDescent="0.4">
      <c r="A595">
        <v>2033</v>
      </c>
      <c r="B595">
        <v>0.61667000000000005</v>
      </c>
    </row>
    <row r="596" spans="1:8" x14ac:dyDescent="0.4">
      <c r="A596">
        <v>2034</v>
      </c>
      <c r="B596">
        <v>0.62544</v>
      </c>
    </row>
    <row r="598" spans="1:8" x14ac:dyDescent="0.4">
      <c r="A598" t="s">
        <v>21</v>
      </c>
      <c r="B598" t="s">
        <v>20</v>
      </c>
      <c r="C598" t="s">
        <v>19</v>
      </c>
      <c r="D598" t="s">
        <v>1</v>
      </c>
      <c r="E598" t="s">
        <v>18</v>
      </c>
      <c r="F598" t="s">
        <v>17</v>
      </c>
      <c r="G598" t="s">
        <v>13</v>
      </c>
      <c r="H598">
        <v>0.98480000000000001</v>
      </c>
    </row>
    <row r="600" spans="1:8" x14ac:dyDescent="0.4">
      <c r="A600" t="s">
        <v>21</v>
      </c>
      <c r="B600" t="s">
        <v>26</v>
      </c>
      <c r="C600" t="s">
        <v>25</v>
      </c>
      <c r="D600" t="s">
        <v>24</v>
      </c>
      <c r="E600" t="s">
        <v>23</v>
      </c>
      <c r="F600" t="s">
        <v>20</v>
      </c>
      <c r="G600">
        <v>0.84130000000000005</v>
      </c>
    </row>
    <row r="602" spans="1:8" x14ac:dyDescent="0.4">
      <c r="A602" t="s">
        <v>22</v>
      </c>
      <c r="B602" t="s">
        <v>21</v>
      </c>
    </row>
    <row r="604" spans="1:8" x14ac:dyDescent="0.4">
      <c r="A604">
        <v>2021</v>
      </c>
      <c r="B604">
        <v>7.4700000000000001E-3</v>
      </c>
    </row>
    <row r="605" spans="1:8" x14ac:dyDescent="0.4">
      <c r="A605">
        <v>2022</v>
      </c>
      <c r="B605">
        <v>0</v>
      </c>
    </row>
    <row r="606" spans="1:8" x14ac:dyDescent="0.4">
      <c r="A606">
        <v>2023</v>
      </c>
      <c r="B606">
        <v>6.9999999999999994E-5</v>
      </c>
    </row>
    <row r="607" spans="1:8" x14ac:dyDescent="0.4">
      <c r="A607">
        <v>2024</v>
      </c>
      <c r="B607">
        <v>6.7499999999999999E-3</v>
      </c>
    </row>
    <row r="608" spans="1:8" x14ac:dyDescent="0.4">
      <c r="A608">
        <v>2025</v>
      </c>
      <c r="B608">
        <v>0.216</v>
      </c>
    </row>
    <row r="609" spans="1:8" x14ac:dyDescent="0.4">
      <c r="A609">
        <v>2026</v>
      </c>
      <c r="B609">
        <v>0.40375</v>
      </c>
    </row>
    <row r="610" spans="1:8" x14ac:dyDescent="0.4">
      <c r="A610">
        <v>2027</v>
      </c>
      <c r="B610">
        <v>0.27187</v>
      </c>
    </row>
    <row r="611" spans="1:8" x14ac:dyDescent="0.4">
      <c r="A611">
        <v>2028</v>
      </c>
      <c r="B611">
        <v>0.20463000000000001</v>
      </c>
    </row>
    <row r="612" spans="1:8" x14ac:dyDescent="0.4">
      <c r="A612">
        <v>2029</v>
      </c>
      <c r="B612">
        <v>0.1855</v>
      </c>
    </row>
    <row r="613" spans="1:8" x14ac:dyDescent="0.4">
      <c r="A613">
        <v>2030</v>
      </c>
      <c r="B613">
        <v>0.16825000000000001</v>
      </c>
    </row>
    <row r="614" spans="1:8" x14ac:dyDescent="0.4">
      <c r="A614">
        <v>2031</v>
      </c>
      <c r="B614">
        <v>0.15683</v>
      </c>
    </row>
    <row r="615" spans="1:8" x14ac:dyDescent="0.4">
      <c r="A615">
        <v>2032</v>
      </c>
      <c r="B615">
        <v>0.14743000000000001</v>
      </c>
    </row>
    <row r="616" spans="1:8" x14ac:dyDescent="0.4">
      <c r="A616">
        <v>2033</v>
      </c>
      <c r="B616">
        <v>0.14224999999999999</v>
      </c>
    </row>
    <row r="617" spans="1:8" x14ac:dyDescent="0.4">
      <c r="A617">
        <v>2034</v>
      </c>
      <c r="B617">
        <v>0.13666</v>
      </c>
    </row>
    <row r="619" spans="1:8" x14ac:dyDescent="0.4">
      <c r="A619" t="s">
        <v>21</v>
      </c>
      <c r="B619" t="s">
        <v>20</v>
      </c>
      <c r="C619" t="s">
        <v>19</v>
      </c>
      <c r="D619" t="s">
        <v>1</v>
      </c>
      <c r="E619" t="s">
        <v>18</v>
      </c>
      <c r="F619" t="s">
        <v>17</v>
      </c>
      <c r="G619" t="s">
        <v>13</v>
      </c>
      <c r="H619">
        <v>0.51470000000000005</v>
      </c>
    </row>
    <row r="622" spans="1:8" x14ac:dyDescent="0.4">
      <c r="A622" t="s">
        <v>16</v>
      </c>
      <c r="B622" t="s">
        <v>14</v>
      </c>
      <c r="C622" t="s">
        <v>15</v>
      </c>
    </row>
    <row r="624" spans="1:8" x14ac:dyDescent="0.4">
      <c r="A624" t="s">
        <v>14</v>
      </c>
      <c r="B624" t="s">
        <v>13</v>
      </c>
      <c r="C624">
        <v>40</v>
      </c>
      <c r="D624" t="s">
        <v>12</v>
      </c>
    </row>
    <row r="626" spans="1:20" x14ac:dyDescent="0.4">
      <c r="B626">
        <v>2021</v>
      </c>
      <c r="C626">
        <v>2022</v>
      </c>
      <c r="D626">
        <v>2023</v>
      </c>
      <c r="E626">
        <v>2024</v>
      </c>
      <c r="F626">
        <v>2025</v>
      </c>
      <c r="G626">
        <v>2026</v>
      </c>
      <c r="H626">
        <v>2027</v>
      </c>
      <c r="I626">
        <v>2028</v>
      </c>
      <c r="J626">
        <v>2029</v>
      </c>
      <c r="K626">
        <v>2030</v>
      </c>
      <c r="L626">
        <v>2031</v>
      </c>
      <c r="M626">
        <v>2032</v>
      </c>
      <c r="N626">
        <v>2033</v>
      </c>
      <c r="O626">
        <v>2034</v>
      </c>
    </row>
    <row r="628" spans="1:20" x14ac:dyDescent="0.4">
      <c r="A628" t="s">
        <v>11</v>
      </c>
      <c r="B628">
        <v>144.74700000000001</v>
      </c>
      <c r="C628">
        <v>145.9187</v>
      </c>
      <c r="D628">
        <v>145.1722</v>
      </c>
      <c r="E628">
        <v>145.82249999999999</v>
      </c>
      <c r="F628">
        <v>146.65020000000001</v>
      </c>
      <c r="G628">
        <v>145.3922</v>
      </c>
      <c r="H628">
        <v>145.81219999999999</v>
      </c>
      <c r="I628">
        <v>145.76060000000001</v>
      </c>
      <c r="J628">
        <v>146.06450000000001</v>
      </c>
      <c r="K628">
        <v>145.7516</v>
      </c>
      <c r="L628">
        <v>146.6788</v>
      </c>
      <c r="M628">
        <v>144.53489999999999</v>
      </c>
      <c r="N628">
        <v>145.3126</v>
      </c>
      <c r="O628">
        <v>144.39189999999999</v>
      </c>
    </row>
    <row r="629" spans="1:20" x14ac:dyDescent="0.4">
      <c r="A629" t="s">
        <v>10</v>
      </c>
      <c r="B629" t="s">
        <v>3</v>
      </c>
      <c r="C629" t="s">
        <v>6</v>
      </c>
      <c r="D629">
        <v>2.5143</v>
      </c>
      <c r="E629">
        <v>3.7913000000000001</v>
      </c>
      <c r="F629">
        <v>5.1797000000000004</v>
      </c>
      <c r="G629">
        <v>5.2934999999999999</v>
      </c>
      <c r="H629">
        <v>4.6048</v>
      </c>
      <c r="I629">
        <v>3.6419999999999999</v>
      </c>
      <c r="J629">
        <v>3.2121</v>
      </c>
      <c r="K629">
        <v>3.2576999999999998</v>
      </c>
      <c r="L629">
        <v>3.3934000000000002</v>
      </c>
      <c r="M629">
        <v>3.5091000000000001</v>
      </c>
      <c r="N629">
        <v>3.6179000000000001</v>
      </c>
      <c r="O629">
        <v>3.6871999999999998</v>
      </c>
      <c r="P629">
        <v>3.7486999999999999</v>
      </c>
      <c r="Q629">
        <v>3.7892000000000001</v>
      </c>
      <c r="S629">
        <f t="array" ref="S629:S642">TRANSPOSE(D629:Q629)</f>
        <v>2.5143</v>
      </c>
      <c r="T629">
        <f>S629*1000</f>
        <v>2514.3000000000002</v>
      </c>
    </row>
    <row r="630" spans="1:20" x14ac:dyDescent="0.4">
      <c r="A630" s="1">
        <v>45658</v>
      </c>
      <c r="B630" t="s">
        <v>3</v>
      </c>
      <c r="C630" t="s">
        <v>6</v>
      </c>
      <c r="D630">
        <v>8.8084000000000007</v>
      </c>
      <c r="E630">
        <v>9.9601000000000006</v>
      </c>
      <c r="F630">
        <v>10.789199999999999</v>
      </c>
      <c r="G630">
        <v>11.151999999999999</v>
      </c>
      <c r="H630">
        <v>10.8956</v>
      </c>
      <c r="I630">
        <v>9.7561999999999998</v>
      </c>
      <c r="J630">
        <v>8.8086000000000002</v>
      </c>
      <c r="K630">
        <v>8.7513000000000005</v>
      </c>
      <c r="L630">
        <v>8.9108000000000001</v>
      </c>
      <c r="M630">
        <v>9.0611999999999995</v>
      </c>
      <c r="N630">
        <v>9.1790000000000003</v>
      </c>
      <c r="O630">
        <v>9.2741000000000007</v>
      </c>
      <c r="P630">
        <v>9.3392999999999997</v>
      </c>
      <c r="Q630">
        <v>9.3981999999999992</v>
      </c>
      <c r="S630">
        <v>3.7913000000000001</v>
      </c>
      <c r="T630">
        <f t="shared" ref="T630:T642" si="6">S630*1000</f>
        <v>3791.3</v>
      </c>
    </row>
    <row r="631" spans="1:20" x14ac:dyDescent="0.4">
      <c r="A631" t="s">
        <v>9</v>
      </c>
      <c r="B631" t="s">
        <v>6</v>
      </c>
      <c r="C631">
        <v>8.5300999999999991</v>
      </c>
      <c r="D631">
        <v>9.4762000000000004</v>
      </c>
      <c r="E631">
        <v>10.0381</v>
      </c>
      <c r="F631">
        <v>10.058</v>
      </c>
      <c r="G631">
        <v>9.2758000000000003</v>
      </c>
      <c r="H631">
        <v>8.2139000000000006</v>
      </c>
      <c r="I631">
        <v>7.7617000000000003</v>
      </c>
      <c r="J631">
        <v>7.8391000000000002</v>
      </c>
      <c r="K631">
        <v>7.9923000000000002</v>
      </c>
      <c r="L631">
        <v>8.1273</v>
      </c>
      <c r="M631">
        <v>8.2382000000000009</v>
      </c>
      <c r="N631">
        <v>8.3181999999999992</v>
      </c>
      <c r="O631">
        <v>8.3665000000000003</v>
      </c>
      <c r="P631">
        <v>8.4314</v>
      </c>
      <c r="S631">
        <v>5.1797000000000004</v>
      </c>
      <c r="T631">
        <f t="shared" si="6"/>
        <v>5179.7000000000007</v>
      </c>
    </row>
    <row r="632" spans="1:20" x14ac:dyDescent="0.4">
      <c r="A632" t="s">
        <v>8</v>
      </c>
      <c r="B632" t="s">
        <v>7</v>
      </c>
      <c r="C632" t="s">
        <v>6</v>
      </c>
      <c r="D632">
        <v>1.5398000000000001</v>
      </c>
      <c r="E632">
        <v>1.4739</v>
      </c>
      <c r="F632">
        <v>1.6854</v>
      </c>
      <c r="G632">
        <v>2.1566999999999998</v>
      </c>
      <c r="H632">
        <v>3.2250000000000001</v>
      </c>
      <c r="I632">
        <v>3.2250000000000001</v>
      </c>
      <c r="J632">
        <v>2.4</v>
      </c>
      <c r="K632">
        <v>2.15</v>
      </c>
      <c r="L632">
        <v>2.15</v>
      </c>
      <c r="M632">
        <v>2.15</v>
      </c>
      <c r="N632">
        <v>2.15</v>
      </c>
      <c r="O632">
        <v>2.15</v>
      </c>
      <c r="P632">
        <v>2.15</v>
      </c>
      <c r="Q632">
        <v>2.15</v>
      </c>
      <c r="S632">
        <v>5.2934999999999999</v>
      </c>
      <c r="T632">
        <f t="shared" si="6"/>
        <v>5293.5</v>
      </c>
    </row>
    <row r="633" spans="1:20" x14ac:dyDescent="0.4">
      <c r="A633" t="s">
        <v>5</v>
      </c>
      <c r="B633">
        <v>1.5398000000000001</v>
      </c>
      <c r="C633">
        <v>1.4739</v>
      </c>
      <c r="D633">
        <v>1.6854</v>
      </c>
      <c r="E633">
        <v>2.1566999999999998</v>
      </c>
      <c r="F633">
        <v>3.2250000000000001</v>
      </c>
      <c r="G633">
        <v>3.2250000000000001</v>
      </c>
      <c r="H633">
        <v>2.4</v>
      </c>
      <c r="I633">
        <v>2.15</v>
      </c>
      <c r="J633">
        <v>2.15</v>
      </c>
      <c r="K633">
        <v>2.15</v>
      </c>
      <c r="L633">
        <v>2.15</v>
      </c>
      <c r="M633">
        <v>2.15</v>
      </c>
      <c r="N633">
        <v>2.15</v>
      </c>
      <c r="O633">
        <v>2.15</v>
      </c>
      <c r="S633">
        <v>4.6048</v>
      </c>
      <c r="T633">
        <f t="shared" si="6"/>
        <v>4604.8</v>
      </c>
    </row>
    <row r="634" spans="1:20" x14ac:dyDescent="0.4">
      <c r="A634" t="s">
        <v>4</v>
      </c>
      <c r="B634">
        <v>0.50390000000000001</v>
      </c>
      <c r="C634">
        <v>0.34889999999999999</v>
      </c>
      <c r="D634">
        <v>0.34899999999999998</v>
      </c>
      <c r="E634">
        <v>0.37719999999999998</v>
      </c>
      <c r="F634">
        <v>0.58919999999999995</v>
      </c>
      <c r="G634">
        <v>0.6905</v>
      </c>
      <c r="H634">
        <v>0.55989999999999995</v>
      </c>
      <c r="I634">
        <v>0.49220000000000003</v>
      </c>
      <c r="J634">
        <v>0.47789999999999999</v>
      </c>
      <c r="K634">
        <v>0.4667</v>
      </c>
      <c r="L634">
        <v>0.45779999999999998</v>
      </c>
      <c r="M634">
        <v>0.4501</v>
      </c>
      <c r="N634">
        <v>0.44469999999999998</v>
      </c>
      <c r="O634">
        <v>0.44130000000000003</v>
      </c>
      <c r="S634">
        <v>3.6419999999999999</v>
      </c>
      <c r="T634">
        <f t="shared" si="6"/>
        <v>3642</v>
      </c>
    </row>
    <row r="635" spans="1:20" x14ac:dyDescent="0.4">
      <c r="S635">
        <v>3.2121</v>
      </c>
      <c r="T635">
        <f t="shared" si="6"/>
        <v>3212.1</v>
      </c>
    </row>
    <row r="636" spans="1:20" x14ac:dyDescent="0.4">
      <c r="A636" t="s">
        <v>3</v>
      </c>
      <c r="B636" t="s">
        <v>2</v>
      </c>
      <c r="C636" t="s">
        <v>1</v>
      </c>
      <c r="D636" t="s">
        <v>0</v>
      </c>
      <c r="S636">
        <v>3.2576999999999998</v>
      </c>
      <c r="T636">
        <f t="shared" si="6"/>
        <v>3257.7</v>
      </c>
    </row>
    <row r="637" spans="1:20" x14ac:dyDescent="0.4">
      <c r="A637" t="s">
        <v>0</v>
      </c>
      <c r="B637">
        <v>1</v>
      </c>
      <c r="C637">
        <v>244.97399999999999</v>
      </c>
      <c r="D637">
        <v>144.74700000000001</v>
      </c>
      <c r="E637">
        <v>145.9187</v>
      </c>
      <c r="F637">
        <v>145.1722</v>
      </c>
      <c r="G637">
        <v>145.82249999999999</v>
      </c>
      <c r="H637">
        <v>146.65020000000001</v>
      </c>
      <c r="I637">
        <v>145.3922</v>
      </c>
      <c r="J637">
        <v>145.81219999999999</v>
      </c>
      <c r="K637">
        <v>145.76060000000001</v>
      </c>
      <c r="L637">
        <v>146.06450000000001</v>
      </c>
      <c r="M637">
        <v>145.7516</v>
      </c>
      <c r="N637">
        <v>146.6788</v>
      </c>
      <c r="O637">
        <v>144.53489999999999</v>
      </c>
      <c r="P637">
        <v>145.3126</v>
      </c>
      <c r="S637">
        <v>3.3934000000000002</v>
      </c>
      <c r="T637">
        <f t="shared" si="6"/>
        <v>3393.4</v>
      </c>
    </row>
    <row r="638" spans="1:20" x14ac:dyDescent="0.4">
      <c r="A638" t="s">
        <v>0</v>
      </c>
      <c r="B638">
        <v>2</v>
      </c>
      <c r="C638">
        <v>93.8626</v>
      </c>
      <c r="D638">
        <v>145.52180000000001</v>
      </c>
      <c r="E638">
        <v>87.275000000000006</v>
      </c>
      <c r="F638">
        <v>88.213499999999996</v>
      </c>
      <c r="G638">
        <v>85.937100000000001</v>
      </c>
      <c r="H638">
        <v>85.169600000000003</v>
      </c>
      <c r="I638">
        <v>83.950100000000006</v>
      </c>
      <c r="J638">
        <v>84.421800000000005</v>
      </c>
      <c r="K638">
        <v>84.573499999999996</v>
      </c>
      <c r="L638">
        <v>84.544499999999999</v>
      </c>
      <c r="M638">
        <v>84.913700000000006</v>
      </c>
      <c r="N638">
        <v>84.800899999999999</v>
      </c>
      <c r="O638">
        <v>85.229299999999995</v>
      </c>
      <c r="P638">
        <v>84.284800000000004</v>
      </c>
      <c r="S638">
        <v>3.5091000000000001</v>
      </c>
      <c r="T638">
        <f t="shared" si="6"/>
        <v>3509.1</v>
      </c>
    </row>
    <row r="639" spans="1:20" x14ac:dyDescent="0.4">
      <c r="A639" t="s">
        <v>0</v>
      </c>
      <c r="B639">
        <v>3</v>
      </c>
      <c r="C639">
        <v>51.2273</v>
      </c>
      <c r="D639">
        <v>51.018700000000003</v>
      </c>
      <c r="E639">
        <v>83.481200000000001</v>
      </c>
      <c r="F639">
        <v>50.309100000000001</v>
      </c>
      <c r="G639">
        <v>48.134399999999999</v>
      </c>
      <c r="H639">
        <v>41.909500000000001</v>
      </c>
      <c r="I639">
        <v>38.625399999999999</v>
      </c>
      <c r="J639">
        <v>40.214100000000002</v>
      </c>
      <c r="K639">
        <v>41.536099999999998</v>
      </c>
      <c r="L639">
        <v>41.969299999999997</v>
      </c>
      <c r="M639">
        <v>42.237099999999998</v>
      </c>
      <c r="N639">
        <v>42.564700000000002</v>
      </c>
      <c r="O639">
        <v>42.707099999999997</v>
      </c>
      <c r="P639">
        <v>43.1145</v>
      </c>
      <c r="S639">
        <v>3.6179000000000001</v>
      </c>
      <c r="T639">
        <f t="shared" si="6"/>
        <v>3617.9</v>
      </c>
    </row>
    <row r="640" spans="1:20" x14ac:dyDescent="0.4">
      <c r="A640" t="s">
        <v>0</v>
      </c>
      <c r="B640">
        <v>4</v>
      </c>
      <c r="C640">
        <v>9.1702999999999992</v>
      </c>
      <c r="D640">
        <v>24.989000000000001</v>
      </c>
      <c r="E640">
        <v>27.600300000000001</v>
      </c>
      <c r="F640">
        <v>45.499400000000001</v>
      </c>
      <c r="G640">
        <v>25.328800000000001</v>
      </c>
      <c r="H640">
        <v>19.616599999999998</v>
      </c>
      <c r="I640">
        <v>15.6286</v>
      </c>
      <c r="J640">
        <v>16.009799999999998</v>
      </c>
      <c r="K640">
        <v>17.707799999999999</v>
      </c>
      <c r="L640">
        <v>18.512799999999999</v>
      </c>
      <c r="M640">
        <v>18.869</v>
      </c>
      <c r="N640">
        <v>19.147099999999998</v>
      </c>
      <c r="O640">
        <v>19.381799999999998</v>
      </c>
      <c r="P640">
        <v>19.536799999999999</v>
      </c>
      <c r="S640">
        <v>3.6871999999999998</v>
      </c>
      <c r="T640">
        <f t="shared" si="6"/>
        <v>3687.2</v>
      </c>
    </row>
    <row r="641" spans="1:20" x14ac:dyDescent="0.4">
      <c r="A641" t="s">
        <v>0</v>
      </c>
      <c r="B641">
        <v>5</v>
      </c>
      <c r="C641">
        <v>2.4695999999999998</v>
      </c>
      <c r="D641">
        <v>4.2294</v>
      </c>
      <c r="E641">
        <v>13.0661</v>
      </c>
      <c r="F641">
        <v>14.6099</v>
      </c>
      <c r="G641">
        <v>22.708400000000001</v>
      </c>
      <c r="H641">
        <v>9.7180999999999997</v>
      </c>
      <c r="I641">
        <v>6.7644000000000002</v>
      </c>
      <c r="J641">
        <v>6.1332000000000004</v>
      </c>
      <c r="K641">
        <v>6.7617000000000003</v>
      </c>
      <c r="L641">
        <v>7.6246999999999998</v>
      </c>
      <c r="M641">
        <v>8.0545000000000009</v>
      </c>
      <c r="N641">
        <v>8.2722999999999995</v>
      </c>
      <c r="O641">
        <v>8.4405999999999999</v>
      </c>
      <c r="P641">
        <v>8.6067</v>
      </c>
      <c r="S641">
        <v>3.7486999999999999</v>
      </c>
      <c r="T641">
        <f t="shared" si="6"/>
        <v>3748.7</v>
      </c>
    </row>
    <row r="642" spans="1:20" x14ac:dyDescent="0.4">
      <c r="A642" t="s">
        <v>0</v>
      </c>
      <c r="B642">
        <v>6</v>
      </c>
      <c r="C642">
        <v>0.84919999999999995</v>
      </c>
      <c r="D642">
        <v>1.1144000000000001</v>
      </c>
      <c r="E642">
        <v>2.1406000000000001</v>
      </c>
      <c r="F642">
        <v>6.7423999999999999</v>
      </c>
      <c r="G642">
        <v>7.2069999999999999</v>
      </c>
      <c r="H642">
        <v>8.7573000000000008</v>
      </c>
      <c r="I642">
        <v>3.2703000000000002</v>
      </c>
      <c r="J642">
        <v>2.6011000000000002</v>
      </c>
      <c r="K642">
        <v>2.5413999999999999</v>
      </c>
      <c r="L642">
        <v>2.8538999999999999</v>
      </c>
      <c r="M642">
        <v>3.2517</v>
      </c>
      <c r="N642">
        <v>3.4863</v>
      </c>
      <c r="O642">
        <v>3.6002000000000001</v>
      </c>
      <c r="P642">
        <v>3.6873999999999998</v>
      </c>
      <c r="S642">
        <v>3.7892000000000001</v>
      </c>
      <c r="T642">
        <f t="shared" si="6"/>
        <v>3789.2000000000003</v>
      </c>
    </row>
    <row r="643" spans="1:20" x14ac:dyDescent="0.4">
      <c r="A643" t="s">
        <v>0</v>
      </c>
      <c r="B643">
        <v>7</v>
      </c>
      <c r="C643">
        <v>0.1227</v>
      </c>
      <c r="D643">
        <v>0.37919999999999998</v>
      </c>
      <c r="E643">
        <v>0.56740000000000002</v>
      </c>
      <c r="F643">
        <v>1.0771999999999999</v>
      </c>
      <c r="G643">
        <v>3.3218000000000001</v>
      </c>
      <c r="H643">
        <v>2.8161</v>
      </c>
      <c r="I643">
        <v>3.0112000000000001</v>
      </c>
      <c r="J643">
        <v>1.2594000000000001</v>
      </c>
      <c r="K643">
        <v>1.0845</v>
      </c>
      <c r="L643">
        <v>1.073</v>
      </c>
      <c r="M643">
        <v>1.2273000000000001</v>
      </c>
      <c r="N643">
        <v>1.4081999999999999</v>
      </c>
      <c r="O643">
        <v>1.5238</v>
      </c>
      <c r="P643">
        <v>1.5827</v>
      </c>
    </row>
    <row r="644" spans="1:20" x14ac:dyDescent="0.4">
      <c r="A644" t="s">
        <v>0</v>
      </c>
      <c r="B644">
        <v>8</v>
      </c>
      <c r="C644">
        <v>9.0200000000000002E-2</v>
      </c>
      <c r="D644">
        <v>5.6300000000000003E-2</v>
      </c>
      <c r="E644">
        <v>0.193</v>
      </c>
      <c r="F644">
        <v>0.28970000000000001</v>
      </c>
      <c r="G644">
        <v>0.5323</v>
      </c>
      <c r="H644">
        <v>1.3180000000000001</v>
      </c>
      <c r="I644">
        <v>0.98709999999999998</v>
      </c>
      <c r="J644">
        <v>1.1843999999999999</v>
      </c>
      <c r="K644">
        <v>0.5333</v>
      </c>
      <c r="L644">
        <v>0.46429999999999999</v>
      </c>
      <c r="M644">
        <v>0.4632</v>
      </c>
      <c r="N644">
        <v>0.53890000000000005</v>
      </c>
      <c r="O644">
        <v>0.622</v>
      </c>
      <c r="P644">
        <v>0.67810000000000004</v>
      </c>
    </row>
    <row r="645" spans="1:20" x14ac:dyDescent="0.4">
      <c r="A645" t="s">
        <v>0</v>
      </c>
      <c r="B645">
        <v>9</v>
      </c>
      <c r="C645">
        <v>6.3E-3</v>
      </c>
      <c r="D645">
        <v>4.0899999999999999E-2</v>
      </c>
      <c r="E645">
        <v>2.87E-2</v>
      </c>
      <c r="F645">
        <v>9.8599999999999993E-2</v>
      </c>
      <c r="G645">
        <v>0.14530000000000001</v>
      </c>
      <c r="H645">
        <v>0.217</v>
      </c>
      <c r="I645">
        <v>0.47510000000000002</v>
      </c>
      <c r="J645">
        <v>0.3947</v>
      </c>
      <c r="K645">
        <v>0.50829999999999997</v>
      </c>
      <c r="L645">
        <v>0.23280000000000001</v>
      </c>
      <c r="M645">
        <v>0.20430000000000001</v>
      </c>
      <c r="N645">
        <v>0.2059</v>
      </c>
      <c r="O645">
        <v>0.2397</v>
      </c>
      <c r="P645">
        <v>0.28120000000000001</v>
      </c>
    </row>
    <row r="646" spans="1:20" x14ac:dyDescent="0.4">
      <c r="A646" t="s">
        <v>0</v>
      </c>
      <c r="B646">
        <v>10</v>
      </c>
      <c r="C646">
        <v>3.2000000000000002E-3</v>
      </c>
      <c r="D646">
        <v>3.0000000000000001E-3</v>
      </c>
      <c r="E646">
        <v>2.06E-2</v>
      </c>
      <c r="F646">
        <v>1.47E-2</v>
      </c>
      <c r="G646">
        <v>5.0200000000000002E-2</v>
      </c>
      <c r="H646">
        <v>6.0400000000000002E-2</v>
      </c>
      <c r="I646">
        <v>8.0699999999999994E-2</v>
      </c>
      <c r="J646">
        <v>0.19520000000000001</v>
      </c>
      <c r="K646">
        <v>0.1716</v>
      </c>
      <c r="L646">
        <v>0.22459999999999999</v>
      </c>
      <c r="M646">
        <v>0.1043</v>
      </c>
      <c r="N646">
        <v>9.1800000000000007E-2</v>
      </c>
      <c r="O646">
        <v>9.3399999999999997E-2</v>
      </c>
      <c r="P646">
        <v>0.1094</v>
      </c>
    </row>
    <row r="647" spans="1:20" x14ac:dyDescent="0.4">
      <c r="A647" t="s">
        <v>0</v>
      </c>
      <c r="B647">
        <v>11</v>
      </c>
      <c r="C647">
        <v>8.9999999999999998E-4</v>
      </c>
      <c r="D647">
        <v>1.5E-3</v>
      </c>
      <c r="E647">
        <v>1.5E-3</v>
      </c>
      <c r="F647">
        <v>1.03E-2</v>
      </c>
      <c r="G647">
        <v>7.7000000000000002E-3</v>
      </c>
      <c r="H647">
        <v>2.12E-2</v>
      </c>
      <c r="I647">
        <v>2.2800000000000001E-2</v>
      </c>
      <c r="J647">
        <v>3.3700000000000001E-2</v>
      </c>
      <c r="K647">
        <v>8.6300000000000002E-2</v>
      </c>
      <c r="L647">
        <v>7.6799999999999993E-2</v>
      </c>
      <c r="M647">
        <v>0.1018</v>
      </c>
      <c r="N647">
        <v>4.7500000000000001E-2</v>
      </c>
      <c r="O647">
        <v>4.2099999999999999E-2</v>
      </c>
      <c r="P647">
        <v>4.3099999999999999E-2</v>
      </c>
    </row>
    <row r="648" spans="1:20" x14ac:dyDescent="0.4">
      <c r="A648" t="s">
        <v>0</v>
      </c>
      <c r="B648">
        <v>12</v>
      </c>
      <c r="C648">
        <v>1E-4</v>
      </c>
      <c r="D648">
        <v>4.0000000000000002E-4</v>
      </c>
      <c r="E648">
        <v>8.0000000000000004E-4</v>
      </c>
      <c r="F648">
        <v>8.0000000000000004E-4</v>
      </c>
      <c r="G648">
        <v>5.1999999999999998E-3</v>
      </c>
      <c r="H648">
        <v>3.3E-3</v>
      </c>
      <c r="I648">
        <v>8.0999999999999996E-3</v>
      </c>
      <c r="J648">
        <v>9.7000000000000003E-3</v>
      </c>
      <c r="K648">
        <v>1.5100000000000001E-2</v>
      </c>
      <c r="L648">
        <v>3.9E-2</v>
      </c>
      <c r="M648">
        <v>3.5000000000000003E-2</v>
      </c>
      <c r="N648">
        <v>4.6800000000000001E-2</v>
      </c>
      <c r="O648">
        <v>2.1899999999999999E-2</v>
      </c>
      <c r="P648">
        <v>1.9699999999999999E-2</v>
      </c>
    </row>
    <row r="649" spans="1:20" x14ac:dyDescent="0.4">
      <c r="A649" t="s">
        <v>0</v>
      </c>
      <c r="B649">
        <v>13</v>
      </c>
      <c r="C649">
        <v>0</v>
      </c>
      <c r="D649">
        <v>0</v>
      </c>
      <c r="E649">
        <v>2.0000000000000001E-4</v>
      </c>
      <c r="F649">
        <v>4.0000000000000002E-4</v>
      </c>
      <c r="G649">
        <v>4.0000000000000002E-4</v>
      </c>
      <c r="H649">
        <v>2.3E-3</v>
      </c>
      <c r="I649">
        <v>1.2999999999999999E-3</v>
      </c>
      <c r="J649">
        <v>3.5000000000000001E-3</v>
      </c>
      <c r="K649">
        <v>4.4000000000000003E-3</v>
      </c>
      <c r="L649">
        <v>6.8999999999999999E-3</v>
      </c>
      <c r="M649">
        <v>1.8100000000000002E-2</v>
      </c>
      <c r="N649">
        <v>1.6299999999999999E-2</v>
      </c>
      <c r="O649">
        <v>2.18E-2</v>
      </c>
      <c r="P649">
        <v>1.03E-2</v>
      </c>
    </row>
    <row r="650" spans="1:20" x14ac:dyDescent="0.4">
      <c r="A650" t="s">
        <v>0</v>
      </c>
      <c r="B650">
        <v>14</v>
      </c>
      <c r="C650">
        <v>0</v>
      </c>
      <c r="D650">
        <v>0</v>
      </c>
      <c r="E650">
        <v>0</v>
      </c>
      <c r="F650">
        <v>1E-4</v>
      </c>
      <c r="G650">
        <v>2.0000000000000001E-4</v>
      </c>
      <c r="H650">
        <v>2.0000000000000001E-4</v>
      </c>
      <c r="I650">
        <v>8.9999999999999998E-4</v>
      </c>
      <c r="J650">
        <v>5.9999999999999995E-4</v>
      </c>
      <c r="K650">
        <v>1.6000000000000001E-3</v>
      </c>
      <c r="L650">
        <v>2E-3</v>
      </c>
      <c r="M650">
        <v>3.2000000000000002E-3</v>
      </c>
      <c r="N650">
        <v>8.5000000000000006E-3</v>
      </c>
      <c r="O650">
        <v>7.7000000000000002E-3</v>
      </c>
      <c r="P650">
        <v>1.03E-2</v>
      </c>
    </row>
    <row r="651" spans="1:20" x14ac:dyDescent="0.4">
      <c r="A651" t="s">
        <v>0</v>
      </c>
      <c r="B651">
        <v>15</v>
      </c>
      <c r="C651">
        <v>0</v>
      </c>
      <c r="D651">
        <v>0</v>
      </c>
      <c r="E651">
        <v>0</v>
      </c>
      <c r="F651">
        <v>0</v>
      </c>
      <c r="G651">
        <v>1E-4</v>
      </c>
      <c r="H651">
        <v>1E-4</v>
      </c>
      <c r="I651">
        <v>1E-4</v>
      </c>
      <c r="J651">
        <v>4.0000000000000002E-4</v>
      </c>
      <c r="K651">
        <v>5.0000000000000001E-4</v>
      </c>
      <c r="L651">
        <v>1E-3</v>
      </c>
      <c r="M651">
        <v>1.4E-3</v>
      </c>
      <c r="N651">
        <v>2.2000000000000001E-3</v>
      </c>
      <c r="O651">
        <v>5.1000000000000004E-3</v>
      </c>
      <c r="P651">
        <v>6.1000000000000004E-3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37"/>
  <sheetViews>
    <sheetView tabSelected="1" topLeftCell="A12" zoomScale="50" zoomScaleNormal="50" workbookViewId="0">
      <selection activeCell="E23" sqref="E23:Y37"/>
    </sheetView>
  </sheetViews>
  <sheetFormatPr defaultRowHeight="14.6" x14ac:dyDescent="0.4"/>
  <cols>
    <col min="2" max="28" width="10.61328125" style="7" customWidth="1"/>
    <col min="29" max="16384" width="9.23046875" style="15"/>
  </cols>
  <sheetData>
    <row r="1" spans="1:28" ht="26.15" x14ac:dyDescent="0.7">
      <c r="B1" s="4" t="s">
        <v>103</v>
      </c>
    </row>
    <row r="2" spans="1:28" ht="18" x14ac:dyDescent="0.45">
      <c r="K2" s="206"/>
      <c r="L2" s="206"/>
      <c r="M2" s="206"/>
      <c r="N2" s="206"/>
      <c r="O2" s="206"/>
      <c r="P2" s="206"/>
      <c r="Q2" s="206"/>
      <c r="R2" s="206"/>
    </row>
    <row r="3" spans="1:28" ht="16.3" customHeight="1" thickBot="1" x14ac:dyDescent="0.5">
      <c r="G3" s="214"/>
      <c r="H3" s="214"/>
      <c r="I3" s="214"/>
    </row>
    <row r="4" spans="1:28" s="137" customFormat="1" ht="27.9" customHeight="1" thickBot="1" x14ac:dyDescent="0.55000000000000004">
      <c r="A4" s="126"/>
      <c r="B4" s="199" t="s">
        <v>166</v>
      </c>
      <c r="C4" s="200"/>
      <c r="D4" s="200"/>
      <c r="E4" s="200"/>
      <c r="F4" s="200"/>
      <c r="G4" s="200"/>
      <c r="H4" s="200"/>
      <c r="I4" s="201"/>
      <c r="J4" s="127"/>
      <c r="K4" s="199" t="s">
        <v>167</v>
      </c>
      <c r="L4" s="200"/>
      <c r="M4" s="200"/>
      <c r="N4" s="200"/>
      <c r="O4" s="200"/>
      <c r="P4" s="200"/>
      <c r="Q4" s="200"/>
      <c r="R4" s="201"/>
      <c r="S4" s="127"/>
      <c r="T4" s="199" t="s">
        <v>168</v>
      </c>
      <c r="U4" s="200"/>
      <c r="V4" s="200"/>
      <c r="W4" s="200"/>
      <c r="X4" s="200"/>
      <c r="Y4" s="200"/>
      <c r="Z4" s="200"/>
      <c r="AA4" s="201"/>
      <c r="AB4" s="127"/>
    </row>
    <row r="5" spans="1:28" s="19" customFormat="1" ht="22.75" customHeight="1" thickBot="1" x14ac:dyDescent="0.5">
      <c r="A5" s="6"/>
      <c r="B5" s="202" t="s">
        <v>94</v>
      </c>
      <c r="C5" s="203"/>
      <c r="D5" s="203"/>
      <c r="E5" s="203"/>
      <c r="F5" s="203"/>
      <c r="G5" s="203"/>
      <c r="H5" s="203"/>
      <c r="I5" s="204"/>
      <c r="J5" s="49"/>
      <c r="K5" s="202" t="s">
        <v>94</v>
      </c>
      <c r="L5" s="203"/>
      <c r="M5" s="203"/>
      <c r="N5" s="203"/>
      <c r="O5" s="203"/>
      <c r="P5" s="203"/>
      <c r="Q5" s="203"/>
      <c r="R5" s="204"/>
      <c r="S5" s="48"/>
      <c r="T5" s="202" t="s">
        <v>94</v>
      </c>
      <c r="U5" s="203"/>
      <c r="V5" s="203"/>
      <c r="W5" s="203"/>
      <c r="X5" s="203"/>
      <c r="Y5" s="203"/>
      <c r="Z5" s="203"/>
      <c r="AA5" s="204"/>
      <c r="AB5" s="49"/>
    </row>
    <row r="6" spans="1:28" s="74" customFormat="1" ht="18.899999999999999" thickBot="1" x14ac:dyDescent="0.55000000000000004">
      <c r="A6" s="73"/>
      <c r="B6" s="71" t="s">
        <v>22</v>
      </c>
      <c r="C6" s="47" t="s">
        <v>93</v>
      </c>
      <c r="D6" s="47" t="s">
        <v>71</v>
      </c>
      <c r="E6" s="47" t="s">
        <v>89</v>
      </c>
      <c r="F6" s="50" t="s">
        <v>70</v>
      </c>
      <c r="G6" s="47" t="s">
        <v>90</v>
      </c>
      <c r="H6" s="47" t="s">
        <v>72</v>
      </c>
      <c r="I6" s="72" t="s">
        <v>92</v>
      </c>
      <c r="J6" s="49"/>
      <c r="K6" s="71" t="s">
        <v>22</v>
      </c>
      <c r="L6" s="47" t="s">
        <v>93</v>
      </c>
      <c r="M6" s="47" t="s">
        <v>71</v>
      </c>
      <c r="N6" s="47" t="s">
        <v>89</v>
      </c>
      <c r="O6" s="50" t="s">
        <v>70</v>
      </c>
      <c r="P6" s="47" t="s">
        <v>90</v>
      </c>
      <c r="Q6" s="47" t="s">
        <v>72</v>
      </c>
      <c r="R6" s="72" t="s">
        <v>92</v>
      </c>
      <c r="S6" s="49"/>
      <c r="T6" s="71" t="s">
        <v>22</v>
      </c>
      <c r="U6" s="47" t="s">
        <v>93</v>
      </c>
      <c r="V6" s="47" t="s">
        <v>71</v>
      </c>
      <c r="W6" s="47" t="s">
        <v>89</v>
      </c>
      <c r="X6" s="50" t="s">
        <v>70</v>
      </c>
      <c r="Y6" s="47" t="s">
        <v>90</v>
      </c>
      <c r="Z6" s="47" t="s">
        <v>72</v>
      </c>
      <c r="AA6" s="72" t="s">
        <v>92</v>
      </c>
      <c r="AB6" s="49"/>
    </row>
    <row r="7" spans="1:28" s="19" customFormat="1" ht="18" x14ac:dyDescent="0.45">
      <c r="A7" s="6"/>
      <c r="B7" s="75">
        <v>2021</v>
      </c>
      <c r="C7" s="30">
        <v>1539.8</v>
      </c>
      <c r="D7" s="30">
        <v>1539.8</v>
      </c>
      <c r="E7" s="30">
        <v>1539.8</v>
      </c>
      <c r="F7" s="30">
        <v>1539.8</v>
      </c>
      <c r="G7" s="30">
        <v>1539.8</v>
      </c>
      <c r="H7" s="30">
        <v>1539.8</v>
      </c>
      <c r="I7" s="56">
        <v>1539.8</v>
      </c>
      <c r="J7" s="49"/>
      <c r="K7" s="75">
        <v>2021</v>
      </c>
      <c r="L7" s="30">
        <v>1539.8</v>
      </c>
      <c r="M7" s="30">
        <v>1539.8</v>
      </c>
      <c r="N7" s="30">
        <v>1539.8</v>
      </c>
      <c r="O7" s="30">
        <v>1539.8</v>
      </c>
      <c r="P7" s="30">
        <v>1539.8</v>
      </c>
      <c r="Q7" s="30">
        <v>1539.8</v>
      </c>
      <c r="R7" s="56">
        <v>1539.8</v>
      </c>
      <c r="S7" s="49"/>
      <c r="T7" s="75">
        <v>2021</v>
      </c>
      <c r="U7" s="30">
        <v>1539.8</v>
      </c>
      <c r="V7" s="30">
        <v>1539.8</v>
      </c>
      <c r="W7" s="30">
        <v>1539.8</v>
      </c>
      <c r="X7" s="30">
        <v>1539.8</v>
      </c>
      <c r="Y7" s="30">
        <v>1539.8</v>
      </c>
      <c r="Z7" s="30">
        <v>1539.8</v>
      </c>
      <c r="AA7" s="56">
        <v>1539.8</v>
      </c>
      <c r="AB7" s="49"/>
    </row>
    <row r="8" spans="1:28" s="19" customFormat="1" ht="18" x14ac:dyDescent="0.45">
      <c r="A8" s="6"/>
      <c r="B8" s="75">
        <v>2022</v>
      </c>
      <c r="C8" s="30">
        <v>1473.9</v>
      </c>
      <c r="D8" s="30">
        <v>1473.9</v>
      </c>
      <c r="E8" s="30">
        <v>1473.9</v>
      </c>
      <c r="F8" s="30">
        <v>1473.9</v>
      </c>
      <c r="G8" s="30">
        <v>1473.9</v>
      </c>
      <c r="H8" s="30">
        <v>1473.9</v>
      </c>
      <c r="I8" s="56">
        <v>1473.9</v>
      </c>
      <c r="J8" s="49"/>
      <c r="K8" s="75">
        <v>2022</v>
      </c>
      <c r="L8" s="30">
        <v>1473.9</v>
      </c>
      <c r="M8" s="30">
        <v>1473.9</v>
      </c>
      <c r="N8" s="30">
        <v>1473.9</v>
      </c>
      <c r="O8" s="30">
        <v>1473.9</v>
      </c>
      <c r="P8" s="30">
        <v>1473.9</v>
      </c>
      <c r="Q8" s="30">
        <v>1473.9</v>
      </c>
      <c r="R8" s="56">
        <v>1473.9</v>
      </c>
      <c r="S8" s="49"/>
      <c r="T8" s="75">
        <v>2022</v>
      </c>
      <c r="U8" s="30">
        <v>1473.9</v>
      </c>
      <c r="V8" s="30">
        <v>1473.9</v>
      </c>
      <c r="W8" s="30">
        <v>1473.9</v>
      </c>
      <c r="X8" s="30">
        <v>1473.9</v>
      </c>
      <c r="Y8" s="30">
        <v>1473.9</v>
      </c>
      <c r="Z8" s="30">
        <v>1473.9</v>
      </c>
      <c r="AA8" s="56">
        <v>1473.9</v>
      </c>
      <c r="AB8" s="49"/>
    </row>
    <row r="9" spans="1:28" s="19" customFormat="1" ht="18" x14ac:dyDescent="0.45">
      <c r="A9" s="6"/>
      <c r="B9" s="75">
        <v>2023</v>
      </c>
      <c r="C9" s="30">
        <v>1685.4</v>
      </c>
      <c r="D9" s="30">
        <v>1685.4</v>
      </c>
      <c r="E9" s="30">
        <v>1685.4</v>
      </c>
      <c r="F9" s="30">
        <v>1685.4</v>
      </c>
      <c r="G9" s="30">
        <v>1685.4</v>
      </c>
      <c r="H9" s="30">
        <v>1685.4</v>
      </c>
      <c r="I9" s="56">
        <v>1685.4</v>
      </c>
      <c r="J9" s="49"/>
      <c r="K9" s="75">
        <v>2023</v>
      </c>
      <c r="L9" s="30">
        <v>1685.4</v>
      </c>
      <c r="M9" s="30">
        <v>1685.4</v>
      </c>
      <c r="N9" s="30">
        <v>1685.4</v>
      </c>
      <c r="O9" s="30">
        <v>1685.4</v>
      </c>
      <c r="P9" s="30">
        <v>1685.4</v>
      </c>
      <c r="Q9" s="30">
        <v>1685.4</v>
      </c>
      <c r="R9" s="56">
        <v>1685.4</v>
      </c>
      <c r="S9" s="49"/>
      <c r="T9" s="75">
        <v>2023</v>
      </c>
      <c r="U9" s="30">
        <v>1685.4</v>
      </c>
      <c r="V9" s="30">
        <v>1685.4</v>
      </c>
      <c r="W9" s="30">
        <v>1685.4</v>
      </c>
      <c r="X9" s="30">
        <v>1685.4</v>
      </c>
      <c r="Y9" s="30">
        <v>1685.4</v>
      </c>
      <c r="Z9" s="30">
        <v>1685.4</v>
      </c>
      <c r="AA9" s="56">
        <v>1685.4</v>
      </c>
      <c r="AB9" s="49"/>
    </row>
    <row r="10" spans="1:28" s="19" customFormat="1" ht="18" x14ac:dyDescent="0.45">
      <c r="A10" s="6"/>
      <c r="B10" s="75">
        <v>2024</v>
      </c>
      <c r="C10" s="30">
        <v>2156.6999999999998</v>
      </c>
      <c r="D10" s="30">
        <v>2156.6999999999998</v>
      </c>
      <c r="E10" s="30">
        <v>2156.6999999999998</v>
      </c>
      <c r="F10" s="30">
        <v>2156.6999999999998</v>
      </c>
      <c r="G10" s="30">
        <v>2156.6999999999998</v>
      </c>
      <c r="H10" s="30">
        <v>2156.6999999999998</v>
      </c>
      <c r="I10" s="56">
        <v>2156.6999999999998</v>
      </c>
      <c r="J10" s="49"/>
      <c r="K10" s="75">
        <v>2024</v>
      </c>
      <c r="L10" s="30">
        <v>2156.6999999999998</v>
      </c>
      <c r="M10" s="30">
        <v>2156.6999999999998</v>
      </c>
      <c r="N10" s="30">
        <v>2156.6999999999998</v>
      </c>
      <c r="O10" s="30">
        <v>2156.6999999999998</v>
      </c>
      <c r="P10" s="30">
        <v>2156.6999999999998</v>
      </c>
      <c r="Q10" s="30">
        <v>2156.6999999999998</v>
      </c>
      <c r="R10" s="56">
        <v>2156.6999999999998</v>
      </c>
      <c r="S10" s="49"/>
      <c r="T10" s="75">
        <v>2024</v>
      </c>
      <c r="U10" s="30">
        <v>2156.6999999999998</v>
      </c>
      <c r="V10" s="30">
        <v>2156.6999999999998</v>
      </c>
      <c r="W10" s="30">
        <v>2156.6999999999998</v>
      </c>
      <c r="X10" s="30">
        <v>2156.6999999999998</v>
      </c>
      <c r="Y10" s="30">
        <v>2156.6999999999998</v>
      </c>
      <c r="Z10" s="30">
        <v>2156.6999999999998</v>
      </c>
      <c r="AA10" s="56">
        <v>2156.6999999999998</v>
      </c>
      <c r="AB10" s="49"/>
    </row>
    <row r="11" spans="1:28" s="19" customFormat="1" ht="18" x14ac:dyDescent="0.45">
      <c r="A11" s="6"/>
      <c r="B11" s="75">
        <v>2025</v>
      </c>
      <c r="C11" s="30">
        <v>2400</v>
      </c>
      <c r="D11" s="30">
        <v>2400</v>
      </c>
      <c r="E11" s="30">
        <v>2400</v>
      </c>
      <c r="F11" s="30">
        <v>2400</v>
      </c>
      <c r="G11" s="30">
        <v>2400</v>
      </c>
      <c r="H11" s="30">
        <v>2400</v>
      </c>
      <c r="I11" s="56">
        <v>2400</v>
      </c>
      <c r="J11" s="49"/>
      <c r="K11" s="75">
        <v>2025</v>
      </c>
      <c r="L11" s="30">
        <v>3225</v>
      </c>
      <c r="M11" s="30">
        <v>3225</v>
      </c>
      <c r="N11" s="30">
        <v>3225</v>
      </c>
      <c r="O11" s="30">
        <v>3225</v>
      </c>
      <c r="P11" s="30">
        <v>3225</v>
      </c>
      <c r="Q11" s="30">
        <v>3225</v>
      </c>
      <c r="R11" s="56">
        <v>3225</v>
      </c>
      <c r="S11" s="49"/>
      <c r="T11" s="75">
        <v>2025</v>
      </c>
      <c r="U11" s="30">
        <v>3225</v>
      </c>
      <c r="V11" s="30">
        <v>3225</v>
      </c>
      <c r="W11" s="30">
        <v>3225</v>
      </c>
      <c r="X11" s="30">
        <v>3225</v>
      </c>
      <c r="Y11" s="30">
        <v>3225</v>
      </c>
      <c r="Z11" s="30">
        <v>3225</v>
      </c>
      <c r="AA11" s="56">
        <v>3225</v>
      </c>
      <c r="AB11" s="49"/>
    </row>
    <row r="12" spans="1:28" s="19" customFormat="1" ht="18" x14ac:dyDescent="0.45">
      <c r="A12" s="6"/>
      <c r="B12" s="75">
        <v>2026</v>
      </c>
      <c r="C12" s="30">
        <v>2400</v>
      </c>
      <c r="D12" s="30">
        <v>2400</v>
      </c>
      <c r="E12" s="30">
        <v>2400</v>
      </c>
      <c r="F12" s="30">
        <v>2400</v>
      </c>
      <c r="G12" s="30">
        <v>2400</v>
      </c>
      <c r="H12" s="30">
        <v>2400</v>
      </c>
      <c r="I12" s="56">
        <v>2400</v>
      </c>
      <c r="J12" s="49"/>
      <c r="K12" s="75">
        <v>2026</v>
      </c>
      <c r="L12" s="30">
        <v>2400</v>
      </c>
      <c r="M12" s="30">
        <v>2400</v>
      </c>
      <c r="N12" s="30">
        <v>2400</v>
      </c>
      <c r="O12" s="30">
        <v>2400</v>
      </c>
      <c r="P12" s="30">
        <v>2400</v>
      </c>
      <c r="Q12" s="30">
        <v>2400</v>
      </c>
      <c r="R12" s="56">
        <v>2400</v>
      </c>
      <c r="S12" s="49"/>
      <c r="T12" s="75">
        <v>2026</v>
      </c>
      <c r="U12" s="30">
        <v>3225</v>
      </c>
      <c r="V12" s="30">
        <v>3225</v>
      </c>
      <c r="W12" s="30">
        <v>3225</v>
      </c>
      <c r="X12" s="30">
        <v>3225</v>
      </c>
      <c r="Y12" s="30">
        <v>3225</v>
      </c>
      <c r="Z12" s="30">
        <v>3225</v>
      </c>
      <c r="AA12" s="56">
        <v>3225</v>
      </c>
      <c r="AB12" s="49"/>
    </row>
    <row r="13" spans="1:28" s="19" customFormat="1" ht="18" x14ac:dyDescent="0.45">
      <c r="A13" s="6"/>
      <c r="B13" s="75">
        <v>2027</v>
      </c>
      <c r="C13" s="30">
        <v>2400</v>
      </c>
      <c r="D13" s="30">
        <v>2400</v>
      </c>
      <c r="E13" s="30">
        <v>2400</v>
      </c>
      <c r="F13" s="30">
        <v>2400</v>
      </c>
      <c r="G13" s="30">
        <v>2400</v>
      </c>
      <c r="H13" s="30">
        <v>2400</v>
      </c>
      <c r="I13" s="56">
        <v>2400</v>
      </c>
      <c r="J13" s="49"/>
      <c r="K13" s="75">
        <v>2027</v>
      </c>
      <c r="L13" s="30">
        <v>2400</v>
      </c>
      <c r="M13" s="30">
        <v>2400</v>
      </c>
      <c r="N13" s="30">
        <v>2400</v>
      </c>
      <c r="O13" s="30">
        <v>2400</v>
      </c>
      <c r="P13" s="30">
        <v>2400</v>
      </c>
      <c r="Q13" s="30">
        <v>2400</v>
      </c>
      <c r="R13" s="56">
        <v>2400</v>
      </c>
      <c r="S13" s="49"/>
      <c r="T13" s="75">
        <v>2027</v>
      </c>
      <c r="U13" s="30">
        <v>2400</v>
      </c>
      <c r="V13" s="30">
        <v>2400</v>
      </c>
      <c r="W13" s="30">
        <v>2400</v>
      </c>
      <c r="X13" s="30">
        <v>2400</v>
      </c>
      <c r="Y13" s="30">
        <v>2400</v>
      </c>
      <c r="Z13" s="30">
        <v>2400</v>
      </c>
      <c r="AA13" s="56">
        <v>2400</v>
      </c>
      <c r="AB13" s="49"/>
    </row>
    <row r="14" spans="1:28" s="19" customFormat="1" ht="18" x14ac:dyDescent="0.45">
      <c r="A14" s="6"/>
      <c r="B14" s="75">
        <v>2028</v>
      </c>
      <c r="C14" s="30">
        <v>2300</v>
      </c>
      <c r="D14" s="30">
        <v>2300</v>
      </c>
      <c r="E14" s="30">
        <v>2300</v>
      </c>
      <c r="F14" s="30">
        <v>2300</v>
      </c>
      <c r="G14" s="30">
        <v>2300</v>
      </c>
      <c r="H14" s="30">
        <v>2300</v>
      </c>
      <c r="I14" s="56">
        <v>2300</v>
      </c>
      <c r="J14" s="49"/>
      <c r="K14" s="75">
        <v>2028</v>
      </c>
      <c r="L14" s="30">
        <v>2200</v>
      </c>
      <c r="M14" s="30">
        <v>2200</v>
      </c>
      <c r="N14" s="30">
        <v>2200</v>
      </c>
      <c r="O14" s="30">
        <v>2200</v>
      </c>
      <c r="P14" s="30">
        <v>2200</v>
      </c>
      <c r="Q14" s="30">
        <v>2200</v>
      </c>
      <c r="R14" s="56">
        <v>2200</v>
      </c>
      <c r="S14" s="49"/>
      <c r="T14" s="75">
        <v>2028</v>
      </c>
      <c r="U14" s="30">
        <v>2150</v>
      </c>
      <c r="V14" s="30">
        <v>2150</v>
      </c>
      <c r="W14" s="30">
        <v>2150</v>
      </c>
      <c r="X14" s="30">
        <v>2150</v>
      </c>
      <c r="Y14" s="30">
        <v>2150</v>
      </c>
      <c r="Z14" s="30">
        <v>2150</v>
      </c>
      <c r="AA14" s="56">
        <v>2150</v>
      </c>
      <c r="AB14" s="49"/>
    </row>
    <row r="15" spans="1:28" s="19" customFormat="1" ht="18" x14ac:dyDescent="0.45">
      <c r="A15" s="6"/>
      <c r="B15" s="75">
        <v>2029</v>
      </c>
      <c r="C15" s="30">
        <v>2300</v>
      </c>
      <c r="D15" s="30">
        <v>2300</v>
      </c>
      <c r="E15" s="30">
        <v>2300</v>
      </c>
      <c r="F15" s="30">
        <v>2300</v>
      </c>
      <c r="G15" s="30">
        <v>2300</v>
      </c>
      <c r="H15" s="30">
        <v>2300</v>
      </c>
      <c r="I15" s="56">
        <v>2300</v>
      </c>
      <c r="J15" s="49"/>
      <c r="K15" s="75">
        <v>2029</v>
      </c>
      <c r="L15" s="30">
        <v>2200</v>
      </c>
      <c r="M15" s="30">
        <v>2200</v>
      </c>
      <c r="N15" s="30">
        <v>2200</v>
      </c>
      <c r="O15" s="30">
        <v>2200</v>
      </c>
      <c r="P15" s="30">
        <v>2200</v>
      </c>
      <c r="Q15" s="30">
        <v>2200</v>
      </c>
      <c r="R15" s="56">
        <v>2200</v>
      </c>
      <c r="S15" s="49"/>
      <c r="T15" s="75">
        <v>2029</v>
      </c>
      <c r="U15" s="30">
        <v>2150</v>
      </c>
      <c r="V15" s="30">
        <v>2150</v>
      </c>
      <c r="W15" s="30">
        <v>2150</v>
      </c>
      <c r="X15" s="30">
        <v>2150</v>
      </c>
      <c r="Y15" s="30">
        <v>2150</v>
      </c>
      <c r="Z15" s="30">
        <v>2150</v>
      </c>
      <c r="AA15" s="56">
        <v>2150</v>
      </c>
      <c r="AB15" s="49"/>
    </row>
    <row r="16" spans="1:28" s="19" customFormat="1" ht="18" x14ac:dyDescent="0.45">
      <c r="A16" s="6"/>
      <c r="B16" s="75">
        <v>2030</v>
      </c>
      <c r="C16" s="30">
        <v>2300</v>
      </c>
      <c r="D16" s="30">
        <v>2300</v>
      </c>
      <c r="E16" s="30">
        <v>2300</v>
      </c>
      <c r="F16" s="30">
        <v>2300</v>
      </c>
      <c r="G16" s="30">
        <v>2300</v>
      </c>
      <c r="H16" s="30">
        <v>2300</v>
      </c>
      <c r="I16" s="56">
        <v>2300</v>
      </c>
      <c r="J16" s="49"/>
      <c r="K16" s="75">
        <v>2030</v>
      </c>
      <c r="L16" s="30">
        <v>2200</v>
      </c>
      <c r="M16" s="30">
        <v>2200</v>
      </c>
      <c r="N16" s="30">
        <v>2200</v>
      </c>
      <c r="O16" s="30">
        <v>2200</v>
      </c>
      <c r="P16" s="30">
        <v>2200</v>
      </c>
      <c r="Q16" s="30">
        <v>2200</v>
      </c>
      <c r="R16" s="56">
        <v>2200</v>
      </c>
      <c r="S16" s="49"/>
      <c r="T16" s="75">
        <v>2030</v>
      </c>
      <c r="U16" s="30">
        <v>2150</v>
      </c>
      <c r="V16" s="30">
        <v>2150</v>
      </c>
      <c r="W16" s="30">
        <v>2150</v>
      </c>
      <c r="X16" s="30">
        <v>2150</v>
      </c>
      <c r="Y16" s="30">
        <v>2150</v>
      </c>
      <c r="Z16" s="30">
        <v>2150</v>
      </c>
      <c r="AA16" s="56">
        <v>2150</v>
      </c>
      <c r="AB16" s="49"/>
    </row>
    <row r="17" spans="1:28" s="19" customFormat="1" ht="18" x14ac:dyDescent="0.45">
      <c r="A17" s="6"/>
      <c r="B17" s="75">
        <v>2031</v>
      </c>
      <c r="C17" s="30">
        <v>2300</v>
      </c>
      <c r="D17" s="30">
        <v>2300</v>
      </c>
      <c r="E17" s="30">
        <v>2300</v>
      </c>
      <c r="F17" s="30">
        <v>2300</v>
      </c>
      <c r="G17" s="30">
        <v>2300</v>
      </c>
      <c r="H17" s="30">
        <v>2300</v>
      </c>
      <c r="I17" s="56">
        <v>2300</v>
      </c>
      <c r="J17" s="49"/>
      <c r="K17" s="75">
        <v>2031</v>
      </c>
      <c r="L17" s="30">
        <v>2200</v>
      </c>
      <c r="M17" s="30">
        <v>2200</v>
      </c>
      <c r="N17" s="30">
        <v>2200</v>
      </c>
      <c r="O17" s="30">
        <v>2200</v>
      </c>
      <c r="P17" s="30">
        <v>2200</v>
      </c>
      <c r="Q17" s="30">
        <v>2200</v>
      </c>
      <c r="R17" s="56">
        <v>2200</v>
      </c>
      <c r="S17" s="49"/>
      <c r="T17" s="75">
        <v>2031</v>
      </c>
      <c r="U17" s="30">
        <v>2150</v>
      </c>
      <c r="V17" s="30">
        <v>2150</v>
      </c>
      <c r="W17" s="30">
        <v>2150</v>
      </c>
      <c r="X17" s="30">
        <v>2150</v>
      </c>
      <c r="Y17" s="30">
        <v>2150</v>
      </c>
      <c r="Z17" s="30">
        <v>2150</v>
      </c>
      <c r="AA17" s="56">
        <v>2150</v>
      </c>
      <c r="AB17" s="49"/>
    </row>
    <row r="18" spans="1:28" s="19" customFormat="1" ht="18" x14ac:dyDescent="0.45">
      <c r="A18" s="6"/>
      <c r="B18" s="75">
        <v>2032</v>
      </c>
      <c r="C18" s="30">
        <v>2200</v>
      </c>
      <c r="D18" s="30">
        <v>2200</v>
      </c>
      <c r="E18" s="30">
        <v>2200</v>
      </c>
      <c r="F18" s="30">
        <v>2200</v>
      </c>
      <c r="G18" s="30">
        <v>2200</v>
      </c>
      <c r="H18" s="30">
        <v>2200</v>
      </c>
      <c r="I18" s="56">
        <v>2200</v>
      </c>
      <c r="J18" s="49"/>
      <c r="K18" s="75">
        <v>2032</v>
      </c>
      <c r="L18" s="30">
        <v>2200</v>
      </c>
      <c r="M18" s="30">
        <v>2200</v>
      </c>
      <c r="N18" s="30">
        <v>2200</v>
      </c>
      <c r="O18" s="30">
        <v>2200</v>
      </c>
      <c r="P18" s="30">
        <v>2200</v>
      </c>
      <c r="Q18" s="30">
        <v>2200</v>
      </c>
      <c r="R18" s="56">
        <v>2200</v>
      </c>
      <c r="S18" s="49"/>
      <c r="T18" s="75">
        <v>2032</v>
      </c>
      <c r="U18" s="30">
        <v>2150</v>
      </c>
      <c r="V18" s="30">
        <v>2150</v>
      </c>
      <c r="W18" s="30">
        <v>2150</v>
      </c>
      <c r="X18" s="30">
        <v>2150</v>
      </c>
      <c r="Y18" s="30">
        <v>2150</v>
      </c>
      <c r="Z18" s="30">
        <v>2150</v>
      </c>
      <c r="AA18" s="56">
        <v>2150</v>
      </c>
      <c r="AB18" s="49"/>
    </row>
    <row r="19" spans="1:28" s="19" customFormat="1" ht="18" x14ac:dyDescent="0.45">
      <c r="A19" s="6"/>
      <c r="B19" s="75">
        <v>2033</v>
      </c>
      <c r="C19" s="30">
        <v>2200</v>
      </c>
      <c r="D19" s="30">
        <v>2200</v>
      </c>
      <c r="E19" s="30">
        <v>2200</v>
      </c>
      <c r="F19" s="30">
        <v>2200</v>
      </c>
      <c r="G19" s="30">
        <v>2200</v>
      </c>
      <c r="H19" s="30">
        <v>2200</v>
      </c>
      <c r="I19" s="56">
        <v>2200</v>
      </c>
      <c r="J19" s="49"/>
      <c r="K19" s="75">
        <v>2033</v>
      </c>
      <c r="L19" s="30">
        <v>2200</v>
      </c>
      <c r="M19" s="30">
        <v>2200</v>
      </c>
      <c r="N19" s="30">
        <v>2200</v>
      </c>
      <c r="O19" s="30">
        <v>2200</v>
      </c>
      <c r="P19" s="30">
        <v>2200</v>
      </c>
      <c r="Q19" s="30">
        <v>2200</v>
      </c>
      <c r="R19" s="56">
        <v>2200</v>
      </c>
      <c r="S19" s="49"/>
      <c r="T19" s="75">
        <v>2033</v>
      </c>
      <c r="U19" s="30">
        <v>2150</v>
      </c>
      <c r="V19" s="30">
        <v>2150</v>
      </c>
      <c r="W19" s="30">
        <v>2150</v>
      </c>
      <c r="X19" s="30">
        <v>2150</v>
      </c>
      <c r="Y19" s="30">
        <v>2150</v>
      </c>
      <c r="Z19" s="30">
        <v>2150</v>
      </c>
      <c r="AA19" s="56">
        <v>2150</v>
      </c>
      <c r="AB19" s="49"/>
    </row>
    <row r="20" spans="1:28" s="19" customFormat="1" ht="18.45" thickBot="1" x14ac:dyDescent="0.5">
      <c r="A20" s="6"/>
      <c r="B20" s="71">
        <v>2034</v>
      </c>
      <c r="C20" s="25">
        <v>2200</v>
      </c>
      <c r="D20" s="25">
        <v>2200</v>
      </c>
      <c r="E20" s="25">
        <v>2200</v>
      </c>
      <c r="F20" s="25">
        <v>2200</v>
      </c>
      <c r="G20" s="25">
        <v>2200</v>
      </c>
      <c r="H20" s="25">
        <v>2200</v>
      </c>
      <c r="I20" s="57">
        <v>2200</v>
      </c>
      <c r="J20" s="49"/>
      <c r="K20" s="71">
        <v>2034</v>
      </c>
      <c r="L20" s="25">
        <v>2200</v>
      </c>
      <c r="M20" s="25">
        <v>2200</v>
      </c>
      <c r="N20" s="25">
        <v>2200</v>
      </c>
      <c r="O20" s="25">
        <v>2200</v>
      </c>
      <c r="P20" s="25">
        <v>2200</v>
      </c>
      <c r="Q20" s="25">
        <v>2200</v>
      </c>
      <c r="R20" s="57">
        <v>2200</v>
      </c>
      <c r="S20" s="49"/>
      <c r="T20" s="71">
        <v>2034</v>
      </c>
      <c r="U20" s="25">
        <v>2150</v>
      </c>
      <c r="V20" s="25">
        <v>2150</v>
      </c>
      <c r="W20" s="25">
        <v>2150</v>
      </c>
      <c r="X20" s="25">
        <v>2150</v>
      </c>
      <c r="Y20" s="25">
        <v>2150</v>
      </c>
      <c r="Z20" s="25">
        <v>2150</v>
      </c>
      <c r="AA20" s="57">
        <v>2150</v>
      </c>
      <c r="AB20" s="49"/>
    </row>
    <row r="21" spans="1:28" ht="18" x14ac:dyDescent="0.45">
      <c r="B21" s="12"/>
      <c r="C21" s="9"/>
      <c r="D21" s="9"/>
      <c r="E21" s="9"/>
      <c r="F21" s="12"/>
      <c r="G21" s="9"/>
      <c r="H21" s="9"/>
      <c r="I21" s="9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</row>
    <row r="22" spans="1:28" ht="18" x14ac:dyDescent="0.45">
      <c r="B22" s="12"/>
      <c r="J22" s="8"/>
      <c r="K22" s="8"/>
      <c r="L22" s="9"/>
      <c r="M22" s="9"/>
      <c r="N22" s="9"/>
      <c r="O22" s="9"/>
      <c r="P22" s="9"/>
      <c r="Q22" s="9"/>
      <c r="R22" s="9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 spans="1:28" ht="18" x14ac:dyDescent="0.45">
      <c r="B23" s="12"/>
      <c r="E23"/>
      <c r="F23"/>
      <c r="G23"/>
      <c r="J23" s="8"/>
      <c r="K23" s="8"/>
      <c r="L23" s="9"/>
      <c r="M23" s="9"/>
      <c r="N23"/>
      <c r="O23"/>
      <c r="P23"/>
      <c r="Q23" s="9"/>
      <c r="R23" s="9"/>
      <c r="S23" s="8"/>
      <c r="T23" s="8"/>
      <c r="U23" s="8"/>
      <c r="V23" s="8"/>
      <c r="W23"/>
      <c r="X23"/>
      <c r="Y23"/>
      <c r="Z23" s="8"/>
      <c r="AA23" s="8"/>
      <c r="AB23" s="8"/>
    </row>
    <row r="24" spans="1:28" ht="18" x14ac:dyDescent="0.45">
      <c r="B24" s="20"/>
      <c r="E24"/>
      <c r="F24"/>
      <c r="G24"/>
      <c r="J24" s="8"/>
      <c r="K24" s="8"/>
      <c r="L24" s="9"/>
      <c r="M24" s="9"/>
      <c r="N24"/>
      <c r="O24"/>
      <c r="P24"/>
      <c r="Q24" s="9"/>
      <c r="R24" s="9"/>
      <c r="S24" s="8"/>
      <c r="T24" s="8"/>
      <c r="U24" s="8"/>
      <c r="V24" s="8"/>
      <c r="W24"/>
      <c r="X24"/>
      <c r="Y24"/>
      <c r="Z24" s="8"/>
      <c r="AA24" s="8"/>
      <c r="AB24" s="8"/>
    </row>
    <row r="25" spans="1:28" ht="18" x14ac:dyDescent="0.45">
      <c r="B25" s="20"/>
      <c r="E25"/>
      <c r="F25" s="14"/>
      <c r="G25"/>
      <c r="J25" s="8"/>
      <c r="K25" s="8"/>
      <c r="L25" s="9"/>
      <c r="M25" s="9"/>
      <c r="N25"/>
      <c r="O25" s="14"/>
      <c r="P25"/>
      <c r="Q25" s="9"/>
      <c r="R25" s="9"/>
      <c r="S25" s="8"/>
      <c r="T25" s="8"/>
      <c r="U25" s="8"/>
      <c r="V25" s="8"/>
      <c r="W25"/>
      <c r="X25" s="14"/>
      <c r="Y25"/>
      <c r="Z25" s="8"/>
      <c r="AA25" s="8"/>
      <c r="AB25" s="8"/>
    </row>
    <row r="26" spans="1:28" ht="18" x14ac:dyDescent="0.45">
      <c r="B26" s="10"/>
      <c r="E26"/>
      <c r="F26" s="14"/>
      <c r="G26"/>
      <c r="L26" s="9"/>
      <c r="M26" s="9"/>
      <c r="N26"/>
      <c r="O26" s="14"/>
      <c r="P26"/>
      <c r="Q26" s="9"/>
      <c r="R26" s="9"/>
      <c r="U26" s="8"/>
      <c r="V26" s="8"/>
      <c r="W26"/>
      <c r="X26" s="14"/>
      <c r="Y26"/>
      <c r="Z26" s="8"/>
      <c r="AA26" s="8"/>
    </row>
    <row r="27" spans="1:28" ht="18" x14ac:dyDescent="0.45">
      <c r="B27" s="10"/>
      <c r="E27"/>
      <c r="F27" s="14"/>
      <c r="G27"/>
      <c r="L27" s="9"/>
      <c r="M27" s="9"/>
      <c r="N27"/>
      <c r="O27" s="14"/>
      <c r="P27"/>
      <c r="Q27" s="9"/>
      <c r="R27" s="9"/>
      <c r="U27" s="8"/>
      <c r="V27" s="8"/>
      <c r="W27"/>
      <c r="X27" s="14"/>
      <c r="Y27"/>
      <c r="Z27" s="8"/>
      <c r="AA27" s="8"/>
    </row>
    <row r="28" spans="1:28" ht="18" x14ac:dyDescent="0.45">
      <c r="E28"/>
      <c r="F28" s="14"/>
      <c r="G28"/>
      <c r="L28" s="9"/>
      <c r="M28" s="9"/>
      <c r="N28"/>
      <c r="O28" s="14"/>
      <c r="P28"/>
      <c r="Q28" s="9"/>
      <c r="R28" s="9"/>
      <c r="U28" s="8"/>
      <c r="V28" s="8"/>
      <c r="W28"/>
      <c r="X28" s="14"/>
      <c r="Y28"/>
      <c r="Z28" s="8"/>
      <c r="AA28" s="8"/>
    </row>
    <row r="29" spans="1:28" ht="18" x14ac:dyDescent="0.45">
      <c r="E29"/>
      <c r="F29" s="14"/>
      <c r="G29"/>
      <c r="L29" s="9"/>
      <c r="M29" s="9"/>
      <c r="N29"/>
      <c r="O29" s="14"/>
      <c r="P29"/>
      <c r="Q29" s="9"/>
      <c r="R29" s="9"/>
      <c r="U29" s="8"/>
      <c r="V29" s="8"/>
      <c r="W29"/>
      <c r="X29" s="14"/>
      <c r="Y29"/>
      <c r="Z29" s="8"/>
      <c r="AA29" s="8"/>
    </row>
    <row r="30" spans="1:28" ht="18" x14ac:dyDescent="0.45">
      <c r="E30"/>
      <c r="F30" s="14"/>
      <c r="G30"/>
      <c r="L30" s="9"/>
      <c r="M30" s="9"/>
      <c r="N30"/>
      <c r="O30" s="14"/>
      <c r="P30"/>
      <c r="Q30" s="9"/>
      <c r="R30" s="9"/>
      <c r="U30" s="8"/>
      <c r="V30" s="8"/>
      <c r="W30"/>
      <c r="X30" s="14"/>
      <c r="Y30"/>
      <c r="Z30" s="8"/>
      <c r="AA30" s="8"/>
    </row>
    <row r="31" spans="1:28" ht="18" x14ac:dyDescent="0.45">
      <c r="E31"/>
      <c r="F31" s="14"/>
      <c r="G31"/>
      <c r="L31" s="9"/>
      <c r="M31" s="9"/>
      <c r="N31"/>
      <c r="O31" s="14"/>
      <c r="P31"/>
      <c r="Q31" s="9"/>
      <c r="R31" s="9"/>
      <c r="U31" s="8"/>
      <c r="V31" s="8"/>
      <c r="W31"/>
      <c r="X31" s="14"/>
      <c r="Y31"/>
      <c r="Z31" s="8"/>
      <c r="AA31" s="8"/>
    </row>
    <row r="32" spans="1:28" ht="18" x14ac:dyDescent="0.45">
      <c r="E32"/>
      <c r="F32" s="14"/>
      <c r="G32"/>
      <c r="L32" s="9"/>
      <c r="M32" s="9"/>
      <c r="N32"/>
      <c r="O32" s="14"/>
      <c r="P32"/>
      <c r="Q32" s="9"/>
      <c r="R32" s="9"/>
      <c r="U32" s="8"/>
      <c r="V32" s="8"/>
      <c r="W32"/>
      <c r="X32" s="14"/>
      <c r="Y32"/>
      <c r="Z32" s="8"/>
      <c r="AA32" s="8"/>
    </row>
    <row r="33" spans="5:27" ht="18" x14ac:dyDescent="0.45">
      <c r="E33"/>
      <c r="F33" s="14"/>
      <c r="G33"/>
      <c r="L33" s="9"/>
      <c r="M33" s="9"/>
      <c r="N33"/>
      <c r="O33" s="14"/>
      <c r="P33"/>
      <c r="Q33" s="9"/>
      <c r="R33" s="9"/>
      <c r="U33" s="8"/>
      <c r="V33" s="8"/>
      <c r="W33"/>
      <c r="X33" s="14"/>
      <c r="Y33"/>
      <c r="Z33" s="8"/>
      <c r="AA33" s="8"/>
    </row>
    <row r="34" spans="5:27" ht="18" x14ac:dyDescent="0.45">
      <c r="E34"/>
      <c r="F34" s="14"/>
      <c r="G34"/>
      <c r="L34" s="9"/>
      <c r="M34" s="9"/>
      <c r="N34"/>
      <c r="O34" s="14"/>
      <c r="P34"/>
      <c r="Q34" s="9"/>
      <c r="R34" s="9"/>
      <c r="U34" s="8"/>
      <c r="V34" s="8"/>
      <c r="W34"/>
      <c r="X34" s="14"/>
      <c r="Y34"/>
      <c r="Z34" s="8"/>
      <c r="AA34" s="8"/>
    </row>
    <row r="35" spans="5:27" ht="18" x14ac:dyDescent="0.45">
      <c r="E35"/>
      <c r="F35" s="14"/>
      <c r="G35"/>
      <c r="L35" s="9"/>
      <c r="M35" s="9"/>
      <c r="N35"/>
      <c r="O35" s="14"/>
      <c r="P35"/>
      <c r="Q35" s="9"/>
      <c r="R35" s="9"/>
      <c r="U35" s="8"/>
      <c r="V35" s="8"/>
      <c r="W35"/>
      <c r="X35" s="14"/>
      <c r="Y35"/>
      <c r="Z35" s="8"/>
      <c r="AA35" s="8"/>
    </row>
    <row r="36" spans="5:27" x14ac:dyDescent="0.4">
      <c r="E36"/>
      <c r="F36" s="14"/>
      <c r="G36"/>
      <c r="N36"/>
      <c r="O36" s="14"/>
      <c r="P36"/>
      <c r="W36"/>
      <c r="X36" s="14"/>
      <c r="Y36"/>
    </row>
    <row r="37" spans="5:27" x14ac:dyDescent="0.4">
      <c r="E37"/>
      <c r="F37" s="14"/>
      <c r="G37"/>
      <c r="N37"/>
      <c r="O37" s="14"/>
      <c r="P37"/>
      <c r="W37"/>
      <c r="X37" s="14"/>
      <c r="Y37"/>
    </row>
  </sheetData>
  <mergeCells count="8">
    <mergeCell ref="T4:AA4"/>
    <mergeCell ref="T5:AA5"/>
    <mergeCell ref="K2:R2"/>
    <mergeCell ref="G3:I3"/>
    <mergeCell ref="B4:I4"/>
    <mergeCell ref="B5:I5"/>
    <mergeCell ref="K4:R4"/>
    <mergeCell ref="K5:R5"/>
  </mergeCells>
  <pageMargins left="0.7" right="0.7" top="0.75" bottom="0.75" header="0.3" footer="0.3"/>
  <pageSetup orientation="portrait" horizontalDpi="360" verticalDpi="36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C4F4E-E025-48AF-AFA4-D088B40154CA}">
  <dimension ref="B1:AJ25"/>
  <sheetViews>
    <sheetView topLeftCell="A3" zoomScale="50" zoomScaleNormal="50" workbookViewId="0">
      <selection activeCell="AA10" sqref="AA10:AH19"/>
    </sheetView>
  </sheetViews>
  <sheetFormatPr defaultRowHeight="14.6" x14ac:dyDescent="0.4"/>
  <cols>
    <col min="1" max="1" width="9.23046875" style="15"/>
    <col min="2" max="2" width="11" style="7" customWidth="1"/>
    <col min="3" max="12" width="10.69140625" style="7" customWidth="1"/>
    <col min="13" max="13" width="7.69140625" style="7" customWidth="1"/>
    <col min="14" max="14" width="11" style="7" customWidth="1"/>
    <col min="15" max="24" width="10.69140625" style="7" customWidth="1"/>
    <col min="25" max="25" width="9.23046875" style="15"/>
    <col min="26" max="26" width="10.3046875" style="15" customWidth="1"/>
    <col min="27" max="34" width="10.69140625" style="15" customWidth="1"/>
    <col min="35" max="36" width="9.53515625" style="15" customWidth="1"/>
    <col min="37" max="16384" width="9.23046875" style="15"/>
  </cols>
  <sheetData>
    <row r="1" spans="2:36" ht="26.15" x14ac:dyDescent="0.7">
      <c r="B1" s="4" t="s">
        <v>108</v>
      </c>
      <c r="N1" s="4" t="s">
        <v>109</v>
      </c>
      <c r="Z1" s="4" t="s">
        <v>110</v>
      </c>
    </row>
    <row r="2" spans="2:36" ht="15.45" x14ac:dyDescent="0.4">
      <c r="B2" s="34"/>
      <c r="N2" s="34"/>
    </row>
    <row r="3" spans="2:36" ht="15.9" thickBot="1" x14ac:dyDescent="0.45">
      <c r="B3" s="34"/>
      <c r="K3" s="51"/>
      <c r="N3" s="34"/>
    </row>
    <row r="4" spans="2:36" ht="36" customHeight="1" thickBot="1" x14ac:dyDescent="0.45">
      <c r="B4" s="208" t="s">
        <v>94</v>
      </c>
      <c r="C4" s="209"/>
      <c r="D4" s="209"/>
      <c r="E4" s="209"/>
      <c r="F4" s="209"/>
      <c r="G4" s="209"/>
      <c r="H4" s="209"/>
      <c r="I4" s="209"/>
      <c r="J4" s="209"/>
      <c r="K4" s="209"/>
      <c r="L4" s="210"/>
      <c r="N4" s="208" t="s">
        <v>74</v>
      </c>
      <c r="O4" s="209"/>
      <c r="P4" s="209"/>
      <c r="Q4" s="209"/>
      <c r="R4" s="209"/>
      <c r="S4" s="209"/>
      <c r="T4" s="209"/>
      <c r="U4" s="209"/>
      <c r="V4" s="209"/>
      <c r="W4" s="209"/>
      <c r="X4" s="210"/>
      <c r="Y4" s="62"/>
      <c r="Z4" s="208" t="s">
        <v>73</v>
      </c>
      <c r="AA4" s="209"/>
      <c r="AB4" s="209"/>
      <c r="AC4" s="209"/>
      <c r="AD4" s="209"/>
      <c r="AE4" s="209"/>
      <c r="AF4" s="209"/>
      <c r="AG4" s="209"/>
      <c r="AH4" s="209"/>
      <c r="AI4" s="209"/>
      <c r="AJ4" s="210"/>
    </row>
    <row r="5" spans="2:36" s="38" customFormat="1" ht="139.75" customHeight="1" thickBot="1" x14ac:dyDescent="0.5">
      <c r="B5" s="130" t="s">
        <v>22</v>
      </c>
      <c r="C5" s="131" t="s">
        <v>99</v>
      </c>
      <c r="D5" s="134" t="s">
        <v>143</v>
      </c>
      <c r="E5" s="134" t="s">
        <v>100</v>
      </c>
      <c r="F5" s="134" t="s">
        <v>144</v>
      </c>
      <c r="G5" s="134" t="s">
        <v>145</v>
      </c>
      <c r="H5" s="134" t="s">
        <v>146</v>
      </c>
      <c r="I5" s="134" t="s">
        <v>147</v>
      </c>
      <c r="J5" s="135" t="s">
        <v>148</v>
      </c>
      <c r="K5" s="134" t="s">
        <v>101</v>
      </c>
      <c r="L5" s="135" t="s">
        <v>102</v>
      </c>
      <c r="M5" s="133"/>
      <c r="N5" s="130" t="s">
        <v>22</v>
      </c>
      <c r="O5" s="131" t="s">
        <v>99</v>
      </c>
      <c r="P5" s="134" t="s">
        <v>143</v>
      </c>
      <c r="Q5" s="134" t="s">
        <v>100</v>
      </c>
      <c r="R5" s="134" t="s">
        <v>144</v>
      </c>
      <c r="S5" s="134" t="s">
        <v>145</v>
      </c>
      <c r="T5" s="134" t="s">
        <v>146</v>
      </c>
      <c r="U5" s="134" t="s">
        <v>147</v>
      </c>
      <c r="V5" s="135" t="s">
        <v>148</v>
      </c>
      <c r="W5" s="136" t="s">
        <v>101</v>
      </c>
      <c r="X5" s="140" t="s">
        <v>102</v>
      </c>
      <c r="Z5" s="130" t="s">
        <v>22</v>
      </c>
      <c r="AA5" s="131" t="s">
        <v>99</v>
      </c>
      <c r="AB5" s="134" t="s">
        <v>143</v>
      </c>
      <c r="AC5" s="134" t="s">
        <v>100</v>
      </c>
      <c r="AD5" s="134" t="s">
        <v>144</v>
      </c>
      <c r="AE5" s="134" t="s">
        <v>145</v>
      </c>
      <c r="AF5" s="134" t="s">
        <v>146</v>
      </c>
      <c r="AG5" s="134" t="s">
        <v>147</v>
      </c>
      <c r="AH5" s="135" t="s">
        <v>148</v>
      </c>
      <c r="AI5" s="136" t="s">
        <v>101</v>
      </c>
      <c r="AJ5" s="140" t="s">
        <v>102</v>
      </c>
    </row>
    <row r="6" spans="2:36" ht="18" x14ac:dyDescent="0.45">
      <c r="B6" s="55">
        <v>2021</v>
      </c>
      <c r="C6" s="110">
        <v>2912.1</v>
      </c>
      <c r="D6" s="111">
        <v>2911.4</v>
      </c>
      <c r="E6" s="111">
        <v>2911.4</v>
      </c>
      <c r="F6" s="111">
        <v>2913</v>
      </c>
      <c r="G6" s="111">
        <v>2913.9</v>
      </c>
      <c r="H6" s="111">
        <v>2913.3</v>
      </c>
      <c r="I6" s="111">
        <v>2829.6</v>
      </c>
      <c r="J6" s="112">
        <v>2733.1</v>
      </c>
      <c r="K6" s="111">
        <v>2912</v>
      </c>
      <c r="L6" s="112">
        <v>2226.7999999999997</v>
      </c>
      <c r="M6" s="8"/>
      <c r="N6" s="55">
        <v>2021</v>
      </c>
      <c r="O6" s="110">
        <v>2229</v>
      </c>
      <c r="P6" s="111">
        <v>2227.3000000000002</v>
      </c>
      <c r="Q6" s="111">
        <v>2227.3000000000002</v>
      </c>
      <c r="R6" s="111">
        <v>2227.5</v>
      </c>
      <c r="S6" s="111">
        <v>2227.6999999999998</v>
      </c>
      <c r="T6" s="111">
        <v>2229</v>
      </c>
      <c r="U6" s="111">
        <v>2226.7000000000003</v>
      </c>
      <c r="V6" s="112">
        <v>2227.5</v>
      </c>
      <c r="W6" s="111">
        <v>2227.9</v>
      </c>
      <c r="X6" s="112">
        <v>2913</v>
      </c>
      <c r="Z6" s="55">
        <v>2021</v>
      </c>
      <c r="AA6" s="118">
        <v>0.6800219999999999</v>
      </c>
      <c r="AB6" s="119">
        <v>0.6800219999999999</v>
      </c>
      <c r="AC6" s="119">
        <v>0.6800219999999999</v>
      </c>
      <c r="AD6" s="119">
        <v>0.6800219999999999</v>
      </c>
      <c r="AE6" s="119">
        <v>0.6800219999999999</v>
      </c>
      <c r="AF6" s="119">
        <v>0.6800219999999999</v>
      </c>
      <c r="AG6" s="119">
        <v>0.6800219999999999</v>
      </c>
      <c r="AH6" s="120">
        <v>0.6800219999999999</v>
      </c>
      <c r="AI6" s="41">
        <v>0.6800219999999999</v>
      </c>
      <c r="AJ6" s="60">
        <v>0.6800219999999999</v>
      </c>
    </row>
    <row r="7" spans="2:36" ht="18" x14ac:dyDescent="0.45">
      <c r="B7" s="55">
        <v>2022</v>
      </c>
      <c r="C7" s="113">
        <v>3381.6000000000004</v>
      </c>
      <c r="D7" s="37">
        <v>3382.8</v>
      </c>
      <c r="E7" s="37">
        <v>3382.8</v>
      </c>
      <c r="F7" s="37">
        <v>3381.5</v>
      </c>
      <c r="G7" s="37">
        <v>3382.5</v>
      </c>
      <c r="H7" s="37">
        <v>3383.6</v>
      </c>
      <c r="I7" s="37">
        <v>3358.1</v>
      </c>
      <c r="J7" s="61">
        <v>3328.6</v>
      </c>
      <c r="K7" s="37">
        <v>3382.2000000000003</v>
      </c>
      <c r="L7" s="61">
        <v>2574.6999999999998</v>
      </c>
      <c r="M7" s="8"/>
      <c r="N7" s="55">
        <v>2022</v>
      </c>
      <c r="O7" s="113">
        <v>2575.8999999999996</v>
      </c>
      <c r="P7" s="37">
        <v>2576.5</v>
      </c>
      <c r="Q7" s="37">
        <v>2576.5</v>
      </c>
      <c r="R7" s="37">
        <v>2577.3000000000002</v>
      </c>
      <c r="S7" s="37">
        <v>2575.8999999999996</v>
      </c>
      <c r="T7" s="37">
        <v>2577.4</v>
      </c>
      <c r="U7" s="37">
        <v>2588.2000000000003</v>
      </c>
      <c r="V7" s="61">
        <v>2603.2999999999997</v>
      </c>
      <c r="W7" s="37">
        <v>2576</v>
      </c>
      <c r="X7" s="61">
        <v>3381.6000000000004</v>
      </c>
      <c r="Z7" s="55">
        <v>2022</v>
      </c>
      <c r="AA7" s="121">
        <v>0.6800219999999999</v>
      </c>
      <c r="AB7" s="41">
        <v>0.6800219999999999</v>
      </c>
      <c r="AC7" s="41">
        <v>0.6800219999999999</v>
      </c>
      <c r="AD7" s="41">
        <v>0.6800219999999999</v>
      </c>
      <c r="AE7" s="41">
        <v>0.6800219999999999</v>
      </c>
      <c r="AF7" s="41">
        <v>0.6800219999999999</v>
      </c>
      <c r="AG7" s="41">
        <v>0.6800219999999999</v>
      </c>
      <c r="AH7" s="60">
        <v>0.6800219999999999</v>
      </c>
      <c r="AI7" s="41">
        <v>0.6800219999999999</v>
      </c>
      <c r="AJ7" s="60">
        <v>0.6800219999999999</v>
      </c>
    </row>
    <row r="8" spans="2:36" ht="18" x14ac:dyDescent="0.45">
      <c r="B8" s="55">
        <v>2023</v>
      </c>
      <c r="C8" s="113">
        <v>3317.6</v>
      </c>
      <c r="D8" s="37">
        <v>3318.8</v>
      </c>
      <c r="E8" s="37">
        <v>3318.8</v>
      </c>
      <c r="F8" s="37">
        <v>3317.5</v>
      </c>
      <c r="G8" s="37">
        <v>3322</v>
      </c>
      <c r="H8" s="37">
        <v>3323.7000000000003</v>
      </c>
      <c r="I8" s="37">
        <v>3305.7</v>
      </c>
      <c r="J8" s="61">
        <v>3291.7999999999997</v>
      </c>
      <c r="K8" s="37">
        <v>3320.3</v>
      </c>
      <c r="L8" s="61">
        <v>2866.1</v>
      </c>
      <c r="M8" s="8"/>
      <c r="N8" s="55">
        <v>2023</v>
      </c>
      <c r="O8" s="113">
        <v>2868.9</v>
      </c>
      <c r="P8" s="37">
        <v>2867.7000000000003</v>
      </c>
      <c r="Q8" s="37">
        <v>2867.7000000000003</v>
      </c>
      <c r="R8" s="37">
        <v>2867.9</v>
      </c>
      <c r="S8" s="37">
        <v>2870.8999999999996</v>
      </c>
      <c r="T8" s="37">
        <v>2868.3</v>
      </c>
      <c r="U8" s="37">
        <v>2902.8</v>
      </c>
      <c r="V8" s="61">
        <v>2942.6</v>
      </c>
      <c r="W8" s="37">
        <v>2866.8999999999996</v>
      </c>
      <c r="X8" s="61">
        <v>3318.7000000000003</v>
      </c>
      <c r="Z8" s="55">
        <v>2023</v>
      </c>
      <c r="AA8" s="121">
        <v>0.6800219999999999</v>
      </c>
      <c r="AB8" s="41">
        <v>0.6800219999999999</v>
      </c>
      <c r="AC8" s="41">
        <v>0.6800219999999999</v>
      </c>
      <c r="AD8" s="41">
        <v>0.6800219999999999</v>
      </c>
      <c r="AE8" s="41">
        <v>0.6800219999999999</v>
      </c>
      <c r="AF8" s="41">
        <v>0.6800219999999999</v>
      </c>
      <c r="AG8" s="41">
        <v>0.6800219999999999</v>
      </c>
      <c r="AH8" s="60">
        <v>0.6800219999999999</v>
      </c>
      <c r="AI8" s="41">
        <v>0.6800219999999999</v>
      </c>
      <c r="AJ8" s="60">
        <v>0.6800219999999999</v>
      </c>
    </row>
    <row r="9" spans="2:36" ht="18" x14ac:dyDescent="0.45">
      <c r="B9" s="55">
        <v>2024</v>
      </c>
      <c r="C9" s="113">
        <v>3030.1</v>
      </c>
      <c r="D9" s="37">
        <v>3033.3</v>
      </c>
      <c r="E9" s="37">
        <v>3033.3</v>
      </c>
      <c r="F9" s="37">
        <v>3028.4</v>
      </c>
      <c r="G9" s="37">
        <v>3035.6</v>
      </c>
      <c r="H9" s="37">
        <v>3033</v>
      </c>
      <c r="I9" s="37">
        <v>3024.4</v>
      </c>
      <c r="J9" s="61">
        <v>3011.6</v>
      </c>
      <c r="K9" s="37">
        <v>3031.8999999999996</v>
      </c>
      <c r="L9" s="61">
        <v>2519.2000000000003</v>
      </c>
      <c r="M9" s="8"/>
      <c r="N9" s="55">
        <v>2024</v>
      </c>
      <c r="O9" s="113">
        <v>2520.1</v>
      </c>
      <c r="P9" s="37">
        <v>2521.1999999999998</v>
      </c>
      <c r="Q9" s="37">
        <v>2521.1999999999998</v>
      </c>
      <c r="R9" s="37">
        <v>2518.6000000000004</v>
      </c>
      <c r="S9" s="37">
        <v>2523.1</v>
      </c>
      <c r="T9" s="37">
        <v>2522.1</v>
      </c>
      <c r="U9" s="37">
        <v>2561.3000000000002</v>
      </c>
      <c r="V9" s="61">
        <v>2601.9</v>
      </c>
      <c r="W9" s="37">
        <v>2518.2000000000003</v>
      </c>
      <c r="X9" s="61">
        <v>3032.7999999999997</v>
      </c>
      <c r="Z9" s="55">
        <v>2024</v>
      </c>
      <c r="AA9" s="121">
        <v>0.6800219999999999</v>
      </c>
      <c r="AB9" s="41">
        <v>0.6800219999999999</v>
      </c>
      <c r="AC9" s="41">
        <v>0.6800219999999999</v>
      </c>
      <c r="AD9" s="41">
        <v>0.6800219999999999</v>
      </c>
      <c r="AE9" s="41">
        <v>0.6800219999999999</v>
      </c>
      <c r="AF9" s="41">
        <v>0.6800219999999999</v>
      </c>
      <c r="AG9" s="41">
        <v>0.6800219999999999</v>
      </c>
      <c r="AH9" s="60">
        <v>0.6800219999999999</v>
      </c>
      <c r="AI9" s="41">
        <v>0.6800219999999999</v>
      </c>
      <c r="AJ9" s="60">
        <v>0.6800219999999999</v>
      </c>
    </row>
    <row r="10" spans="2:36" ht="18" x14ac:dyDescent="0.45">
      <c r="B10" s="55">
        <v>2025</v>
      </c>
      <c r="C10" s="113">
        <v>1750.2</v>
      </c>
      <c r="D10" s="37">
        <v>2175</v>
      </c>
      <c r="E10" s="37">
        <v>2424.5</v>
      </c>
      <c r="F10" s="37">
        <v>2400</v>
      </c>
      <c r="G10" s="37">
        <v>2250</v>
      </c>
      <c r="H10" s="37">
        <v>2400</v>
      </c>
      <c r="I10" s="37">
        <v>2180</v>
      </c>
      <c r="J10" s="61">
        <v>2185</v>
      </c>
      <c r="K10" s="37">
        <v>2863.9</v>
      </c>
      <c r="L10" s="61">
        <v>2391.1</v>
      </c>
      <c r="M10" s="8"/>
      <c r="N10" s="55">
        <v>2025</v>
      </c>
      <c r="O10" s="113">
        <v>2711.9</v>
      </c>
      <c r="P10" s="37">
        <v>2564.8000000000002</v>
      </c>
      <c r="Q10" s="37">
        <v>2487</v>
      </c>
      <c r="R10" s="37">
        <v>2482.5</v>
      </c>
      <c r="S10" s="37">
        <v>2544.2999999999997</v>
      </c>
      <c r="T10" s="37">
        <v>2492</v>
      </c>
      <c r="U10" s="37">
        <v>2604.4</v>
      </c>
      <c r="V10" s="61">
        <v>2644.1</v>
      </c>
      <c r="W10" s="37">
        <v>2331.4</v>
      </c>
      <c r="X10" s="61">
        <v>2700</v>
      </c>
      <c r="Z10" s="55">
        <v>2025</v>
      </c>
      <c r="AA10" s="121">
        <v>0.37302299999999999</v>
      </c>
      <c r="AB10" s="41">
        <v>0.48283199999999998</v>
      </c>
      <c r="AC10" s="41">
        <v>0.54998999999999998</v>
      </c>
      <c r="AD10" s="41">
        <v>0.54583199999999998</v>
      </c>
      <c r="AE10" s="41">
        <v>0.50336999999999998</v>
      </c>
      <c r="AF10" s="41">
        <v>0.50336999999999998</v>
      </c>
      <c r="AG10" s="41">
        <v>0.48491100000000004</v>
      </c>
      <c r="AH10" s="60">
        <v>0.48654900000000001</v>
      </c>
      <c r="AI10" s="41">
        <v>0.6800219999999999</v>
      </c>
      <c r="AJ10" s="60">
        <v>0.63</v>
      </c>
    </row>
    <row r="11" spans="2:36" ht="18" x14ac:dyDescent="0.45">
      <c r="B11" s="55">
        <f>B10+1</f>
        <v>2026</v>
      </c>
      <c r="C11" s="113">
        <v>2003.4</v>
      </c>
      <c r="D11" s="37">
        <v>2175</v>
      </c>
      <c r="E11" s="37">
        <v>2526.1</v>
      </c>
      <c r="F11" s="37">
        <v>2400</v>
      </c>
      <c r="G11" s="37">
        <v>2250</v>
      </c>
      <c r="H11" s="37">
        <v>2400</v>
      </c>
      <c r="I11" s="37">
        <v>2180</v>
      </c>
      <c r="J11" s="61">
        <v>2185</v>
      </c>
      <c r="K11" s="37">
        <v>2804.5</v>
      </c>
      <c r="L11" s="61">
        <v>2395.6</v>
      </c>
      <c r="M11" s="8"/>
      <c r="N11" s="55">
        <f>N10+1</f>
        <v>2026</v>
      </c>
      <c r="O11" s="113">
        <v>3227.9</v>
      </c>
      <c r="P11" s="37">
        <v>2892.5</v>
      </c>
      <c r="Q11" s="37">
        <v>2623.7</v>
      </c>
      <c r="R11" s="37">
        <v>2672.2999999999997</v>
      </c>
      <c r="S11" s="37">
        <v>2820.2</v>
      </c>
      <c r="T11" s="37">
        <v>2681.1</v>
      </c>
      <c r="U11" s="37">
        <v>2929.2</v>
      </c>
      <c r="V11" s="61">
        <v>2963.8</v>
      </c>
      <c r="W11" s="37">
        <v>2266.1999999999998</v>
      </c>
      <c r="X11" s="61">
        <v>2703.6</v>
      </c>
      <c r="Z11" s="55">
        <f>Z10+1</f>
        <v>2026</v>
      </c>
      <c r="AA11" s="121">
        <v>0.37302299999999999</v>
      </c>
      <c r="AB11" s="41">
        <v>0.43847999999999998</v>
      </c>
      <c r="AC11" s="41">
        <v>0.54998999999999998</v>
      </c>
      <c r="AD11" s="41">
        <v>0.51603300000000007</v>
      </c>
      <c r="AE11" s="41">
        <v>0.46317599999999998</v>
      </c>
      <c r="AF11" s="41">
        <v>0.46317599999999998</v>
      </c>
      <c r="AG11" s="41">
        <v>0.44144099999999997</v>
      </c>
      <c r="AH11" s="60">
        <v>0.44370900000000002</v>
      </c>
      <c r="AI11" s="41">
        <v>0.6800219999999999</v>
      </c>
      <c r="AJ11" s="60">
        <v>0.63</v>
      </c>
    </row>
    <row r="12" spans="2:36" ht="18" x14ac:dyDescent="0.45">
      <c r="B12" s="63">
        <f t="shared" ref="B12:B19" si="0">B11+1</f>
        <v>2027</v>
      </c>
      <c r="C12" s="113">
        <v>2161.7000000000003</v>
      </c>
      <c r="D12" s="37">
        <v>2175</v>
      </c>
      <c r="E12" s="37">
        <v>2588.6999999999998</v>
      </c>
      <c r="F12" s="37">
        <v>2400</v>
      </c>
      <c r="G12" s="37">
        <v>2250</v>
      </c>
      <c r="H12" s="37">
        <v>2400</v>
      </c>
      <c r="I12" s="37">
        <v>2180</v>
      </c>
      <c r="J12" s="61">
        <v>2185</v>
      </c>
      <c r="K12" s="37">
        <v>2781.5</v>
      </c>
      <c r="L12" s="61">
        <v>2409.5</v>
      </c>
      <c r="M12" s="8"/>
      <c r="N12" s="63">
        <f t="shared" ref="N12:N19" si="1">N11+1</f>
        <v>2027</v>
      </c>
      <c r="O12" s="113">
        <v>3563.8</v>
      </c>
      <c r="P12" s="37">
        <v>3215.5</v>
      </c>
      <c r="Q12" s="37">
        <v>2711.5</v>
      </c>
      <c r="R12" s="37">
        <v>2858.9</v>
      </c>
      <c r="S12" s="37">
        <v>3099.2000000000003</v>
      </c>
      <c r="T12" s="37">
        <v>2873.1</v>
      </c>
      <c r="U12" s="37">
        <v>3237.2999999999997</v>
      </c>
      <c r="V12" s="61">
        <v>3272.7</v>
      </c>
      <c r="W12" s="37">
        <v>2239</v>
      </c>
      <c r="X12" s="61">
        <v>2716.2999999999997</v>
      </c>
      <c r="Z12" s="63">
        <f t="shared" ref="Z12:Z19" si="2">Z11+1</f>
        <v>2027</v>
      </c>
      <c r="AA12" s="121">
        <v>0.37302299999999999</v>
      </c>
      <c r="AB12" s="41">
        <v>0.402507</v>
      </c>
      <c r="AC12" s="41">
        <v>0.54998999999999998</v>
      </c>
      <c r="AD12" s="41">
        <v>0.48925799999999997</v>
      </c>
      <c r="AE12" s="41">
        <v>0.42966000000000004</v>
      </c>
      <c r="AF12" s="41">
        <v>0.42966000000000004</v>
      </c>
      <c r="AG12" s="41">
        <v>0.40641300000000002</v>
      </c>
      <c r="AH12" s="60">
        <v>0.40937400000000002</v>
      </c>
      <c r="AI12" s="41">
        <v>0.6800219999999999</v>
      </c>
      <c r="AJ12" s="60">
        <v>0.63</v>
      </c>
    </row>
    <row r="13" spans="2:36" ht="18" x14ac:dyDescent="0.45">
      <c r="B13" s="55">
        <f t="shared" si="0"/>
        <v>2028</v>
      </c>
      <c r="C13" s="113">
        <v>2248.6999999999998</v>
      </c>
      <c r="D13" s="37">
        <v>2175</v>
      </c>
      <c r="E13" s="37">
        <v>1880.2</v>
      </c>
      <c r="F13" s="37">
        <v>2150</v>
      </c>
      <c r="G13" s="37">
        <v>2175</v>
      </c>
      <c r="H13" s="37">
        <v>2200</v>
      </c>
      <c r="I13" s="37">
        <v>2180</v>
      </c>
      <c r="J13" s="61">
        <v>2185</v>
      </c>
      <c r="K13" s="37">
        <v>2772</v>
      </c>
      <c r="L13" s="61">
        <v>2416.7000000000003</v>
      </c>
      <c r="M13" s="8"/>
      <c r="N13" s="55">
        <f t="shared" si="1"/>
        <v>2028</v>
      </c>
      <c r="O13" s="113">
        <v>3747.5</v>
      </c>
      <c r="P13" s="37">
        <v>3480.6</v>
      </c>
      <c r="Q13" s="37">
        <v>3009</v>
      </c>
      <c r="R13" s="37">
        <v>3100.9</v>
      </c>
      <c r="S13" s="37">
        <v>3353.6000000000004</v>
      </c>
      <c r="T13" s="37">
        <v>3097.3</v>
      </c>
      <c r="U13" s="37">
        <v>3486.4</v>
      </c>
      <c r="V13" s="61">
        <v>3516.7999999999997</v>
      </c>
      <c r="W13" s="37">
        <v>2231.7999999999997</v>
      </c>
      <c r="X13" s="61">
        <v>2724.5</v>
      </c>
      <c r="Z13" s="55">
        <f t="shared" si="2"/>
        <v>2028</v>
      </c>
      <c r="AA13" s="121">
        <v>0.37302299999999999</v>
      </c>
      <c r="AB13" s="41">
        <v>0.37655100000000002</v>
      </c>
      <c r="AC13" s="41">
        <v>0.36999900000000002</v>
      </c>
      <c r="AD13" s="41">
        <v>0.41012999999999999</v>
      </c>
      <c r="AE13" s="41">
        <v>0.38927699999999998</v>
      </c>
      <c r="AF13" s="41">
        <v>0.38927699999999998</v>
      </c>
      <c r="AG13" s="41">
        <v>0.38152800000000003</v>
      </c>
      <c r="AH13" s="60">
        <v>0.38442599999999999</v>
      </c>
      <c r="AI13" s="41">
        <v>0.6800219999999999</v>
      </c>
      <c r="AJ13" s="60">
        <v>0.63</v>
      </c>
    </row>
    <row r="14" spans="2:36" ht="18" x14ac:dyDescent="0.45">
      <c r="B14" s="55">
        <f t="shared" si="0"/>
        <v>2029</v>
      </c>
      <c r="C14" s="113">
        <v>2291</v>
      </c>
      <c r="D14" s="37">
        <v>2175</v>
      </c>
      <c r="E14" s="37">
        <v>2080.5</v>
      </c>
      <c r="F14" s="37">
        <v>2150</v>
      </c>
      <c r="G14" s="37">
        <v>2175</v>
      </c>
      <c r="H14" s="37">
        <v>2200</v>
      </c>
      <c r="I14" s="37">
        <v>2180</v>
      </c>
      <c r="J14" s="61">
        <v>2185</v>
      </c>
      <c r="K14" s="37">
        <v>2770.6</v>
      </c>
      <c r="L14" s="61">
        <v>2418.2000000000003</v>
      </c>
      <c r="M14" s="8"/>
      <c r="N14" s="55">
        <f t="shared" si="1"/>
        <v>2029</v>
      </c>
      <c r="O14" s="113">
        <v>3845</v>
      </c>
      <c r="P14" s="37">
        <v>3694.1000000000004</v>
      </c>
      <c r="Q14" s="37">
        <v>3425.8</v>
      </c>
      <c r="R14" s="37">
        <v>3379</v>
      </c>
      <c r="S14" s="37">
        <v>3574.1</v>
      </c>
      <c r="T14" s="37">
        <v>3343.3</v>
      </c>
      <c r="U14" s="37">
        <v>3684.7</v>
      </c>
      <c r="V14" s="61">
        <v>3714.6</v>
      </c>
      <c r="W14" s="37">
        <v>2229.9</v>
      </c>
      <c r="X14" s="61">
        <v>2723.8</v>
      </c>
      <c r="Z14" s="55">
        <f t="shared" si="2"/>
        <v>2029</v>
      </c>
      <c r="AA14" s="121">
        <v>0.37302299999999999</v>
      </c>
      <c r="AB14" s="41">
        <v>0.35821799999999998</v>
      </c>
      <c r="AC14" s="41">
        <v>0.36999900000000002</v>
      </c>
      <c r="AD14" s="41">
        <v>0.38165399999999999</v>
      </c>
      <c r="AE14" s="41">
        <v>0.36804600000000004</v>
      </c>
      <c r="AF14" s="41">
        <v>0.36804600000000004</v>
      </c>
      <c r="AG14" s="41">
        <v>0.36369900000000005</v>
      </c>
      <c r="AH14" s="60">
        <v>0.36691200000000002</v>
      </c>
      <c r="AI14" s="41">
        <v>0.6800219999999999</v>
      </c>
      <c r="AJ14" s="60">
        <v>0.63</v>
      </c>
    </row>
    <row r="15" spans="2:36" s="38" customFormat="1" ht="18" x14ac:dyDescent="0.45">
      <c r="B15" s="55">
        <f t="shared" si="0"/>
        <v>2030</v>
      </c>
      <c r="C15" s="113">
        <v>2309.6</v>
      </c>
      <c r="D15" s="37">
        <v>2175</v>
      </c>
      <c r="E15" s="37">
        <v>2199.9</v>
      </c>
      <c r="F15" s="37">
        <v>2150</v>
      </c>
      <c r="G15" s="37">
        <v>2175</v>
      </c>
      <c r="H15" s="37">
        <v>2200</v>
      </c>
      <c r="I15" s="37">
        <v>2180</v>
      </c>
      <c r="J15" s="61">
        <v>2185</v>
      </c>
      <c r="K15" s="37">
        <v>2769</v>
      </c>
      <c r="L15" s="61">
        <v>2418.8999999999996</v>
      </c>
      <c r="M15" s="8"/>
      <c r="N15" s="55">
        <f t="shared" si="1"/>
        <v>2030</v>
      </c>
      <c r="O15" s="113">
        <v>3884</v>
      </c>
      <c r="P15" s="37">
        <v>3855.6</v>
      </c>
      <c r="Q15" s="37">
        <v>3686.1000000000004</v>
      </c>
      <c r="R15" s="37">
        <v>3622.3999999999996</v>
      </c>
      <c r="S15" s="37">
        <v>3753.5</v>
      </c>
      <c r="T15" s="37">
        <v>3548.1</v>
      </c>
      <c r="U15" s="37">
        <v>3830.1</v>
      </c>
      <c r="V15" s="61">
        <v>3863.7000000000003</v>
      </c>
      <c r="W15" s="37">
        <v>2228.4</v>
      </c>
      <c r="X15" s="61">
        <v>2720.2999999999997</v>
      </c>
      <c r="Z15" s="55">
        <f t="shared" si="2"/>
        <v>2030</v>
      </c>
      <c r="AA15" s="121">
        <v>0.37302299999999999</v>
      </c>
      <c r="AB15" s="41">
        <v>0.345051</v>
      </c>
      <c r="AC15" s="41">
        <v>0.36999900000000002</v>
      </c>
      <c r="AD15" s="41">
        <v>0.35947800000000002</v>
      </c>
      <c r="AE15" s="41">
        <v>0.35273699999999997</v>
      </c>
      <c r="AF15" s="41">
        <v>0.35273699999999997</v>
      </c>
      <c r="AG15" s="41">
        <v>0.351414</v>
      </c>
      <c r="AH15" s="60">
        <v>0.354186</v>
      </c>
      <c r="AI15" s="41">
        <v>0.6800219999999999</v>
      </c>
      <c r="AJ15" s="60">
        <v>0.63</v>
      </c>
    </row>
    <row r="16" spans="2:36" ht="18" x14ac:dyDescent="0.45">
      <c r="B16" s="55">
        <f t="shared" si="0"/>
        <v>2031</v>
      </c>
      <c r="C16" s="113">
        <v>2318.1</v>
      </c>
      <c r="D16" s="37">
        <v>2175</v>
      </c>
      <c r="E16" s="37">
        <v>2261.1</v>
      </c>
      <c r="F16" s="37">
        <v>2150</v>
      </c>
      <c r="G16" s="37">
        <v>2175</v>
      </c>
      <c r="H16" s="37">
        <v>2200</v>
      </c>
      <c r="I16" s="37">
        <v>2180</v>
      </c>
      <c r="J16" s="61">
        <v>2185</v>
      </c>
      <c r="K16" s="37">
        <v>2765</v>
      </c>
      <c r="L16" s="61">
        <v>2414.8999999999996</v>
      </c>
      <c r="M16" s="8"/>
      <c r="N16" s="55">
        <f t="shared" si="1"/>
        <v>2031</v>
      </c>
      <c r="O16" s="113">
        <v>3903.4</v>
      </c>
      <c r="P16" s="37">
        <v>3976.1000000000004</v>
      </c>
      <c r="Q16" s="37">
        <v>3819.4</v>
      </c>
      <c r="R16" s="37">
        <v>3815.3</v>
      </c>
      <c r="S16" s="37">
        <v>3903.5</v>
      </c>
      <c r="T16" s="37">
        <v>3717.2999999999997</v>
      </c>
      <c r="U16" s="37">
        <v>3952.6</v>
      </c>
      <c r="V16" s="61">
        <v>3971.8</v>
      </c>
      <c r="W16" s="37">
        <v>2230.6</v>
      </c>
      <c r="X16" s="61">
        <v>2719.3</v>
      </c>
      <c r="Z16" s="55">
        <f t="shared" si="2"/>
        <v>2031</v>
      </c>
      <c r="AA16" s="121">
        <v>0.37302299999999999</v>
      </c>
      <c r="AB16" s="41">
        <v>0.33604200000000001</v>
      </c>
      <c r="AC16" s="41">
        <v>0.36999900000000002</v>
      </c>
      <c r="AD16" s="41">
        <v>0.34467300000000001</v>
      </c>
      <c r="AE16" s="41">
        <v>0.34120800000000001</v>
      </c>
      <c r="AF16" s="41">
        <v>0.34120800000000001</v>
      </c>
      <c r="AG16" s="41">
        <v>0.34196399999999999</v>
      </c>
      <c r="AH16" s="60">
        <v>0.34587000000000001</v>
      </c>
      <c r="AI16" s="41">
        <v>0.6800219999999999</v>
      </c>
      <c r="AJ16" s="60">
        <v>0.63</v>
      </c>
    </row>
    <row r="17" spans="2:36" ht="18" x14ac:dyDescent="0.45">
      <c r="B17" s="55">
        <f t="shared" si="0"/>
        <v>2032</v>
      </c>
      <c r="C17" s="113">
        <v>2320.6999999999998</v>
      </c>
      <c r="D17" s="37">
        <v>2175</v>
      </c>
      <c r="E17" s="37">
        <v>2291.1000000000004</v>
      </c>
      <c r="F17" s="37">
        <v>2150</v>
      </c>
      <c r="G17" s="37">
        <v>2175</v>
      </c>
      <c r="H17" s="37">
        <v>2100</v>
      </c>
      <c r="I17" s="37">
        <v>2180</v>
      </c>
      <c r="J17" s="61">
        <v>2185</v>
      </c>
      <c r="K17" s="37">
        <v>2766.2</v>
      </c>
      <c r="L17" s="61">
        <v>2415</v>
      </c>
      <c r="M17" s="8"/>
      <c r="N17" s="55">
        <f t="shared" si="1"/>
        <v>2032</v>
      </c>
      <c r="O17" s="113">
        <v>3912.6</v>
      </c>
      <c r="P17" s="37">
        <v>4071.5000000000005</v>
      </c>
      <c r="Q17" s="37">
        <v>3883.9</v>
      </c>
      <c r="R17" s="37">
        <v>3966</v>
      </c>
      <c r="S17" s="37">
        <v>4018.0999999999995</v>
      </c>
      <c r="T17" s="37">
        <v>3888.7999999999997</v>
      </c>
      <c r="U17" s="37">
        <v>4040.4999999999995</v>
      </c>
      <c r="V17" s="61">
        <v>4058.5000000000005</v>
      </c>
      <c r="W17" s="37">
        <v>2225.1</v>
      </c>
      <c r="X17" s="61">
        <v>2720.7</v>
      </c>
      <c r="Z17" s="55">
        <f t="shared" si="2"/>
        <v>2032</v>
      </c>
      <c r="AA17" s="121">
        <v>0.37302299999999999</v>
      </c>
      <c r="AB17" s="41">
        <v>0.32904899999999998</v>
      </c>
      <c r="AC17" s="41">
        <v>0.36999900000000002</v>
      </c>
      <c r="AD17" s="41">
        <v>0.33282899999999999</v>
      </c>
      <c r="AE17" s="41">
        <v>0.33314400000000005</v>
      </c>
      <c r="AF17" s="41">
        <v>0.33314400000000005</v>
      </c>
      <c r="AG17" s="41">
        <v>0.33528600000000003</v>
      </c>
      <c r="AH17" s="60">
        <v>0.33919199999999999</v>
      </c>
      <c r="AI17" s="41">
        <v>0.6800219999999999</v>
      </c>
      <c r="AJ17" s="60">
        <v>0.63</v>
      </c>
    </row>
    <row r="18" spans="2:36" ht="18" x14ac:dyDescent="0.45">
      <c r="B18" s="55">
        <f t="shared" si="0"/>
        <v>2033</v>
      </c>
      <c r="C18" s="113">
        <v>2322.7000000000003</v>
      </c>
      <c r="D18" s="37">
        <v>2175</v>
      </c>
      <c r="E18" s="37">
        <v>2305.2999999999997</v>
      </c>
      <c r="F18" s="37">
        <v>2150</v>
      </c>
      <c r="G18" s="37">
        <v>2175</v>
      </c>
      <c r="H18" s="37">
        <v>2100</v>
      </c>
      <c r="I18" s="37">
        <v>2180</v>
      </c>
      <c r="J18" s="61">
        <v>2185</v>
      </c>
      <c r="K18" s="37">
        <v>2766.6</v>
      </c>
      <c r="L18" s="61">
        <v>2416.4</v>
      </c>
      <c r="M18" s="8"/>
      <c r="N18" s="55">
        <f t="shared" si="1"/>
        <v>2033</v>
      </c>
      <c r="O18" s="113">
        <v>3919.2</v>
      </c>
      <c r="P18" s="37">
        <v>4157.8</v>
      </c>
      <c r="Q18" s="37">
        <v>3918.2999999999997</v>
      </c>
      <c r="R18" s="37">
        <v>4083.7000000000003</v>
      </c>
      <c r="S18" s="37">
        <v>4106.2000000000007</v>
      </c>
      <c r="T18" s="37">
        <v>4035.5</v>
      </c>
      <c r="U18" s="37">
        <v>4118.4000000000005</v>
      </c>
      <c r="V18" s="61">
        <v>4138.6000000000004</v>
      </c>
      <c r="W18" s="37">
        <v>2225.2999999999997</v>
      </c>
      <c r="X18" s="61">
        <v>2720.2999999999997</v>
      </c>
      <c r="Z18" s="55">
        <f t="shared" si="2"/>
        <v>2033</v>
      </c>
      <c r="AA18" s="121">
        <v>0.37302299999999999</v>
      </c>
      <c r="AB18" s="41">
        <v>0.32369400000000004</v>
      </c>
      <c r="AC18" s="41">
        <v>0.36999900000000002</v>
      </c>
      <c r="AD18" s="41">
        <v>0.32482799999999995</v>
      </c>
      <c r="AE18" s="41">
        <v>0.32697000000000004</v>
      </c>
      <c r="AF18" s="41">
        <v>0.32697000000000004</v>
      </c>
      <c r="AG18" s="41">
        <v>0.33005700000000004</v>
      </c>
      <c r="AH18" s="60">
        <v>0.33408900000000002</v>
      </c>
      <c r="AI18" s="41">
        <v>0.6800219999999999</v>
      </c>
      <c r="AJ18" s="60">
        <v>0.63</v>
      </c>
    </row>
    <row r="19" spans="2:36" ht="18.45" thickBot="1" x14ac:dyDescent="0.5">
      <c r="B19" s="53">
        <f t="shared" si="0"/>
        <v>2034</v>
      </c>
      <c r="C19" s="113">
        <v>2322.1999999999998</v>
      </c>
      <c r="D19" s="37">
        <v>2175</v>
      </c>
      <c r="E19" s="37">
        <v>2314.2999999999997</v>
      </c>
      <c r="F19" s="32">
        <v>2150</v>
      </c>
      <c r="G19" s="32">
        <v>2175</v>
      </c>
      <c r="H19" s="32">
        <v>2100</v>
      </c>
      <c r="I19" s="32">
        <v>2180</v>
      </c>
      <c r="J19" s="64">
        <v>2185</v>
      </c>
      <c r="K19" s="32">
        <v>2771.7000000000003</v>
      </c>
      <c r="L19" s="64">
        <v>2416.1000000000004</v>
      </c>
      <c r="M19" s="8"/>
      <c r="N19" s="53">
        <f t="shared" si="1"/>
        <v>2034</v>
      </c>
      <c r="O19" s="113">
        <v>3919.6</v>
      </c>
      <c r="P19" s="37">
        <v>4214.5999999999995</v>
      </c>
      <c r="Q19" s="37">
        <v>3927.5</v>
      </c>
      <c r="R19" s="32">
        <v>4180.5</v>
      </c>
      <c r="S19" s="32">
        <v>4179.5999999999995</v>
      </c>
      <c r="T19" s="32">
        <v>4176.1000000000004</v>
      </c>
      <c r="U19" s="32">
        <v>4185.5</v>
      </c>
      <c r="V19" s="64">
        <v>4190.1000000000004</v>
      </c>
      <c r="W19" s="32">
        <v>2228.6999999999998</v>
      </c>
      <c r="X19" s="64">
        <v>2722.1000000000004</v>
      </c>
      <c r="Z19" s="53">
        <f t="shared" si="2"/>
        <v>2034</v>
      </c>
      <c r="AA19" s="121">
        <v>0.37302299999999999</v>
      </c>
      <c r="AB19" s="41">
        <v>0.31985100000000005</v>
      </c>
      <c r="AC19" s="41">
        <v>0.36999900000000002</v>
      </c>
      <c r="AD19" s="33">
        <v>0.31859100000000001</v>
      </c>
      <c r="AE19" s="33">
        <v>0.32218199999999997</v>
      </c>
      <c r="AF19" s="33">
        <v>0.32218199999999997</v>
      </c>
      <c r="AG19" s="33">
        <v>0.32602499999999995</v>
      </c>
      <c r="AH19" s="69">
        <v>0.33075000000000004</v>
      </c>
      <c r="AI19" s="33">
        <v>0.6800219999999999</v>
      </c>
      <c r="AJ19" s="69">
        <v>0.63</v>
      </c>
    </row>
    <row r="20" spans="2:36" ht="33.450000000000003" customHeight="1" thickBot="1" x14ac:dyDescent="0.5">
      <c r="B20" s="65" t="s">
        <v>97</v>
      </c>
      <c r="C20" s="114">
        <f>AVERAGE(C10:C19)</f>
        <v>2204.8300000000004</v>
      </c>
      <c r="D20" s="35">
        <f t="shared" ref="D20:L20" si="3">AVERAGE(D10:D19)</f>
        <v>2175</v>
      </c>
      <c r="E20" s="35">
        <f t="shared" si="3"/>
        <v>2287.1699999999996</v>
      </c>
      <c r="F20" s="35">
        <f t="shared" si="3"/>
        <v>2225</v>
      </c>
      <c r="G20" s="35">
        <f t="shared" si="3"/>
        <v>2197.5</v>
      </c>
      <c r="H20" s="35">
        <f t="shared" si="3"/>
        <v>2230</v>
      </c>
      <c r="I20" s="35">
        <f t="shared" ref="I20:J20" si="4">AVERAGE(I10:I19)</f>
        <v>2180</v>
      </c>
      <c r="J20" s="66">
        <f t="shared" si="4"/>
        <v>2185</v>
      </c>
      <c r="K20" s="35">
        <f t="shared" si="3"/>
        <v>2783.1</v>
      </c>
      <c r="L20" s="66">
        <f t="shared" si="3"/>
        <v>2411.2400000000002</v>
      </c>
      <c r="M20" s="8"/>
      <c r="N20" s="65" t="s">
        <v>97</v>
      </c>
      <c r="O20" s="114">
        <f>AVERAGE(O10:O19)</f>
        <v>3663.4900000000002</v>
      </c>
      <c r="P20" s="35">
        <f t="shared" ref="P20:X20" si="5">AVERAGE(P10:P19)</f>
        <v>3612.31</v>
      </c>
      <c r="Q20" s="35">
        <f t="shared" si="5"/>
        <v>3349.22</v>
      </c>
      <c r="R20" s="35">
        <f t="shared" si="5"/>
        <v>3416.15</v>
      </c>
      <c r="S20" s="35">
        <f t="shared" si="5"/>
        <v>3535.2300000000005</v>
      </c>
      <c r="T20" s="35">
        <f t="shared" si="5"/>
        <v>3385.2599999999998</v>
      </c>
      <c r="U20" s="35">
        <f t="shared" ref="U20:V20" si="6">AVERAGE(U10:U19)</f>
        <v>3606.91</v>
      </c>
      <c r="V20" s="66">
        <f t="shared" si="6"/>
        <v>3633.47</v>
      </c>
      <c r="W20" s="35">
        <f t="shared" si="5"/>
        <v>2243.64</v>
      </c>
      <c r="X20" s="66">
        <f t="shared" si="5"/>
        <v>2717.09</v>
      </c>
      <c r="Z20" s="65" t="s">
        <v>97</v>
      </c>
      <c r="AA20" s="122">
        <f>AVERAGE(AA10:AA19)</f>
        <v>0.37302299999999994</v>
      </c>
      <c r="AB20" s="46">
        <f t="shared" ref="AB20:AJ20" si="7">AVERAGE(AB10:AB19)</f>
        <v>0.37122749999999999</v>
      </c>
      <c r="AC20" s="46">
        <f t="shared" si="7"/>
        <v>0.42399630000000005</v>
      </c>
      <c r="AD20" s="46">
        <f t="shared" si="7"/>
        <v>0.40233060000000009</v>
      </c>
      <c r="AE20" s="46">
        <f t="shared" si="7"/>
        <v>0.38297700000000001</v>
      </c>
      <c r="AF20" s="46">
        <f t="shared" si="7"/>
        <v>0.38297700000000001</v>
      </c>
      <c r="AG20" s="46">
        <f t="shared" si="7"/>
        <v>0.37627380000000005</v>
      </c>
      <c r="AH20" s="70">
        <f t="shared" si="7"/>
        <v>0.37950570000000006</v>
      </c>
      <c r="AI20" s="46">
        <f t="shared" si="7"/>
        <v>0.68002200000000002</v>
      </c>
      <c r="AJ20" s="70">
        <f t="shared" si="7"/>
        <v>0.63</v>
      </c>
    </row>
    <row r="21" spans="2:36" ht="36.9" customHeight="1" thickBot="1" x14ac:dyDescent="0.5">
      <c r="B21" s="65" t="s">
        <v>98</v>
      </c>
      <c r="C21" s="114">
        <f>SUM(C10:C19)</f>
        <v>22048.300000000003</v>
      </c>
      <c r="D21" s="35">
        <f t="shared" ref="D21:L21" si="8">SUM(D10:D19)</f>
        <v>21750</v>
      </c>
      <c r="E21" s="35">
        <f t="shared" si="8"/>
        <v>22871.699999999997</v>
      </c>
      <c r="F21" s="35">
        <f t="shared" si="8"/>
        <v>22250</v>
      </c>
      <c r="G21" s="35">
        <f t="shared" si="8"/>
        <v>21975</v>
      </c>
      <c r="H21" s="35">
        <f t="shared" si="8"/>
        <v>22300</v>
      </c>
      <c r="I21" s="35">
        <f t="shared" ref="I21:J21" si="9">SUM(I10:I19)</f>
        <v>21800</v>
      </c>
      <c r="J21" s="66">
        <f t="shared" si="9"/>
        <v>21850</v>
      </c>
      <c r="K21" s="35">
        <f t="shared" si="8"/>
        <v>27831</v>
      </c>
      <c r="L21" s="66">
        <f t="shared" si="8"/>
        <v>24112.400000000001</v>
      </c>
      <c r="M21" s="8"/>
      <c r="N21" s="65" t="s">
        <v>98</v>
      </c>
      <c r="O21" s="114">
        <f>SUM(O10:O19)</f>
        <v>36634.9</v>
      </c>
      <c r="P21" s="35">
        <f t="shared" ref="P21:X21" si="10">SUM(P10:P19)</f>
        <v>36123.1</v>
      </c>
      <c r="Q21" s="35">
        <f t="shared" si="10"/>
        <v>33492.199999999997</v>
      </c>
      <c r="R21" s="35">
        <f t="shared" si="10"/>
        <v>34161.5</v>
      </c>
      <c r="S21" s="35">
        <f t="shared" si="10"/>
        <v>35352.300000000003</v>
      </c>
      <c r="T21" s="35">
        <f t="shared" si="10"/>
        <v>33852.6</v>
      </c>
      <c r="U21" s="35">
        <f t="shared" ref="U21:V21" si="11">SUM(U10:U19)</f>
        <v>36069.1</v>
      </c>
      <c r="V21" s="66">
        <f t="shared" si="11"/>
        <v>36334.699999999997</v>
      </c>
      <c r="W21" s="35">
        <f t="shared" si="10"/>
        <v>22436.399999999998</v>
      </c>
      <c r="X21" s="66">
        <f t="shared" si="10"/>
        <v>27170.9</v>
      </c>
      <c r="Z21" s="39"/>
      <c r="AA21" s="37"/>
      <c r="AB21" s="37"/>
      <c r="AC21" s="37"/>
      <c r="AD21" s="37"/>
      <c r="AE21" s="37"/>
      <c r="AF21" s="37"/>
      <c r="AG21" s="37"/>
      <c r="AH21" s="37"/>
      <c r="AI21" s="37"/>
      <c r="AJ21" s="37"/>
    </row>
    <row r="22" spans="2:36" ht="67.3" customHeight="1" thickBot="1" x14ac:dyDescent="0.5">
      <c r="B22" s="65" t="s">
        <v>142</v>
      </c>
      <c r="C22" s="115">
        <f>C21/MAX($C21:$J21)</f>
        <v>0.96399917802349655</v>
      </c>
      <c r="D22" s="36">
        <f t="shared" ref="D22:L22" si="12">D21/MAX($C21:$J21)</f>
        <v>0.95095685935020147</v>
      </c>
      <c r="E22" s="36">
        <f t="shared" si="12"/>
        <v>1</v>
      </c>
      <c r="F22" s="36">
        <f t="shared" si="12"/>
        <v>0.97281793657664284</v>
      </c>
      <c r="G22" s="36">
        <f t="shared" si="12"/>
        <v>0.96079434410210007</v>
      </c>
      <c r="H22" s="36">
        <f t="shared" si="12"/>
        <v>0.975004044299287</v>
      </c>
      <c r="I22" s="36">
        <f t="shared" si="12"/>
        <v>0.95314296707284563</v>
      </c>
      <c r="J22" s="67">
        <f t="shared" si="12"/>
        <v>0.95532907479548979</v>
      </c>
      <c r="K22" s="36">
        <f t="shared" si="12"/>
        <v>1.216831280578182</v>
      </c>
      <c r="L22" s="67">
        <f t="shared" si="12"/>
        <v>1.054246077029692</v>
      </c>
      <c r="M22" s="8"/>
      <c r="N22" s="65" t="s">
        <v>142</v>
      </c>
      <c r="O22" s="116">
        <f>O21/MAX($O21:$V21)</f>
        <v>1</v>
      </c>
      <c r="P22" s="68">
        <f t="shared" ref="P22:X22" si="13">P21/MAX($O21:$V21)</f>
        <v>0.98602971483476132</v>
      </c>
      <c r="Q22" s="68">
        <f t="shared" si="13"/>
        <v>0.91421567958422145</v>
      </c>
      <c r="R22" s="68">
        <f t="shared" si="13"/>
        <v>0.93248514394743809</v>
      </c>
      <c r="S22" s="68">
        <f t="shared" si="13"/>
        <v>0.96498966832173694</v>
      </c>
      <c r="T22" s="68">
        <f t="shared" si="13"/>
        <v>0.92405329344422937</v>
      </c>
      <c r="U22" s="68">
        <f t="shared" si="13"/>
        <v>0.9845557105383117</v>
      </c>
      <c r="V22" s="117">
        <f t="shared" si="13"/>
        <v>0.99180562796677474</v>
      </c>
      <c r="W22" s="68">
        <f t="shared" si="13"/>
        <v>0.61243240734927618</v>
      </c>
      <c r="X22" s="117">
        <f t="shared" si="13"/>
        <v>0.7416670988592845</v>
      </c>
      <c r="Z22" s="39"/>
      <c r="AA22" s="40"/>
      <c r="AB22" s="40"/>
      <c r="AC22" s="40"/>
      <c r="AD22" s="40"/>
      <c r="AE22" s="40"/>
      <c r="AF22" s="40"/>
      <c r="AG22" s="40"/>
      <c r="AH22" s="40"/>
      <c r="AI22" s="40"/>
      <c r="AJ22" s="40"/>
    </row>
    <row r="23" spans="2:36" ht="23.05" customHeight="1" x14ac:dyDescent="0.45">
      <c r="M23" s="8"/>
    </row>
    <row r="24" spans="2:36" ht="18" x14ac:dyDescent="0.45">
      <c r="M24" s="8"/>
    </row>
    <row r="25" spans="2:36" ht="18" x14ac:dyDescent="0.45">
      <c r="M25" s="8"/>
    </row>
  </sheetData>
  <mergeCells count="3">
    <mergeCell ref="N4:X4"/>
    <mergeCell ref="Z4:AJ4"/>
    <mergeCell ref="B4:L4"/>
  </mergeCells>
  <pageMargins left="0.7" right="0.7" top="0.75" bottom="0.75" header="0.3" footer="0.3"/>
  <pageSetup orientation="portrait" horizontalDpi="360" verticalDpi="36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8DFD7-0F4F-473A-98D5-395C76687CAC}">
  <sheetPr>
    <pageSetUpPr fitToPage="1"/>
  </sheetPr>
  <dimension ref="A1:N13"/>
  <sheetViews>
    <sheetView zoomScale="60" zoomScaleNormal="60" workbookViewId="0">
      <selection activeCell="L3" sqref="L3"/>
    </sheetView>
  </sheetViews>
  <sheetFormatPr defaultRowHeight="14.6" x14ac:dyDescent="0.4"/>
  <cols>
    <col min="1" max="1" width="10.61328125" style="7" customWidth="1"/>
    <col min="2" max="2" width="33.4609375" style="7" customWidth="1"/>
    <col min="3" max="3" width="23.84375" style="7" customWidth="1"/>
    <col min="4" max="6" width="10.69140625" style="7" customWidth="1"/>
    <col min="7" max="9" width="10.15234375" style="7" customWidth="1"/>
    <col min="10" max="10" width="9.84375" style="7" customWidth="1"/>
    <col min="12" max="12" width="8.921875" style="7" customWidth="1"/>
    <col min="13" max="13" width="8.53515625" style="7" customWidth="1"/>
    <col min="14" max="14" width="8.4609375" style="7" customWidth="1"/>
    <col min="15" max="16384" width="9.23046875" style="7"/>
  </cols>
  <sheetData>
    <row r="1" spans="1:14" ht="20.6" thickBot="1" x14ac:dyDescent="0.55000000000000004">
      <c r="A1" s="77" t="s">
        <v>119</v>
      </c>
    </row>
    <row r="2" spans="1:14" ht="112.3" customHeight="1" thickBot="1" x14ac:dyDescent="0.45">
      <c r="A2" s="81" t="s">
        <v>120</v>
      </c>
      <c r="B2" s="81" t="s">
        <v>111</v>
      </c>
      <c r="C2" s="81" t="s">
        <v>123</v>
      </c>
      <c r="D2" s="79" t="s">
        <v>139</v>
      </c>
      <c r="E2" s="80" t="s">
        <v>140</v>
      </c>
      <c r="F2" s="82" t="s">
        <v>141</v>
      </c>
      <c r="G2" s="80" t="s">
        <v>124</v>
      </c>
      <c r="H2" s="80" t="s">
        <v>125</v>
      </c>
      <c r="I2" s="80" t="s">
        <v>126</v>
      </c>
      <c r="J2" s="82" t="s">
        <v>138</v>
      </c>
      <c r="L2" s="79" t="s">
        <v>127</v>
      </c>
      <c r="M2" s="80" t="s">
        <v>128</v>
      </c>
      <c r="N2" s="82" t="s">
        <v>129</v>
      </c>
    </row>
    <row r="3" spans="1:14" s="78" customFormat="1" ht="33" customHeight="1" thickBot="1" x14ac:dyDescent="0.4">
      <c r="A3" s="83" t="s">
        <v>130</v>
      </c>
      <c r="B3" s="83" t="s">
        <v>112</v>
      </c>
      <c r="C3" s="83" t="s">
        <v>121</v>
      </c>
      <c r="D3" s="88">
        <v>0.373</v>
      </c>
      <c r="E3" s="85">
        <v>0.373</v>
      </c>
      <c r="F3" s="86">
        <v>0.373</v>
      </c>
      <c r="G3" s="109">
        <f>($D$3-$C$11)/$C$11</f>
        <v>-0.45147058823529418</v>
      </c>
      <c r="H3" s="85"/>
      <c r="I3" s="85"/>
      <c r="J3" s="87">
        <f>G3+H3+I3</f>
        <v>-0.45147058823529418</v>
      </c>
      <c r="L3" s="84">
        <f>($D$3-$C$11)/$C$11</f>
        <v>-0.45147058823529418</v>
      </c>
      <c r="M3" s="85"/>
      <c r="N3" s="86"/>
    </row>
    <row r="4" spans="1:14" s="78" customFormat="1" ht="33" customHeight="1" thickBot="1" x14ac:dyDescent="0.4">
      <c r="A4" s="102" t="s">
        <v>131</v>
      </c>
      <c r="B4" s="102" t="s">
        <v>113</v>
      </c>
      <c r="C4" s="102" t="s">
        <v>149</v>
      </c>
      <c r="D4" s="106">
        <v>2175</v>
      </c>
      <c r="E4" s="104">
        <v>2175</v>
      </c>
      <c r="F4" s="105">
        <v>2175</v>
      </c>
      <c r="G4" s="108">
        <f>($D$4-$C$12)/$C$12</f>
        <v>-0.10420098846787479</v>
      </c>
      <c r="H4" s="104"/>
      <c r="I4" s="104"/>
      <c r="J4" s="87">
        <f>G4+H4+I4</f>
        <v>-0.10420098846787479</v>
      </c>
      <c r="L4" s="103">
        <f>($D$4-$C$12)/$C$12</f>
        <v>-0.10420098846787479</v>
      </c>
      <c r="M4" s="104"/>
      <c r="N4" s="105"/>
    </row>
    <row r="5" spans="1:14" s="78" customFormat="1" ht="33" customHeight="1" thickBot="1" x14ac:dyDescent="0.4">
      <c r="A5" s="89" t="s">
        <v>132</v>
      </c>
      <c r="B5" s="89" t="s">
        <v>114</v>
      </c>
      <c r="C5" s="89" t="s">
        <v>122</v>
      </c>
      <c r="D5" s="93">
        <v>0.55000000000000004</v>
      </c>
      <c r="E5" s="91">
        <v>0.37</v>
      </c>
      <c r="F5" s="92">
        <v>0.37</v>
      </c>
      <c r="G5" s="94">
        <f>($D$5-$C$11)/$C$11</f>
        <v>-0.19117647058823528</v>
      </c>
      <c r="H5" s="94">
        <f>M5-L5</f>
        <v>-0.26470588235294124</v>
      </c>
      <c r="I5" s="91"/>
      <c r="J5" s="87">
        <f t="shared" ref="J5:J10" si="0">G5+H5+I5</f>
        <v>-0.45588235294117652</v>
      </c>
      <c r="L5" s="90">
        <f>($D$5-$C$11)/$C$11</f>
        <v>-0.19117647058823528</v>
      </c>
      <c r="M5" s="94">
        <f>(E5-$C$11)/$C$11</f>
        <v>-0.45588235294117652</v>
      </c>
      <c r="N5" s="92"/>
    </row>
    <row r="6" spans="1:14" s="78" customFormat="1" ht="33" customHeight="1" thickBot="1" x14ac:dyDescent="0.4">
      <c r="A6" s="102" t="s">
        <v>133</v>
      </c>
      <c r="B6" s="102" t="s">
        <v>115</v>
      </c>
      <c r="C6" s="102" t="s">
        <v>150</v>
      </c>
      <c r="D6" s="106">
        <v>2400</v>
      </c>
      <c r="E6" s="104">
        <v>2150</v>
      </c>
      <c r="F6" s="105">
        <v>2150</v>
      </c>
      <c r="G6" s="108">
        <f>($D$6-$C$12)/$C$12</f>
        <v>-1.1532125205930808E-2</v>
      </c>
      <c r="H6" s="108">
        <f>M6-L6</f>
        <v>-0.10296540362438221</v>
      </c>
      <c r="I6" s="104"/>
      <c r="J6" s="87">
        <f t="shared" si="0"/>
        <v>-0.11449752883031301</v>
      </c>
      <c r="L6" s="103">
        <f>($D$6-$C$12)/$C$12</f>
        <v>-1.1532125205930808E-2</v>
      </c>
      <c r="M6" s="108">
        <f>(E6-$C$12)/$C$12</f>
        <v>-0.11449752883031301</v>
      </c>
      <c r="N6" s="105"/>
    </row>
    <row r="7" spans="1:14" s="78" customFormat="1" ht="33" customHeight="1" thickBot="1" x14ac:dyDescent="0.4">
      <c r="A7" s="89" t="s">
        <v>134</v>
      </c>
      <c r="B7" s="89" t="s">
        <v>116</v>
      </c>
      <c r="C7" s="89" t="s">
        <v>154</v>
      </c>
      <c r="D7" s="93">
        <v>2250</v>
      </c>
      <c r="E7" s="91">
        <v>2175</v>
      </c>
      <c r="F7" s="92">
        <v>2175</v>
      </c>
      <c r="G7" s="94">
        <f>($D$7-$C$12)/$C$12</f>
        <v>-7.3311367380560127E-2</v>
      </c>
      <c r="H7" s="94">
        <f>M7-L7</f>
        <v>-3.0889621087314661E-2</v>
      </c>
      <c r="I7" s="91"/>
      <c r="J7" s="87">
        <f t="shared" si="0"/>
        <v>-0.10420098846787479</v>
      </c>
      <c r="L7" s="90">
        <f>($D$7-$C$12)/$C$12</f>
        <v>-7.3311367380560127E-2</v>
      </c>
      <c r="M7" s="94">
        <f>(E7-$C$12)/$C$12</f>
        <v>-0.10420098846787479</v>
      </c>
      <c r="N7" s="92"/>
    </row>
    <row r="8" spans="1:14" s="147" customFormat="1" ht="52.75" customHeight="1" thickBot="1" x14ac:dyDescent="0.4">
      <c r="A8" s="141" t="s">
        <v>135</v>
      </c>
      <c r="B8" s="141" t="s">
        <v>156</v>
      </c>
      <c r="C8" s="141" t="s">
        <v>157</v>
      </c>
      <c r="D8" s="142">
        <v>2400</v>
      </c>
      <c r="E8" s="143">
        <v>2200</v>
      </c>
      <c r="F8" s="144">
        <v>2100</v>
      </c>
      <c r="G8" s="145">
        <f>($D$8-$C$12)/$C$12</f>
        <v>-1.1532125205930808E-2</v>
      </c>
      <c r="H8" s="145">
        <f>M8-L8</f>
        <v>-8.2372322899505773E-2</v>
      </c>
      <c r="I8" s="145">
        <f>N8-H8-G8</f>
        <v>-4.1186161449752873E-2</v>
      </c>
      <c r="J8" s="146">
        <f t="shared" si="0"/>
        <v>-0.13509060955518945</v>
      </c>
      <c r="L8" s="148">
        <f>($D$8-$C$12)/$C$12</f>
        <v>-1.1532125205930808E-2</v>
      </c>
      <c r="M8" s="145">
        <f>(E8-$C$12)/$C$12</f>
        <v>-9.3904448105436578E-2</v>
      </c>
      <c r="N8" s="149">
        <f>(F8-$C$12)/$C$12</f>
        <v>-0.13509060955518945</v>
      </c>
    </row>
    <row r="9" spans="1:14" s="78" customFormat="1" ht="33" customHeight="1" thickBot="1" x14ac:dyDescent="0.4">
      <c r="A9" s="102" t="s">
        <v>136</v>
      </c>
      <c r="B9" s="102" t="s">
        <v>117</v>
      </c>
      <c r="C9" s="102" t="s">
        <v>155</v>
      </c>
      <c r="D9" s="106">
        <v>2180</v>
      </c>
      <c r="E9" s="104">
        <v>2180</v>
      </c>
      <c r="F9" s="105">
        <v>2180</v>
      </c>
      <c r="G9" s="108">
        <f>($D$9-$C$12)/$C$12</f>
        <v>-0.10214168039538715</v>
      </c>
      <c r="H9" s="104"/>
      <c r="I9" s="104"/>
      <c r="J9" s="87">
        <f t="shared" si="0"/>
        <v>-0.10214168039538715</v>
      </c>
      <c r="L9" s="103">
        <f>($D$9-$C$12)/$C$12</f>
        <v>-0.10214168039538715</v>
      </c>
      <c r="M9" s="104"/>
      <c r="N9" s="105"/>
    </row>
    <row r="10" spans="1:14" s="78" customFormat="1" ht="33" customHeight="1" thickBot="1" x14ac:dyDescent="0.4">
      <c r="A10" s="95" t="s">
        <v>137</v>
      </c>
      <c r="B10" s="95" t="s">
        <v>118</v>
      </c>
      <c r="C10" s="95" t="s">
        <v>155</v>
      </c>
      <c r="D10" s="99">
        <v>2185</v>
      </c>
      <c r="E10" s="97">
        <v>2185</v>
      </c>
      <c r="F10" s="98">
        <v>2185</v>
      </c>
      <c r="G10" s="103">
        <f>($D$10-$C$12)/$C$12</f>
        <v>-0.1000823723228995</v>
      </c>
      <c r="H10" s="104"/>
      <c r="I10" s="104"/>
      <c r="J10" s="107">
        <f t="shared" si="0"/>
        <v>-0.1000823723228995</v>
      </c>
      <c r="L10" s="96">
        <f>($D$10-$C$12)/$C$12</f>
        <v>-0.1000823723228995</v>
      </c>
      <c r="M10" s="97"/>
      <c r="N10" s="98"/>
    </row>
    <row r="11" spans="1:14" ht="15.55" customHeight="1" x14ac:dyDescent="0.4">
      <c r="B11" s="100" t="s">
        <v>151</v>
      </c>
      <c r="C11" s="101">
        <v>0.68</v>
      </c>
    </row>
    <row r="12" spans="1:14" ht="15.55" customHeight="1" x14ac:dyDescent="0.4">
      <c r="B12" s="100" t="s">
        <v>152</v>
      </c>
      <c r="C12" s="101">
        <v>2428</v>
      </c>
    </row>
    <row r="13" spans="1:14" ht="15.55" customHeight="1" x14ac:dyDescent="0.4">
      <c r="B13" s="100" t="s">
        <v>153</v>
      </c>
      <c r="C13" s="101">
        <f>C12*10</f>
        <v>24280</v>
      </c>
    </row>
  </sheetData>
  <pageMargins left="0.25" right="0.25" top="0.75" bottom="0.75" header="0.3" footer="0.3"/>
  <pageSetup scale="6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SB</vt:lpstr>
      <vt:lpstr>F</vt:lpstr>
      <vt:lpstr>Probabilities</vt:lpstr>
      <vt:lpstr>S1</vt:lpstr>
      <vt:lpstr>S2</vt:lpstr>
      <vt:lpstr>S3</vt:lpstr>
      <vt:lpstr>Catch</vt:lpstr>
      <vt:lpstr>Compare</vt:lpstr>
      <vt:lpstr>Scenario Table S6 Correct</vt:lpstr>
    </vt:vector>
  </TitlesOfParts>
  <Company>National Marine Fisheries Service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 Brodziak</dc:creator>
  <cp:lastModifiedBy>Jon Brodziak</cp:lastModifiedBy>
  <cp:lastPrinted>2024-05-16T04:01:15Z</cp:lastPrinted>
  <dcterms:created xsi:type="dcterms:W3CDTF">2020-06-16T02:40:03Z</dcterms:created>
  <dcterms:modified xsi:type="dcterms:W3CDTF">2025-04-18T23:19:57Z</dcterms:modified>
</cp:coreProperties>
</file>