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output\Base Runs\"/>
    </mc:Choice>
  </mc:AlternateContent>
  <xr:revisionPtr revIDLastSave="0" documentId="13_ncr:1_{7643573B-866C-438A-9852-372300F228BE}" xr6:coauthVersionLast="47" xr6:coauthVersionMax="47" xr10:uidLastSave="{00000000-0000-0000-0000-000000000000}"/>
  <bookViews>
    <workbookView xWindow="437" yWindow="471" windowWidth="13766" windowHeight="8186" xr2:uid="{00000000-000D-0000-FFFF-FFFF00000000}"/>
  </bookViews>
  <sheets>
    <sheet name="SB" sheetId="1" r:id="rId1"/>
    <sheet name="F" sheetId="13" r:id="rId2"/>
    <sheet name="Probabilities" sheetId="16" r:id="rId3"/>
    <sheet name="S1" sheetId="56" r:id="rId4"/>
    <sheet name="S2" sheetId="57" r:id="rId5"/>
    <sheet name="S3" sheetId="58" r:id="rId6"/>
    <sheet name="S4" sheetId="59" r:id="rId7"/>
    <sheet name="Catch" sheetId="14" r:id="rId8"/>
    <sheet name="Compare" sheetId="27" r:id="rId9"/>
    <sheet name="Scenario Table S6 Correct" sheetId="5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27" i="59" l="1"/>
  <c r="L928" i="59" s="1"/>
  <c r="L929" i="59" s="1"/>
  <c r="L930" i="59" s="1"/>
  <c r="L931" i="59" s="1"/>
  <c r="L932" i="59" s="1"/>
  <c r="L933" i="59" s="1"/>
  <c r="L934" i="59" s="1"/>
  <c r="L935" i="59" s="1"/>
  <c r="L936" i="59" s="1"/>
  <c r="L937" i="59" s="1"/>
  <c r="L938" i="59" s="1"/>
  <c r="L939" i="59" s="1"/>
  <c r="L940" i="59" s="1"/>
  <c r="L941" i="59" s="1"/>
  <c r="L942" i="59" s="1"/>
  <c r="L943" i="59" s="1"/>
  <c r="L944" i="59" s="1"/>
  <c r="L945" i="59" s="1"/>
  <c r="L946" i="59" s="1"/>
  <c r="L947" i="59" s="1"/>
  <c r="L948" i="59" s="1"/>
  <c r="L949" i="59" s="1"/>
  <c r="L950" i="59" s="1"/>
  <c r="L951" i="59" s="1"/>
  <c r="L952" i="59" s="1"/>
  <c r="L953" i="59" s="1"/>
  <c r="L954" i="59" s="1"/>
  <c r="L955" i="59" s="1"/>
  <c r="L956" i="59" s="1"/>
  <c r="L957" i="59" s="1"/>
  <c r="L958" i="59" s="1"/>
  <c r="L959" i="59" s="1"/>
  <c r="L960" i="59" s="1"/>
  <c r="L961" i="59" s="1"/>
  <c r="L962" i="59" s="1"/>
  <c r="L963" i="59" s="1"/>
  <c r="L964" i="59" s="1"/>
  <c r="L965" i="59" s="1"/>
  <c r="L926" i="59"/>
  <c r="L925" i="59"/>
  <c r="U965" i="59"/>
  <c r="T965" i="59"/>
  <c r="S965" i="59"/>
  <c r="R965" i="59"/>
  <c r="Q965" i="59"/>
  <c r="P965" i="59"/>
  <c r="O965" i="59"/>
  <c r="N965" i="59"/>
  <c r="M965" i="59"/>
  <c r="U964" i="59"/>
  <c r="T964" i="59"/>
  <c r="S964" i="59"/>
  <c r="R964" i="59"/>
  <c r="Q964" i="59"/>
  <c r="P964" i="59"/>
  <c r="O964" i="59"/>
  <c r="N964" i="59"/>
  <c r="M964" i="59"/>
  <c r="U963" i="59"/>
  <c r="T963" i="59"/>
  <c r="S963" i="59"/>
  <c r="R963" i="59"/>
  <c r="Q963" i="59"/>
  <c r="P963" i="59"/>
  <c r="O963" i="59"/>
  <c r="N963" i="59"/>
  <c r="M963" i="59"/>
  <c r="U962" i="59"/>
  <c r="T962" i="59"/>
  <c r="S962" i="59"/>
  <c r="R962" i="59"/>
  <c r="Q962" i="59"/>
  <c r="P962" i="59"/>
  <c r="O962" i="59"/>
  <c r="N962" i="59"/>
  <c r="M962" i="59"/>
  <c r="U961" i="59"/>
  <c r="T961" i="59"/>
  <c r="S961" i="59"/>
  <c r="R961" i="59"/>
  <c r="Q961" i="59"/>
  <c r="P961" i="59"/>
  <c r="O961" i="59"/>
  <c r="N961" i="59"/>
  <c r="M961" i="59"/>
  <c r="U960" i="59"/>
  <c r="T960" i="59"/>
  <c r="S960" i="59"/>
  <c r="R960" i="59"/>
  <c r="Q960" i="59"/>
  <c r="P960" i="59"/>
  <c r="O960" i="59"/>
  <c r="N960" i="59"/>
  <c r="M960" i="59"/>
  <c r="U959" i="59"/>
  <c r="T959" i="59"/>
  <c r="S959" i="59"/>
  <c r="R959" i="59"/>
  <c r="Q959" i="59"/>
  <c r="P959" i="59"/>
  <c r="O959" i="59"/>
  <c r="N959" i="59"/>
  <c r="M959" i="59"/>
  <c r="U958" i="59"/>
  <c r="T958" i="59"/>
  <c r="S958" i="59"/>
  <c r="R958" i="59"/>
  <c r="Q958" i="59"/>
  <c r="P958" i="59"/>
  <c r="O958" i="59"/>
  <c r="N958" i="59"/>
  <c r="M958" i="59"/>
  <c r="U957" i="59"/>
  <c r="T957" i="59"/>
  <c r="S957" i="59"/>
  <c r="R957" i="59"/>
  <c r="Q957" i="59"/>
  <c r="P957" i="59"/>
  <c r="O957" i="59"/>
  <c r="N957" i="59"/>
  <c r="M957" i="59"/>
  <c r="U956" i="59"/>
  <c r="T956" i="59"/>
  <c r="S956" i="59"/>
  <c r="R956" i="59"/>
  <c r="Q956" i="59"/>
  <c r="P956" i="59"/>
  <c r="O956" i="59"/>
  <c r="N956" i="59"/>
  <c r="M956" i="59"/>
  <c r="U955" i="59"/>
  <c r="T955" i="59"/>
  <c r="S955" i="59"/>
  <c r="R955" i="59"/>
  <c r="Q955" i="59"/>
  <c r="P955" i="59"/>
  <c r="O955" i="59"/>
  <c r="N955" i="59"/>
  <c r="M955" i="59"/>
  <c r="U954" i="59"/>
  <c r="T954" i="59"/>
  <c r="S954" i="59"/>
  <c r="R954" i="59"/>
  <c r="Q954" i="59"/>
  <c r="P954" i="59"/>
  <c r="O954" i="59"/>
  <c r="N954" i="59"/>
  <c r="M954" i="59"/>
  <c r="U953" i="59"/>
  <c r="T953" i="59"/>
  <c r="S953" i="59"/>
  <c r="R953" i="59"/>
  <c r="Q953" i="59"/>
  <c r="P953" i="59"/>
  <c r="O953" i="59"/>
  <c r="N953" i="59"/>
  <c r="M953" i="59"/>
  <c r="U952" i="59"/>
  <c r="T952" i="59"/>
  <c r="S952" i="59"/>
  <c r="R952" i="59"/>
  <c r="Q952" i="59"/>
  <c r="P952" i="59"/>
  <c r="O952" i="59"/>
  <c r="N952" i="59"/>
  <c r="M952" i="59"/>
  <c r="U951" i="59"/>
  <c r="T951" i="59"/>
  <c r="S951" i="59"/>
  <c r="R951" i="59"/>
  <c r="Q951" i="59"/>
  <c r="P951" i="59"/>
  <c r="O951" i="59"/>
  <c r="N951" i="59"/>
  <c r="M951" i="59"/>
  <c r="U950" i="59"/>
  <c r="T950" i="59"/>
  <c r="S950" i="59"/>
  <c r="R950" i="59"/>
  <c r="Q950" i="59"/>
  <c r="P950" i="59"/>
  <c r="O950" i="59"/>
  <c r="N950" i="59"/>
  <c r="M950" i="59"/>
  <c r="U949" i="59"/>
  <c r="T949" i="59"/>
  <c r="S949" i="59"/>
  <c r="R949" i="59"/>
  <c r="Q949" i="59"/>
  <c r="P949" i="59"/>
  <c r="O949" i="59"/>
  <c r="N949" i="59"/>
  <c r="M949" i="59"/>
  <c r="U948" i="59"/>
  <c r="T948" i="59"/>
  <c r="S948" i="59"/>
  <c r="R948" i="59"/>
  <c r="Q948" i="59"/>
  <c r="P948" i="59"/>
  <c r="O948" i="59"/>
  <c r="N948" i="59"/>
  <c r="M948" i="59"/>
  <c r="U947" i="59"/>
  <c r="T947" i="59"/>
  <c r="S947" i="59"/>
  <c r="R947" i="59"/>
  <c r="Q947" i="59"/>
  <c r="P947" i="59"/>
  <c r="O947" i="59"/>
  <c r="N947" i="59"/>
  <c r="M947" i="59"/>
  <c r="U946" i="59"/>
  <c r="T946" i="59"/>
  <c r="S946" i="59"/>
  <c r="R946" i="59"/>
  <c r="Q946" i="59"/>
  <c r="P946" i="59"/>
  <c r="O946" i="59"/>
  <c r="N946" i="59"/>
  <c r="M946" i="59"/>
  <c r="U945" i="59"/>
  <c r="T945" i="59"/>
  <c r="S945" i="59"/>
  <c r="R945" i="59"/>
  <c r="Q945" i="59"/>
  <c r="P945" i="59"/>
  <c r="O945" i="59"/>
  <c r="N945" i="59"/>
  <c r="M945" i="59"/>
  <c r="U944" i="59"/>
  <c r="T944" i="59"/>
  <c r="S944" i="59"/>
  <c r="R944" i="59"/>
  <c r="Q944" i="59"/>
  <c r="P944" i="59"/>
  <c r="O944" i="59"/>
  <c r="N944" i="59"/>
  <c r="M944" i="59"/>
  <c r="U943" i="59"/>
  <c r="T943" i="59"/>
  <c r="S943" i="59"/>
  <c r="R943" i="59"/>
  <c r="Q943" i="59"/>
  <c r="P943" i="59"/>
  <c r="O943" i="59"/>
  <c r="N943" i="59"/>
  <c r="M943" i="59"/>
  <c r="U942" i="59"/>
  <c r="T942" i="59"/>
  <c r="S942" i="59"/>
  <c r="R942" i="59"/>
  <c r="Q942" i="59"/>
  <c r="P942" i="59"/>
  <c r="O942" i="59"/>
  <c r="N942" i="59"/>
  <c r="M942" i="59"/>
  <c r="U941" i="59"/>
  <c r="T941" i="59"/>
  <c r="S941" i="59"/>
  <c r="R941" i="59"/>
  <c r="Q941" i="59"/>
  <c r="P941" i="59"/>
  <c r="O941" i="59"/>
  <c r="N941" i="59"/>
  <c r="M941" i="59"/>
  <c r="U940" i="59"/>
  <c r="T940" i="59"/>
  <c r="S940" i="59"/>
  <c r="R940" i="59"/>
  <c r="Q940" i="59"/>
  <c r="P940" i="59"/>
  <c r="O940" i="59"/>
  <c r="N940" i="59"/>
  <c r="M940" i="59"/>
  <c r="U939" i="59"/>
  <c r="T939" i="59"/>
  <c r="S939" i="59"/>
  <c r="R939" i="59"/>
  <c r="Q939" i="59"/>
  <c r="P939" i="59"/>
  <c r="O939" i="59"/>
  <c r="N939" i="59"/>
  <c r="M939" i="59"/>
  <c r="U938" i="59"/>
  <c r="T938" i="59"/>
  <c r="S938" i="59"/>
  <c r="R938" i="59"/>
  <c r="Q938" i="59"/>
  <c r="P938" i="59"/>
  <c r="O938" i="59"/>
  <c r="N938" i="59"/>
  <c r="M938" i="59"/>
  <c r="U937" i="59"/>
  <c r="T937" i="59"/>
  <c r="S937" i="59"/>
  <c r="R937" i="59"/>
  <c r="Q937" i="59"/>
  <c r="P937" i="59"/>
  <c r="O937" i="59"/>
  <c r="N937" i="59"/>
  <c r="M937" i="59"/>
  <c r="U936" i="59"/>
  <c r="T936" i="59"/>
  <c r="S936" i="59"/>
  <c r="R936" i="59"/>
  <c r="Q936" i="59"/>
  <c r="P936" i="59"/>
  <c r="O936" i="59"/>
  <c r="N936" i="59"/>
  <c r="M936" i="59"/>
  <c r="U935" i="59"/>
  <c r="T935" i="59"/>
  <c r="S935" i="59"/>
  <c r="R935" i="59"/>
  <c r="Q935" i="59"/>
  <c r="P935" i="59"/>
  <c r="O935" i="59"/>
  <c r="N935" i="59"/>
  <c r="M935" i="59"/>
  <c r="U934" i="59"/>
  <c r="T934" i="59"/>
  <c r="S934" i="59"/>
  <c r="R934" i="59"/>
  <c r="Q934" i="59"/>
  <c r="P934" i="59"/>
  <c r="O934" i="59"/>
  <c r="N934" i="59"/>
  <c r="M934" i="59"/>
  <c r="U933" i="59"/>
  <c r="T933" i="59"/>
  <c r="S933" i="59"/>
  <c r="R933" i="59"/>
  <c r="Q933" i="59"/>
  <c r="P933" i="59"/>
  <c r="O933" i="59"/>
  <c r="N933" i="59"/>
  <c r="M933" i="59"/>
  <c r="U932" i="59"/>
  <c r="T932" i="59"/>
  <c r="S932" i="59"/>
  <c r="R932" i="59"/>
  <c r="Q932" i="59"/>
  <c r="P932" i="59"/>
  <c r="O932" i="59"/>
  <c r="N932" i="59"/>
  <c r="M932" i="59"/>
  <c r="U931" i="59"/>
  <c r="T931" i="59"/>
  <c r="S931" i="59"/>
  <c r="R931" i="59"/>
  <c r="Q931" i="59"/>
  <c r="P931" i="59"/>
  <c r="O931" i="59"/>
  <c r="N931" i="59"/>
  <c r="M931" i="59"/>
  <c r="U930" i="59"/>
  <c r="T930" i="59"/>
  <c r="S930" i="59"/>
  <c r="R930" i="59"/>
  <c r="Q930" i="59"/>
  <c r="P930" i="59"/>
  <c r="O930" i="59"/>
  <c r="N930" i="59"/>
  <c r="M930" i="59"/>
  <c r="U929" i="59"/>
  <c r="T929" i="59"/>
  <c r="S929" i="59"/>
  <c r="R929" i="59"/>
  <c r="Q929" i="59"/>
  <c r="P929" i="59"/>
  <c r="O929" i="59"/>
  <c r="N929" i="59"/>
  <c r="M929" i="59"/>
  <c r="U928" i="59"/>
  <c r="T928" i="59"/>
  <c r="S928" i="59"/>
  <c r="R928" i="59"/>
  <c r="Q928" i="59"/>
  <c r="P928" i="59"/>
  <c r="O928" i="59"/>
  <c r="N928" i="59"/>
  <c r="M928" i="59"/>
  <c r="U927" i="59"/>
  <c r="T927" i="59"/>
  <c r="S927" i="59"/>
  <c r="R927" i="59"/>
  <c r="Q927" i="59"/>
  <c r="P927" i="59"/>
  <c r="O927" i="59"/>
  <c r="N927" i="59"/>
  <c r="M927" i="59"/>
  <c r="U926" i="59"/>
  <c r="T926" i="59"/>
  <c r="S926" i="59"/>
  <c r="R926" i="59"/>
  <c r="Q926" i="59"/>
  <c r="P926" i="59"/>
  <c r="O926" i="59"/>
  <c r="N926" i="59"/>
  <c r="M926" i="59"/>
  <c r="U925" i="59"/>
  <c r="T925" i="59"/>
  <c r="S925" i="59"/>
  <c r="R925" i="59"/>
  <c r="Q925" i="59"/>
  <c r="P925" i="59"/>
  <c r="O925" i="59"/>
  <c r="N925" i="59"/>
  <c r="M925" i="59"/>
  <c r="U924" i="59"/>
  <c r="T924" i="59"/>
  <c r="S924" i="59"/>
  <c r="R924" i="59"/>
  <c r="Q924" i="59"/>
  <c r="P924" i="59"/>
  <c r="O924" i="59"/>
  <c r="N924" i="59"/>
  <c r="M924" i="59"/>
  <c r="U923" i="59"/>
  <c r="T923" i="59"/>
  <c r="S923" i="59"/>
  <c r="R923" i="59"/>
  <c r="Q923" i="59"/>
  <c r="P923" i="59"/>
  <c r="O923" i="59"/>
  <c r="N923" i="59"/>
  <c r="M923" i="59"/>
  <c r="U922" i="59"/>
  <c r="T922" i="59"/>
  <c r="S922" i="59"/>
  <c r="R922" i="59"/>
  <c r="Q922" i="59"/>
  <c r="P922" i="59"/>
  <c r="O922" i="59"/>
  <c r="N922" i="59"/>
  <c r="M922" i="59"/>
  <c r="U921" i="59"/>
  <c r="T921" i="59"/>
  <c r="S921" i="59"/>
  <c r="R921" i="59"/>
  <c r="Q921" i="59"/>
  <c r="P921" i="59"/>
  <c r="O921" i="59"/>
  <c r="N921" i="59"/>
  <c r="M921" i="59"/>
  <c r="U920" i="59"/>
  <c r="T920" i="59"/>
  <c r="S920" i="59"/>
  <c r="R920" i="59"/>
  <c r="Q920" i="59"/>
  <c r="P920" i="59"/>
  <c r="O920" i="59"/>
  <c r="N920" i="59"/>
  <c r="M920" i="59"/>
  <c r="U919" i="59"/>
  <c r="T919" i="59"/>
  <c r="S919" i="59"/>
  <c r="R919" i="59"/>
  <c r="Q919" i="59"/>
  <c r="P919" i="59"/>
  <c r="O919" i="59"/>
  <c r="N919" i="59"/>
  <c r="M919" i="59"/>
  <c r="U918" i="59"/>
  <c r="T918" i="59"/>
  <c r="S918" i="59"/>
  <c r="R918" i="59"/>
  <c r="Q918" i="59"/>
  <c r="P918" i="59"/>
  <c r="O918" i="59"/>
  <c r="N918" i="59"/>
  <c r="M918" i="59"/>
  <c r="U917" i="59"/>
  <c r="T917" i="59"/>
  <c r="S917" i="59"/>
  <c r="R917" i="59"/>
  <c r="Q917" i="59"/>
  <c r="P917" i="59"/>
  <c r="O917" i="59"/>
  <c r="N917" i="59"/>
  <c r="M917" i="59"/>
  <c r="U916" i="59"/>
  <c r="T916" i="59"/>
  <c r="S916" i="59"/>
  <c r="R916" i="59"/>
  <c r="Q916" i="59"/>
  <c r="P916" i="59"/>
  <c r="O916" i="59"/>
  <c r="N916" i="59"/>
  <c r="M916" i="59"/>
  <c r="U915" i="59"/>
  <c r="T915" i="59"/>
  <c r="S915" i="59"/>
  <c r="R915" i="59"/>
  <c r="Q915" i="59"/>
  <c r="P915" i="59"/>
  <c r="O915" i="59"/>
  <c r="N915" i="59"/>
  <c r="M915" i="59"/>
  <c r="U914" i="59"/>
  <c r="T914" i="59"/>
  <c r="S914" i="59"/>
  <c r="R914" i="59"/>
  <c r="Q914" i="59"/>
  <c r="P914" i="59"/>
  <c r="O914" i="59"/>
  <c r="N914" i="59"/>
  <c r="M914" i="59"/>
  <c r="U913" i="59"/>
  <c r="T913" i="59"/>
  <c r="S913" i="59"/>
  <c r="R913" i="59"/>
  <c r="Q913" i="59"/>
  <c r="P913" i="59"/>
  <c r="O913" i="59"/>
  <c r="N913" i="59"/>
  <c r="M913" i="59"/>
  <c r="U912" i="59"/>
  <c r="T912" i="59"/>
  <c r="S912" i="59"/>
  <c r="R912" i="59"/>
  <c r="Q912" i="59"/>
  <c r="P912" i="59"/>
  <c r="O912" i="59"/>
  <c r="N912" i="59"/>
  <c r="M912" i="59"/>
  <c r="U911" i="59"/>
  <c r="T911" i="59"/>
  <c r="S911" i="59"/>
  <c r="R911" i="59"/>
  <c r="Q911" i="59"/>
  <c r="P911" i="59"/>
  <c r="O911" i="59"/>
  <c r="N911" i="59"/>
  <c r="M911" i="59"/>
  <c r="T847" i="59"/>
  <c r="S847" i="59"/>
  <c r="R847" i="59"/>
  <c r="Q847" i="59"/>
  <c r="P847" i="59"/>
  <c r="O847" i="59"/>
  <c r="N847" i="59"/>
  <c r="M847" i="59"/>
  <c r="L847" i="59"/>
  <c r="T846" i="59"/>
  <c r="S846" i="59"/>
  <c r="R846" i="59"/>
  <c r="Q846" i="59"/>
  <c r="P846" i="59"/>
  <c r="O846" i="59"/>
  <c r="N846" i="59"/>
  <c r="M846" i="59"/>
  <c r="L846" i="59"/>
  <c r="T845" i="59"/>
  <c r="S845" i="59"/>
  <c r="R845" i="59"/>
  <c r="Q845" i="59"/>
  <c r="P845" i="59"/>
  <c r="O845" i="59"/>
  <c r="N845" i="59"/>
  <c r="M845" i="59"/>
  <c r="L845" i="59"/>
  <c r="T844" i="59"/>
  <c r="S844" i="59"/>
  <c r="R844" i="59"/>
  <c r="Q844" i="59"/>
  <c r="P844" i="59"/>
  <c r="O844" i="59"/>
  <c r="N844" i="59"/>
  <c r="M844" i="59"/>
  <c r="L844" i="59"/>
  <c r="T843" i="59"/>
  <c r="S843" i="59"/>
  <c r="R843" i="59"/>
  <c r="Q843" i="59"/>
  <c r="P843" i="59"/>
  <c r="O843" i="59"/>
  <c r="N843" i="59"/>
  <c r="M843" i="59"/>
  <c r="L843" i="59"/>
  <c r="T842" i="59"/>
  <c r="S842" i="59"/>
  <c r="R842" i="59"/>
  <c r="Q842" i="59"/>
  <c r="P842" i="59"/>
  <c r="O842" i="59"/>
  <c r="N842" i="59"/>
  <c r="M842" i="59"/>
  <c r="L842" i="59"/>
  <c r="T841" i="59"/>
  <c r="S841" i="59"/>
  <c r="R841" i="59"/>
  <c r="Q841" i="59"/>
  <c r="P841" i="59"/>
  <c r="O841" i="59"/>
  <c r="N841" i="59"/>
  <c r="M841" i="59"/>
  <c r="L841" i="59"/>
  <c r="T840" i="59"/>
  <c r="S840" i="59"/>
  <c r="R840" i="59"/>
  <c r="Q840" i="59"/>
  <c r="P840" i="59"/>
  <c r="O840" i="59"/>
  <c r="N840" i="59"/>
  <c r="M840" i="59"/>
  <c r="L840" i="59"/>
  <c r="T839" i="59"/>
  <c r="S839" i="59"/>
  <c r="R839" i="59"/>
  <c r="Q839" i="59"/>
  <c r="P839" i="59"/>
  <c r="O839" i="59"/>
  <c r="N839" i="59"/>
  <c r="M839" i="59"/>
  <c r="L839" i="59"/>
  <c r="T838" i="59"/>
  <c r="S838" i="59"/>
  <c r="R838" i="59"/>
  <c r="Q838" i="59"/>
  <c r="P838" i="59"/>
  <c r="O838" i="59"/>
  <c r="N838" i="59"/>
  <c r="M838" i="59"/>
  <c r="L838" i="59"/>
  <c r="T837" i="59"/>
  <c r="S837" i="59"/>
  <c r="R837" i="59"/>
  <c r="Q837" i="59"/>
  <c r="P837" i="59"/>
  <c r="O837" i="59"/>
  <c r="N837" i="59"/>
  <c r="M837" i="59"/>
  <c r="L837" i="59"/>
  <c r="T836" i="59"/>
  <c r="S836" i="59"/>
  <c r="R836" i="59"/>
  <c r="Q836" i="59"/>
  <c r="P836" i="59"/>
  <c r="O836" i="59"/>
  <c r="N836" i="59"/>
  <c r="M836" i="59"/>
  <c r="L836" i="59"/>
  <c r="T835" i="59"/>
  <c r="S835" i="59"/>
  <c r="R835" i="59"/>
  <c r="Q835" i="59"/>
  <c r="P835" i="59"/>
  <c r="O835" i="59"/>
  <c r="N835" i="59"/>
  <c r="M835" i="59"/>
  <c r="L835" i="59"/>
  <c r="T834" i="59"/>
  <c r="S834" i="59"/>
  <c r="R834" i="59"/>
  <c r="Q834" i="59"/>
  <c r="P834" i="59"/>
  <c r="O834" i="59"/>
  <c r="N834" i="59"/>
  <c r="M834" i="59"/>
  <c r="L834" i="59"/>
  <c r="T833" i="59"/>
  <c r="S833" i="59"/>
  <c r="R833" i="59"/>
  <c r="Q833" i="59"/>
  <c r="P833" i="59"/>
  <c r="O833" i="59"/>
  <c r="N833" i="59"/>
  <c r="M833" i="59"/>
  <c r="L833" i="59"/>
  <c r="T832" i="59"/>
  <c r="S832" i="59"/>
  <c r="R832" i="59"/>
  <c r="Q832" i="59"/>
  <c r="P832" i="59"/>
  <c r="O832" i="59"/>
  <c r="N832" i="59"/>
  <c r="M832" i="59"/>
  <c r="L832" i="59"/>
  <c r="T831" i="59"/>
  <c r="S831" i="59"/>
  <c r="R831" i="59"/>
  <c r="Q831" i="59"/>
  <c r="P831" i="59"/>
  <c r="O831" i="59"/>
  <c r="N831" i="59"/>
  <c r="M831" i="59"/>
  <c r="L831" i="59"/>
  <c r="T830" i="59"/>
  <c r="S830" i="59"/>
  <c r="R830" i="59"/>
  <c r="Q830" i="59"/>
  <c r="P830" i="59"/>
  <c r="O830" i="59"/>
  <c r="N830" i="59"/>
  <c r="M830" i="59"/>
  <c r="L830" i="59"/>
  <c r="T829" i="59"/>
  <c r="S829" i="59"/>
  <c r="R829" i="59"/>
  <c r="Q829" i="59"/>
  <c r="P829" i="59"/>
  <c r="O829" i="59"/>
  <c r="N829" i="59"/>
  <c r="M829" i="59"/>
  <c r="L829" i="59"/>
  <c r="T828" i="59"/>
  <c r="S828" i="59"/>
  <c r="R828" i="59"/>
  <c r="Q828" i="59"/>
  <c r="P828" i="59"/>
  <c r="O828" i="59"/>
  <c r="N828" i="59"/>
  <c r="M828" i="59"/>
  <c r="L828" i="59"/>
  <c r="T827" i="59"/>
  <c r="S827" i="59"/>
  <c r="R827" i="59"/>
  <c r="Q827" i="59"/>
  <c r="P827" i="59"/>
  <c r="O827" i="59"/>
  <c r="N827" i="59"/>
  <c r="M827" i="59"/>
  <c r="L827" i="59"/>
  <c r="T826" i="59"/>
  <c r="S826" i="59"/>
  <c r="R826" i="59"/>
  <c r="Q826" i="59"/>
  <c r="P826" i="59"/>
  <c r="O826" i="59"/>
  <c r="N826" i="59"/>
  <c r="M826" i="59"/>
  <c r="L826" i="59"/>
  <c r="T825" i="59"/>
  <c r="S825" i="59"/>
  <c r="R825" i="59"/>
  <c r="Q825" i="59"/>
  <c r="P825" i="59"/>
  <c r="O825" i="59"/>
  <c r="N825" i="59"/>
  <c r="M825" i="59"/>
  <c r="L825" i="59"/>
  <c r="T824" i="59"/>
  <c r="S824" i="59"/>
  <c r="R824" i="59"/>
  <c r="Q824" i="59"/>
  <c r="P824" i="59"/>
  <c r="O824" i="59"/>
  <c r="N824" i="59"/>
  <c r="M824" i="59"/>
  <c r="L824" i="59"/>
  <c r="T823" i="59"/>
  <c r="S823" i="59"/>
  <c r="R823" i="59"/>
  <c r="Q823" i="59"/>
  <c r="P823" i="59"/>
  <c r="O823" i="59"/>
  <c r="N823" i="59"/>
  <c r="M823" i="59"/>
  <c r="L823" i="59"/>
  <c r="T822" i="59"/>
  <c r="S822" i="59"/>
  <c r="R822" i="59"/>
  <c r="Q822" i="59"/>
  <c r="P822" i="59"/>
  <c r="O822" i="59"/>
  <c r="N822" i="59"/>
  <c r="M822" i="59"/>
  <c r="L822" i="59"/>
  <c r="T821" i="59"/>
  <c r="S821" i="59"/>
  <c r="R821" i="59"/>
  <c r="Q821" i="59"/>
  <c r="P821" i="59"/>
  <c r="O821" i="59"/>
  <c r="N821" i="59"/>
  <c r="M821" i="59"/>
  <c r="L821" i="59"/>
  <c r="T820" i="59"/>
  <c r="S820" i="59"/>
  <c r="R820" i="59"/>
  <c r="Q820" i="59"/>
  <c r="P820" i="59"/>
  <c r="O820" i="59"/>
  <c r="N820" i="59"/>
  <c r="M820" i="59"/>
  <c r="L820" i="59"/>
  <c r="T819" i="59"/>
  <c r="S819" i="59"/>
  <c r="R819" i="59"/>
  <c r="Q819" i="59"/>
  <c r="P819" i="59"/>
  <c r="O819" i="59"/>
  <c r="N819" i="59"/>
  <c r="M819" i="59"/>
  <c r="L819" i="59"/>
  <c r="T818" i="59"/>
  <c r="S818" i="59"/>
  <c r="R818" i="59"/>
  <c r="Q818" i="59"/>
  <c r="P818" i="59"/>
  <c r="O818" i="59"/>
  <c r="N818" i="59"/>
  <c r="M818" i="59"/>
  <c r="L818" i="59"/>
  <c r="T817" i="59"/>
  <c r="S817" i="59"/>
  <c r="R817" i="59"/>
  <c r="Q817" i="59"/>
  <c r="P817" i="59"/>
  <c r="O817" i="59"/>
  <c r="N817" i="59"/>
  <c r="M817" i="59"/>
  <c r="L817" i="59"/>
  <c r="T816" i="59"/>
  <c r="S816" i="59"/>
  <c r="R816" i="59"/>
  <c r="Q816" i="59"/>
  <c r="P816" i="59"/>
  <c r="O816" i="59"/>
  <c r="N816" i="59"/>
  <c r="M816" i="59"/>
  <c r="L816" i="59"/>
  <c r="T815" i="59"/>
  <c r="S815" i="59"/>
  <c r="R815" i="59"/>
  <c r="Q815" i="59"/>
  <c r="P815" i="59"/>
  <c r="O815" i="59"/>
  <c r="N815" i="59"/>
  <c r="M815" i="59"/>
  <c r="L815" i="59"/>
  <c r="T814" i="59"/>
  <c r="S814" i="59"/>
  <c r="R814" i="59"/>
  <c r="Q814" i="59"/>
  <c r="P814" i="59"/>
  <c r="O814" i="59"/>
  <c r="N814" i="59"/>
  <c r="M814" i="59"/>
  <c r="L814" i="59"/>
  <c r="T813" i="59"/>
  <c r="S813" i="59"/>
  <c r="R813" i="59"/>
  <c r="Q813" i="59"/>
  <c r="P813" i="59"/>
  <c r="O813" i="59"/>
  <c r="N813" i="59"/>
  <c r="M813" i="59"/>
  <c r="L813" i="59"/>
  <c r="T812" i="59"/>
  <c r="S812" i="59"/>
  <c r="R812" i="59"/>
  <c r="Q812" i="59"/>
  <c r="P812" i="59"/>
  <c r="O812" i="59"/>
  <c r="N812" i="59"/>
  <c r="M812" i="59"/>
  <c r="L812" i="59"/>
  <c r="T811" i="59"/>
  <c r="S811" i="59"/>
  <c r="R811" i="59"/>
  <c r="Q811" i="59"/>
  <c r="P811" i="59"/>
  <c r="O811" i="59"/>
  <c r="N811" i="59"/>
  <c r="M811" i="59"/>
  <c r="L811" i="59"/>
  <c r="T810" i="59"/>
  <c r="S810" i="59"/>
  <c r="R810" i="59"/>
  <c r="Q810" i="59"/>
  <c r="P810" i="59"/>
  <c r="O810" i="59"/>
  <c r="N810" i="59"/>
  <c r="M810" i="59"/>
  <c r="L810" i="59"/>
  <c r="T809" i="59"/>
  <c r="S809" i="59"/>
  <c r="R809" i="59"/>
  <c r="Q809" i="59"/>
  <c r="P809" i="59"/>
  <c r="O809" i="59"/>
  <c r="N809" i="59"/>
  <c r="M809" i="59"/>
  <c r="L809" i="59"/>
  <c r="T808" i="59"/>
  <c r="S808" i="59"/>
  <c r="R808" i="59"/>
  <c r="Q808" i="59"/>
  <c r="P808" i="59"/>
  <c r="O808" i="59"/>
  <c r="N808" i="59"/>
  <c r="M808" i="59"/>
  <c r="L808" i="59"/>
  <c r="T807" i="59"/>
  <c r="S807" i="59"/>
  <c r="R807" i="59"/>
  <c r="Q807" i="59"/>
  <c r="P807" i="59"/>
  <c r="O807" i="59"/>
  <c r="N807" i="59"/>
  <c r="M807" i="59"/>
  <c r="L807" i="59"/>
  <c r="T806" i="59"/>
  <c r="S806" i="59"/>
  <c r="R806" i="59"/>
  <c r="Q806" i="59"/>
  <c r="P806" i="59"/>
  <c r="O806" i="59"/>
  <c r="N806" i="59"/>
  <c r="M806" i="59"/>
  <c r="L806" i="59"/>
  <c r="T805" i="59"/>
  <c r="S805" i="59"/>
  <c r="R805" i="59"/>
  <c r="Q805" i="59"/>
  <c r="P805" i="59"/>
  <c r="O805" i="59"/>
  <c r="N805" i="59"/>
  <c r="M805" i="59"/>
  <c r="L805" i="59"/>
  <c r="T804" i="59"/>
  <c r="S804" i="59"/>
  <c r="R804" i="59"/>
  <c r="Q804" i="59"/>
  <c r="P804" i="59"/>
  <c r="O804" i="59"/>
  <c r="N804" i="59"/>
  <c r="M804" i="59"/>
  <c r="L804" i="59"/>
  <c r="T803" i="59"/>
  <c r="S803" i="59"/>
  <c r="R803" i="59"/>
  <c r="Q803" i="59"/>
  <c r="P803" i="59"/>
  <c r="O803" i="59"/>
  <c r="N803" i="59"/>
  <c r="M803" i="59"/>
  <c r="L803" i="59"/>
  <c r="T802" i="59"/>
  <c r="S802" i="59"/>
  <c r="R802" i="59"/>
  <c r="Q802" i="59"/>
  <c r="P802" i="59"/>
  <c r="O802" i="59"/>
  <c r="N802" i="59"/>
  <c r="M802" i="59"/>
  <c r="L802" i="59"/>
  <c r="T801" i="59"/>
  <c r="S801" i="59"/>
  <c r="R801" i="59"/>
  <c r="Q801" i="59"/>
  <c r="P801" i="59"/>
  <c r="O801" i="59"/>
  <c r="N801" i="59"/>
  <c r="M801" i="59"/>
  <c r="L801" i="59"/>
  <c r="T800" i="59"/>
  <c r="S800" i="59"/>
  <c r="R800" i="59"/>
  <c r="Q800" i="59"/>
  <c r="P800" i="59"/>
  <c r="O800" i="59"/>
  <c r="N800" i="59"/>
  <c r="M800" i="59"/>
  <c r="L800" i="59"/>
  <c r="T799" i="59"/>
  <c r="S799" i="59"/>
  <c r="R799" i="59"/>
  <c r="Q799" i="59"/>
  <c r="P799" i="59"/>
  <c r="O799" i="59"/>
  <c r="N799" i="59"/>
  <c r="M799" i="59"/>
  <c r="L799" i="59"/>
  <c r="T798" i="59"/>
  <c r="S798" i="59"/>
  <c r="R798" i="59"/>
  <c r="Q798" i="59"/>
  <c r="P798" i="59"/>
  <c r="O798" i="59"/>
  <c r="N798" i="59"/>
  <c r="M798" i="59"/>
  <c r="L798" i="59"/>
  <c r="T797" i="59"/>
  <c r="S797" i="59"/>
  <c r="R797" i="59"/>
  <c r="Q797" i="59"/>
  <c r="P797" i="59"/>
  <c r="O797" i="59"/>
  <c r="N797" i="59"/>
  <c r="M797" i="59"/>
  <c r="L797" i="59"/>
  <c r="T796" i="59"/>
  <c r="S796" i="59"/>
  <c r="R796" i="59"/>
  <c r="Q796" i="59"/>
  <c r="P796" i="59"/>
  <c r="O796" i="59"/>
  <c r="N796" i="59"/>
  <c r="M796" i="59"/>
  <c r="L796" i="59"/>
  <c r="T795" i="59"/>
  <c r="S795" i="59"/>
  <c r="R795" i="59"/>
  <c r="Q795" i="59"/>
  <c r="P795" i="59"/>
  <c r="O795" i="59"/>
  <c r="N795" i="59"/>
  <c r="M795" i="59"/>
  <c r="L795" i="59"/>
  <c r="T794" i="59"/>
  <c r="S794" i="59"/>
  <c r="R794" i="59"/>
  <c r="Q794" i="59"/>
  <c r="P794" i="59"/>
  <c r="O794" i="59"/>
  <c r="N794" i="59"/>
  <c r="M794" i="59"/>
  <c r="L794" i="59"/>
  <c r="T793" i="59"/>
  <c r="S793" i="59"/>
  <c r="R793" i="59"/>
  <c r="Q793" i="59"/>
  <c r="P793" i="59"/>
  <c r="O793" i="59"/>
  <c r="N793" i="59"/>
  <c r="M793" i="59"/>
  <c r="L793" i="59"/>
  <c r="T375" i="59"/>
  <c r="S375" i="59"/>
  <c r="R375" i="59"/>
  <c r="Q375" i="59"/>
  <c r="P375" i="59"/>
  <c r="O375" i="59"/>
  <c r="N375" i="59"/>
  <c r="M375" i="59"/>
  <c r="L375" i="59"/>
  <c r="T374" i="59"/>
  <c r="S374" i="59"/>
  <c r="R374" i="59"/>
  <c r="Q374" i="59"/>
  <c r="P374" i="59"/>
  <c r="O374" i="59"/>
  <c r="N374" i="59"/>
  <c r="M374" i="59"/>
  <c r="L374" i="59"/>
  <c r="T373" i="59"/>
  <c r="S373" i="59"/>
  <c r="R373" i="59"/>
  <c r="Q373" i="59"/>
  <c r="P373" i="59"/>
  <c r="O373" i="59"/>
  <c r="N373" i="59"/>
  <c r="M373" i="59"/>
  <c r="L373" i="59"/>
  <c r="T372" i="59"/>
  <c r="S372" i="59"/>
  <c r="R372" i="59"/>
  <c r="Q372" i="59"/>
  <c r="P372" i="59"/>
  <c r="O372" i="59"/>
  <c r="N372" i="59"/>
  <c r="M372" i="59"/>
  <c r="L372" i="59"/>
  <c r="T371" i="59"/>
  <c r="S371" i="59"/>
  <c r="R371" i="59"/>
  <c r="Q371" i="59"/>
  <c r="P371" i="59"/>
  <c r="O371" i="59"/>
  <c r="N371" i="59"/>
  <c r="M371" i="59"/>
  <c r="L371" i="59"/>
  <c r="T370" i="59"/>
  <c r="S370" i="59"/>
  <c r="R370" i="59"/>
  <c r="Q370" i="59"/>
  <c r="P370" i="59"/>
  <c r="O370" i="59"/>
  <c r="N370" i="59"/>
  <c r="M370" i="59"/>
  <c r="L370" i="59"/>
  <c r="T369" i="59"/>
  <c r="S369" i="59"/>
  <c r="R369" i="59"/>
  <c r="Q369" i="59"/>
  <c r="P369" i="59"/>
  <c r="O369" i="59"/>
  <c r="N369" i="59"/>
  <c r="M369" i="59"/>
  <c r="L369" i="59"/>
  <c r="T368" i="59"/>
  <c r="S368" i="59"/>
  <c r="R368" i="59"/>
  <c r="Q368" i="59"/>
  <c r="P368" i="59"/>
  <c r="O368" i="59"/>
  <c r="N368" i="59"/>
  <c r="M368" i="59"/>
  <c r="L368" i="59"/>
  <c r="T367" i="59"/>
  <c r="S367" i="59"/>
  <c r="R367" i="59"/>
  <c r="Q367" i="59"/>
  <c r="P367" i="59"/>
  <c r="O367" i="59"/>
  <c r="N367" i="59"/>
  <c r="M367" i="59"/>
  <c r="L367" i="59"/>
  <c r="T366" i="59"/>
  <c r="S366" i="59"/>
  <c r="R366" i="59"/>
  <c r="Q366" i="59"/>
  <c r="P366" i="59"/>
  <c r="O366" i="59"/>
  <c r="N366" i="59"/>
  <c r="M366" i="59"/>
  <c r="L366" i="59"/>
  <c r="T365" i="59"/>
  <c r="S365" i="59"/>
  <c r="R365" i="59"/>
  <c r="Q365" i="59"/>
  <c r="P365" i="59"/>
  <c r="O365" i="59"/>
  <c r="N365" i="59"/>
  <c r="M365" i="59"/>
  <c r="L365" i="59"/>
  <c r="T364" i="59"/>
  <c r="S364" i="59"/>
  <c r="R364" i="59"/>
  <c r="Q364" i="59"/>
  <c r="P364" i="59"/>
  <c r="O364" i="59"/>
  <c r="N364" i="59"/>
  <c r="M364" i="59"/>
  <c r="L364" i="59"/>
  <c r="T363" i="59"/>
  <c r="S363" i="59"/>
  <c r="R363" i="59"/>
  <c r="Q363" i="59"/>
  <c r="P363" i="59"/>
  <c r="O363" i="59"/>
  <c r="N363" i="59"/>
  <c r="M363" i="59"/>
  <c r="L363" i="59"/>
  <c r="T362" i="59"/>
  <c r="S362" i="59"/>
  <c r="R362" i="59"/>
  <c r="Q362" i="59"/>
  <c r="P362" i="59"/>
  <c r="O362" i="59"/>
  <c r="N362" i="59"/>
  <c r="M362" i="59"/>
  <c r="L362" i="59"/>
  <c r="T361" i="59"/>
  <c r="S361" i="59"/>
  <c r="R361" i="59"/>
  <c r="Q361" i="59"/>
  <c r="P361" i="59"/>
  <c r="O361" i="59"/>
  <c r="N361" i="59"/>
  <c r="M361" i="59"/>
  <c r="L361" i="59"/>
  <c r="T360" i="59"/>
  <c r="S360" i="59"/>
  <c r="R360" i="59"/>
  <c r="Q360" i="59"/>
  <c r="P360" i="59"/>
  <c r="O360" i="59"/>
  <c r="N360" i="59"/>
  <c r="M360" i="59"/>
  <c r="L360" i="59"/>
  <c r="T359" i="59"/>
  <c r="S359" i="59"/>
  <c r="R359" i="59"/>
  <c r="Q359" i="59"/>
  <c r="P359" i="59"/>
  <c r="O359" i="59"/>
  <c r="N359" i="59"/>
  <c r="M359" i="59"/>
  <c r="L359" i="59"/>
  <c r="T358" i="59"/>
  <c r="S358" i="59"/>
  <c r="R358" i="59"/>
  <c r="Q358" i="59"/>
  <c r="P358" i="59"/>
  <c r="O358" i="59"/>
  <c r="N358" i="59"/>
  <c r="M358" i="59"/>
  <c r="L358" i="59"/>
  <c r="T357" i="59"/>
  <c r="S357" i="59"/>
  <c r="R357" i="59"/>
  <c r="Q357" i="59"/>
  <c r="P357" i="59"/>
  <c r="O357" i="59"/>
  <c r="N357" i="59"/>
  <c r="M357" i="59"/>
  <c r="L357" i="59"/>
  <c r="T356" i="59"/>
  <c r="S356" i="59"/>
  <c r="R356" i="59"/>
  <c r="Q356" i="59"/>
  <c r="P356" i="59"/>
  <c r="O356" i="59"/>
  <c r="N356" i="59"/>
  <c r="M356" i="59"/>
  <c r="L356" i="59"/>
  <c r="T355" i="59"/>
  <c r="S355" i="59"/>
  <c r="R355" i="59"/>
  <c r="Q355" i="59"/>
  <c r="P355" i="59"/>
  <c r="O355" i="59"/>
  <c r="N355" i="59"/>
  <c r="M355" i="59"/>
  <c r="L355" i="59"/>
  <c r="T354" i="59"/>
  <c r="S354" i="59"/>
  <c r="R354" i="59"/>
  <c r="Q354" i="59"/>
  <c r="P354" i="59"/>
  <c r="O354" i="59"/>
  <c r="N354" i="59"/>
  <c r="M354" i="59"/>
  <c r="L354" i="59"/>
  <c r="T353" i="59"/>
  <c r="S353" i="59"/>
  <c r="R353" i="59"/>
  <c r="Q353" i="59"/>
  <c r="P353" i="59"/>
  <c r="O353" i="59"/>
  <c r="N353" i="59"/>
  <c r="M353" i="59"/>
  <c r="L353" i="59"/>
  <c r="T352" i="59"/>
  <c r="S352" i="59"/>
  <c r="R352" i="59"/>
  <c r="Q352" i="59"/>
  <c r="P352" i="59"/>
  <c r="O352" i="59"/>
  <c r="N352" i="59"/>
  <c r="M352" i="59"/>
  <c r="L352" i="59"/>
  <c r="T351" i="59"/>
  <c r="S351" i="59"/>
  <c r="R351" i="59"/>
  <c r="Q351" i="59"/>
  <c r="P351" i="59"/>
  <c r="O351" i="59"/>
  <c r="N351" i="59"/>
  <c r="M351" i="59"/>
  <c r="L351" i="59"/>
  <c r="T350" i="59"/>
  <c r="S350" i="59"/>
  <c r="R350" i="59"/>
  <c r="Q350" i="59"/>
  <c r="P350" i="59"/>
  <c r="O350" i="59"/>
  <c r="N350" i="59"/>
  <c r="M350" i="59"/>
  <c r="L350" i="59"/>
  <c r="T349" i="59"/>
  <c r="S349" i="59"/>
  <c r="R349" i="59"/>
  <c r="Q349" i="59"/>
  <c r="P349" i="59"/>
  <c r="O349" i="59"/>
  <c r="N349" i="59"/>
  <c r="M349" i="59"/>
  <c r="L349" i="59"/>
  <c r="T348" i="59"/>
  <c r="S348" i="59"/>
  <c r="R348" i="59"/>
  <c r="Q348" i="59"/>
  <c r="P348" i="59"/>
  <c r="O348" i="59"/>
  <c r="N348" i="59"/>
  <c r="M348" i="59"/>
  <c r="L348" i="59"/>
  <c r="T347" i="59"/>
  <c r="S347" i="59"/>
  <c r="R347" i="59"/>
  <c r="Q347" i="59"/>
  <c r="P347" i="59"/>
  <c r="O347" i="59"/>
  <c r="N347" i="59"/>
  <c r="M347" i="59"/>
  <c r="L347" i="59"/>
  <c r="T346" i="59"/>
  <c r="S346" i="59"/>
  <c r="R346" i="59"/>
  <c r="Q346" i="59"/>
  <c r="P346" i="59"/>
  <c r="O346" i="59"/>
  <c r="N346" i="59"/>
  <c r="M346" i="59"/>
  <c r="L346" i="59"/>
  <c r="T345" i="59"/>
  <c r="S345" i="59"/>
  <c r="R345" i="59"/>
  <c r="Q345" i="59"/>
  <c r="P345" i="59"/>
  <c r="O345" i="59"/>
  <c r="N345" i="59"/>
  <c r="M345" i="59"/>
  <c r="L345" i="59"/>
  <c r="T344" i="59"/>
  <c r="S344" i="59"/>
  <c r="R344" i="59"/>
  <c r="Q344" i="59"/>
  <c r="P344" i="59"/>
  <c r="O344" i="59"/>
  <c r="N344" i="59"/>
  <c r="M344" i="59"/>
  <c r="L344" i="59"/>
  <c r="T343" i="59"/>
  <c r="S343" i="59"/>
  <c r="R343" i="59"/>
  <c r="Q343" i="59"/>
  <c r="P343" i="59"/>
  <c r="O343" i="59"/>
  <c r="N343" i="59"/>
  <c r="M343" i="59"/>
  <c r="L343" i="59"/>
  <c r="T342" i="59"/>
  <c r="S342" i="59"/>
  <c r="R342" i="59"/>
  <c r="Q342" i="59"/>
  <c r="P342" i="59"/>
  <c r="O342" i="59"/>
  <c r="N342" i="59"/>
  <c r="M342" i="59"/>
  <c r="L342" i="59"/>
  <c r="T341" i="59"/>
  <c r="S341" i="59"/>
  <c r="R341" i="59"/>
  <c r="Q341" i="59"/>
  <c r="P341" i="59"/>
  <c r="O341" i="59"/>
  <c r="N341" i="59"/>
  <c r="M341" i="59"/>
  <c r="L341" i="59"/>
  <c r="T340" i="59"/>
  <c r="S340" i="59"/>
  <c r="R340" i="59"/>
  <c r="Q340" i="59"/>
  <c r="P340" i="59"/>
  <c r="O340" i="59"/>
  <c r="N340" i="59"/>
  <c r="M340" i="59"/>
  <c r="L340" i="59"/>
  <c r="T339" i="59"/>
  <c r="S339" i="59"/>
  <c r="R339" i="59"/>
  <c r="Q339" i="59"/>
  <c r="P339" i="59"/>
  <c r="O339" i="59"/>
  <c r="N339" i="59"/>
  <c r="M339" i="59"/>
  <c r="L339" i="59"/>
  <c r="T338" i="59"/>
  <c r="S338" i="59"/>
  <c r="R338" i="59"/>
  <c r="Q338" i="59"/>
  <c r="P338" i="59"/>
  <c r="O338" i="59"/>
  <c r="N338" i="59"/>
  <c r="M338" i="59"/>
  <c r="L338" i="59"/>
  <c r="T337" i="59"/>
  <c r="S337" i="59"/>
  <c r="R337" i="59"/>
  <c r="Q337" i="59"/>
  <c r="P337" i="59"/>
  <c r="O337" i="59"/>
  <c r="N337" i="59"/>
  <c r="M337" i="59"/>
  <c r="L337" i="59"/>
  <c r="T336" i="59"/>
  <c r="S336" i="59"/>
  <c r="R336" i="59"/>
  <c r="Q336" i="59"/>
  <c r="P336" i="59"/>
  <c r="O336" i="59"/>
  <c r="N336" i="59"/>
  <c r="M336" i="59"/>
  <c r="L336" i="59"/>
  <c r="T335" i="59"/>
  <c r="S335" i="59"/>
  <c r="R335" i="59"/>
  <c r="Q335" i="59"/>
  <c r="P335" i="59"/>
  <c r="O335" i="59"/>
  <c r="N335" i="59"/>
  <c r="M335" i="59"/>
  <c r="L335" i="59"/>
  <c r="T334" i="59"/>
  <c r="S334" i="59"/>
  <c r="R334" i="59"/>
  <c r="Q334" i="59"/>
  <c r="P334" i="59"/>
  <c r="O334" i="59"/>
  <c r="N334" i="59"/>
  <c r="M334" i="59"/>
  <c r="L334" i="59"/>
  <c r="T333" i="59"/>
  <c r="S333" i="59"/>
  <c r="R333" i="59"/>
  <c r="Q333" i="59"/>
  <c r="P333" i="59"/>
  <c r="O333" i="59"/>
  <c r="N333" i="59"/>
  <c r="M333" i="59"/>
  <c r="L333" i="59"/>
  <c r="T332" i="59"/>
  <c r="S332" i="59"/>
  <c r="R332" i="59"/>
  <c r="Q332" i="59"/>
  <c r="P332" i="59"/>
  <c r="O332" i="59"/>
  <c r="N332" i="59"/>
  <c r="M332" i="59"/>
  <c r="L332" i="59"/>
  <c r="T331" i="59"/>
  <c r="S331" i="59"/>
  <c r="R331" i="59"/>
  <c r="Q331" i="59"/>
  <c r="P331" i="59"/>
  <c r="O331" i="59"/>
  <c r="N331" i="59"/>
  <c r="M331" i="59"/>
  <c r="L331" i="59"/>
  <c r="T330" i="59"/>
  <c r="S330" i="59"/>
  <c r="R330" i="59"/>
  <c r="Q330" i="59"/>
  <c r="P330" i="59"/>
  <c r="O330" i="59"/>
  <c r="N330" i="59"/>
  <c r="M330" i="59"/>
  <c r="L330" i="59"/>
  <c r="T329" i="59"/>
  <c r="S329" i="59"/>
  <c r="R329" i="59"/>
  <c r="Q329" i="59"/>
  <c r="P329" i="59"/>
  <c r="O329" i="59"/>
  <c r="N329" i="59"/>
  <c r="M329" i="59"/>
  <c r="L329" i="59"/>
  <c r="T328" i="59"/>
  <c r="S328" i="59"/>
  <c r="R328" i="59"/>
  <c r="Q328" i="59"/>
  <c r="P328" i="59"/>
  <c r="O328" i="59"/>
  <c r="N328" i="59"/>
  <c r="M328" i="59"/>
  <c r="L328" i="59"/>
  <c r="T327" i="59"/>
  <c r="S327" i="59"/>
  <c r="R327" i="59"/>
  <c r="Q327" i="59"/>
  <c r="P327" i="59"/>
  <c r="O327" i="59"/>
  <c r="N327" i="59"/>
  <c r="M327" i="59"/>
  <c r="L327" i="59"/>
  <c r="T326" i="59"/>
  <c r="S326" i="59"/>
  <c r="R326" i="59"/>
  <c r="Q326" i="59"/>
  <c r="P326" i="59"/>
  <c r="O326" i="59"/>
  <c r="N326" i="59"/>
  <c r="M326" i="59"/>
  <c r="L326" i="59"/>
  <c r="T325" i="59"/>
  <c r="S325" i="59"/>
  <c r="R325" i="59"/>
  <c r="Q325" i="59"/>
  <c r="P325" i="59"/>
  <c r="O325" i="59"/>
  <c r="N325" i="59"/>
  <c r="M325" i="59"/>
  <c r="L325" i="59"/>
  <c r="T324" i="59"/>
  <c r="S324" i="59"/>
  <c r="R324" i="59"/>
  <c r="Q324" i="59"/>
  <c r="P324" i="59"/>
  <c r="O324" i="59"/>
  <c r="N324" i="59"/>
  <c r="M324" i="59"/>
  <c r="L324" i="59"/>
  <c r="T323" i="59"/>
  <c r="S323" i="59"/>
  <c r="R323" i="59"/>
  <c r="Q323" i="59"/>
  <c r="P323" i="59"/>
  <c r="O323" i="59"/>
  <c r="N323" i="59"/>
  <c r="M323" i="59"/>
  <c r="L323" i="59"/>
  <c r="T322" i="59"/>
  <c r="S322" i="59"/>
  <c r="R322" i="59"/>
  <c r="Q322" i="59"/>
  <c r="P322" i="59"/>
  <c r="O322" i="59"/>
  <c r="N322" i="59"/>
  <c r="M322" i="59"/>
  <c r="L322" i="59"/>
  <c r="T321" i="59"/>
  <c r="S321" i="59"/>
  <c r="R321" i="59"/>
  <c r="Q321" i="59"/>
  <c r="P321" i="59"/>
  <c r="O321" i="59"/>
  <c r="N321" i="59"/>
  <c r="M321" i="59"/>
  <c r="L321" i="59"/>
  <c r="S642" i="58"/>
  <c r="T642" i="58" s="1"/>
  <c r="S641" i="58"/>
  <c r="T641" i="58" s="1"/>
  <c r="S640" i="58"/>
  <c r="T640" i="58" s="1"/>
  <c r="S639" i="58"/>
  <c r="T639" i="58" s="1"/>
  <c r="S638" i="58"/>
  <c r="T638" i="58" s="1"/>
  <c r="S637" i="58"/>
  <c r="T637" i="58" s="1"/>
  <c r="S636" i="58"/>
  <c r="T636" i="58" s="1"/>
  <c r="S635" i="58"/>
  <c r="T635" i="58" s="1"/>
  <c r="S629" i="58" a="1"/>
  <c r="S634" i="58" s="1"/>
  <c r="T634" i="58" s="1"/>
  <c r="U309" i="58"/>
  <c r="T309" i="58"/>
  <c r="S309" i="58"/>
  <c r="R309" i="58"/>
  <c r="Q309" i="58"/>
  <c r="P309" i="58"/>
  <c r="O309" i="58"/>
  <c r="N309" i="58"/>
  <c r="M309" i="58"/>
  <c r="U308" i="58"/>
  <c r="T308" i="58"/>
  <c r="S308" i="58"/>
  <c r="R308" i="58"/>
  <c r="Q308" i="58"/>
  <c r="P308" i="58"/>
  <c r="O308" i="58"/>
  <c r="N308" i="58"/>
  <c r="M308" i="58"/>
  <c r="U307" i="58"/>
  <c r="T307" i="58"/>
  <c r="S307" i="58"/>
  <c r="R307" i="58"/>
  <c r="Q307" i="58"/>
  <c r="P307" i="58"/>
  <c r="O307" i="58"/>
  <c r="N307" i="58"/>
  <c r="M307" i="58"/>
  <c r="U306" i="58"/>
  <c r="T306" i="58"/>
  <c r="S306" i="58"/>
  <c r="R306" i="58"/>
  <c r="Q306" i="58"/>
  <c r="P306" i="58"/>
  <c r="O306" i="58"/>
  <c r="N306" i="58"/>
  <c r="M306" i="58"/>
  <c r="U305" i="58"/>
  <c r="T305" i="58"/>
  <c r="S305" i="58"/>
  <c r="R305" i="58"/>
  <c r="Q305" i="58"/>
  <c r="P305" i="58"/>
  <c r="O305" i="58"/>
  <c r="N305" i="58"/>
  <c r="M305" i="58"/>
  <c r="U304" i="58"/>
  <c r="T304" i="58"/>
  <c r="S304" i="58"/>
  <c r="R304" i="58"/>
  <c r="Q304" i="58"/>
  <c r="P304" i="58"/>
  <c r="O304" i="58"/>
  <c r="N304" i="58"/>
  <c r="M304" i="58"/>
  <c r="U303" i="58"/>
  <c r="T303" i="58"/>
  <c r="S303" i="58"/>
  <c r="R303" i="58"/>
  <c r="Q303" i="58"/>
  <c r="P303" i="58"/>
  <c r="O303" i="58"/>
  <c r="N303" i="58"/>
  <c r="M303" i="58"/>
  <c r="U302" i="58"/>
  <c r="T302" i="58"/>
  <c r="S302" i="58"/>
  <c r="R302" i="58"/>
  <c r="Q302" i="58"/>
  <c r="P302" i="58"/>
  <c r="O302" i="58"/>
  <c r="N302" i="58"/>
  <c r="M302" i="58"/>
  <c r="U301" i="58"/>
  <c r="T301" i="58"/>
  <c r="S301" i="58"/>
  <c r="R301" i="58"/>
  <c r="Q301" i="58"/>
  <c r="P301" i="58"/>
  <c r="O301" i="58"/>
  <c r="N301" i="58"/>
  <c r="M301" i="58"/>
  <c r="U300" i="58"/>
  <c r="T300" i="58"/>
  <c r="S300" i="58"/>
  <c r="R300" i="58"/>
  <c r="Q300" i="58"/>
  <c r="P300" i="58"/>
  <c r="O300" i="58"/>
  <c r="N300" i="58"/>
  <c r="M300" i="58"/>
  <c r="U299" i="58"/>
  <c r="T299" i="58"/>
  <c r="S299" i="58"/>
  <c r="R299" i="58"/>
  <c r="Q299" i="58"/>
  <c r="P299" i="58"/>
  <c r="O299" i="58"/>
  <c r="N299" i="58"/>
  <c r="M299" i="58"/>
  <c r="U298" i="58"/>
  <c r="T298" i="58"/>
  <c r="S298" i="58"/>
  <c r="R298" i="58"/>
  <c r="Q298" i="58"/>
  <c r="P298" i="58"/>
  <c r="O298" i="58"/>
  <c r="N298" i="58"/>
  <c r="M298" i="58"/>
  <c r="U297" i="58"/>
  <c r="T297" i="58"/>
  <c r="S297" i="58"/>
  <c r="R297" i="58"/>
  <c r="Q297" i="58"/>
  <c r="P297" i="58"/>
  <c r="O297" i="58"/>
  <c r="N297" i="58"/>
  <c r="M297" i="58"/>
  <c r="U296" i="58"/>
  <c r="T296" i="58"/>
  <c r="S296" i="58"/>
  <c r="R296" i="58"/>
  <c r="Q296" i="58"/>
  <c r="P296" i="58"/>
  <c r="O296" i="58"/>
  <c r="N296" i="58"/>
  <c r="M296" i="58"/>
  <c r="T273" i="58"/>
  <c r="S273" i="58"/>
  <c r="R273" i="58"/>
  <c r="Q273" i="58"/>
  <c r="P273" i="58"/>
  <c r="O273" i="58"/>
  <c r="N273" i="58"/>
  <c r="M273" i="58"/>
  <c r="L273" i="58"/>
  <c r="T272" i="58"/>
  <c r="S272" i="58"/>
  <c r="R272" i="58"/>
  <c r="Q272" i="58"/>
  <c r="P272" i="58"/>
  <c r="O272" i="58"/>
  <c r="N272" i="58"/>
  <c r="M272" i="58"/>
  <c r="L272" i="58"/>
  <c r="T271" i="58"/>
  <c r="S271" i="58"/>
  <c r="R271" i="58"/>
  <c r="Q271" i="58"/>
  <c r="P271" i="58"/>
  <c r="O271" i="58"/>
  <c r="N271" i="58"/>
  <c r="M271" i="58"/>
  <c r="L271" i="58"/>
  <c r="T270" i="58"/>
  <c r="S270" i="58"/>
  <c r="R270" i="58"/>
  <c r="Q270" i="58"/>
  <c r="P270" i="58"/>
  <c r="O270" i="58"/>
  <c r="N270" i="58"/>
  <c r="M270" i="58"/>
  <c r="L270" i="58"/>
  <c r="T269" i="58"/>
  <c r="S269" i="58"/>
  <c r="R269" i="58"/>
  <c r="Q269" i="58"/>
  <c r="P269" i="58"/>
  <c r="O269" i="58"/>
  <c r="N269" i="58"/>
  <c r="M269" i="58"/>
  <c r="L269" i="58"/>
  <c r="T268" i="58"/>
  <c r="S268" i="58"/>
  <c r="R268" i="58"/>
  <c r="Q268" i="58"/>
  <c r="P268" i="58"/>
  <c r="O268" i="58"/>
  <c r="N268" i="58"/>
  <c r="M268" i="58"/>
  <c r="L268" i="58"/>
  <c r="T267" i="58"/>
  <c r="S267" i="58"/>
  <c r="R267" i="58"/>
  <c r="Q267" i="58"/>
  <c r="P267" i="58"/>
  <c r="O267" i="58"/>
  <c r="N267" i="58"/>
  <c r="M267" i="58"/>
  <c r="L267" i="58"/>
  <c r="T266" i="58"/>
  <c r="S266" i="58"/>
  <c r="R266" i="58"/>
  <c r="Q266" i="58"/>
  <c r="P266" i="58"/>
  <c r="O266" i="58"/>
  <c r="N266" i="58"/>
  <c r="M266" i="58"/>
  <c r="L266" i="58"/>
  <c r="T265" i="58"/>
  <c r="S265" i="58"/>
  <c r="R265" i="58"/>
  <c r="Q265" i="58"/>
  <c r="P265" i="58"/>
  <c r="O265" i="58"/>
  <c r="N265" i="58"/>
  <c r="M265" i="58"/>
  <c r="L265" i="58"/>
  <c r="T264" i="58"/>
  <c r="S264" i="58"/>
  <c r="R264" i="58"/>
  <c r="Q264" i="58"/>
  <c r="P264" i="58"/>
  <c r="O264" i="58"/>
  <c r="N264" i="58"/>
  <c r="M264" i="58"/>
  <c r="L264" i="58"/>
  <c r="T263" i="58"/>
  <c r="S263" i="58"/>
  <c r="R263" i="58"/>
  <c r="Q263" i="58"/>
  <c r="P263" i="58"/>
  <c r="O263" i="58"/>
  <c r="N263" i="58"/>
  <c r="M263" i="58"/>
  <c r="L263" i="58"/>
  <c r="T262" i="58"/>
  <c r="S262" i="58"/>
  <c r="R262" i="58"/>
  <c r="Q262" i="58"/>
  <c r="P262" i="58"/>
  <c r="O262" i="58"/>
  <c r="N262" i="58"/>
  <c r="M262" i="58"/>
  <c r="L262" i="58"/>
  <c r="T261" i="58"/>
  <c r="S261" i="58"/>
  <c r="R261" i="58"/>
  <c r="Q261" i="58"/>
  <c r="P261" i="58"/>
  <c r="O261" i="58"/>
  <c r="N261" i="58"/>
  <c r="M261" i="58"/>
  <c r="L261" i="58"/>
  <c r="T260" i="58"/>
  <c r="S260" i="58"/>
  <c r="R260" i="58"/>
  <c r="Q260" i="58"/>
  <c r="P260" i="58"/>
  <c r="O260" i="58"/>
  <c r="N260" i="58"/>
  <c r="M260" i="58"/>
  <c r="L260" i="58"/>
  <c r="T129" i="58"/>
  <c r="S129" i="58"/>
  <c r="R129" i="58"/>
  <c r="Q129" i="58"/>
  <c r="P129" i="58"/>
  <c r="O129" i="58"/>
  <c r="N129" i="58"/>
  <c r="M129" i="58"/>
  <c r="L129" i="58"/>
  <c r="T128" i="58"/>
  <c r="S128" i="58"/>
  <c r="R128" i="58"/>
  <c r="Q128" i="58"/>
  <c r="P128" i="58"/>
  <c r="O128" i="58"/>
  <c r="N128" i="58"/>
  <c r="M128" i="58"/>
  <c r="L128" i="58"/>
  <c r="T127" i="58"/>
  <c r="S127" i="58"/>
  <c r="R127" i="58"/>
  <c r="Q127" i="58"/>
  <c r="P127" i="58"/>
  <c r="O127" i="58"/>
  <c r="N127" i="58"/>
  <c r="M127" i="58"/>
  <c r="L127" i="58"/>
  <c r="T126" i="58"/>
  <c r="S126" i="58"/>
  <c r="R126" i="58"/>
  <c r="Q126" i="58"/>
  <c r="P126" i="58"/>
  <c r="O126" i="58"/>
  <c r="N126" i="58"/>
  <c r="M126" i="58"/>
  <c r="L126" i="58"/>
  <c r="T125" i="58"/>
  <c r="S125" i="58"/>
  <c r="R125" i="58"/>
  <c r="Q125" i="58"/>
  <c r="P125" i="58"/>
  <c r="O125" i="58"/>
  <c r="N125" i="58"/>
  <c r="M125" i="58"/>
  <c r="L125" i="58"/>
  <c r="T124" i="58"/>
  <c r="S124" i="58"/>
  <c r="R124" i="58"/>
  <c r="Q124" i="58"/>
  <c r="P124" i="58"/>
  <c r="O124" i="58"/>
  <c r="N124" i="58"/>
  <c r="M124" i="58"/>
  <c r="L124" i="58"/>
  <c r="T123" i="58"/>
  <c r="S123" i="58"/>
  <c r="R123" i="58"/>
  <c r="Q123" i="58"/>
  <c r="P123" i="58"/>
  <c r="O123" i="58"/>
  <c r="N123" i="58"/>
  <c r="M123" i="58"/>
  <c r="L123" i="58"/>
  <c r="T122" i="58"/>
  <c r="S122" i="58"/>
  <c r="R122" i="58"/>
  <c r="Q122" i="58"/>
  <c r="P122" i="58"/>
  <c r="O122" i="58"/>
  <c r="N122" i="58"/>
  <c r="M122" i="58"/>
  <c r="L122" i="58"/>
  <c r="T121" i="58"/>
  <c r="S121" i="58"/>
  <c r="R121" i="58"/>
  <c r="Q121" i="58"/>
  <c r="P121" i="58"/>
  <c r="O121" i="58"/>
  <c r="N121" i="58"/>
  <c r="M121" i="58"/>
  <c r="L121" i="58"/>
  <c r="T120" i="58"/>
  <c r="S120" i="58"/>
  <c r="R120" i="58"/>
  <c r="Q120" i="58"/>
  <c r="P120" i="58"/>
  <c r="O120" i="58"/>
  <c r="N120" i="58"/>
  <c r="M120" i="58"/>
  <c r="L120" i="58"/>
  <c r="T119" i="58"/>
  <c r="S119" i="58"/>
  <c r="R119" i="58"/>
  <c r="Q119" i="58"/>
  <c r="P119" i="58"/>
  <c r="O119" i="58"/>
  <c r="N119" i="58"/>
  <c r="M119" i="58"/>
  <c r="L119" i="58"/>
  <c r="T118" i="58"/>
  <c r="S118" i="58"/>
  <c r="R118" i="58"/>
  <c r="Q118" i="58"/>
  <c r="P118" i="58"/>
  <c r="O118" i="58"/>
  <c r="N118" i="58"/>
  <c r="M118" i="58"/>
  <c r="L118" i="58"/>
  <c r="T117" i="58"/>
  <c r="S117" i="58"/>
  <c r="R117" i="58"/>
  <c r="Q117" i="58"/>
  <c r="P117" i="58"/>
  <c r="O117" i="58"/>
  <c r="N117" i="58"/>
  <c r="M117" i="58"/>
  <c r="L117" i="58"/>
  <c r="T116" i="58"/>
  <c r="S116" i="58"/>
  <c r="R116" i="58"/>
  <c r="Q116" i="58"/>
  <c r="P116" i="58"/>
  <c r="O116" i="58"/>
  <c r="N116" i="58"/>
  <c r="M116" i="58"/>
  <c r="L116" i="58"/>
  <c r="T129" i="57"/>
  <c r="S129" i="57"/>
  <c r="R129" i="57"/>
  <c r="Q129" i="57"/>
  <c r="P129" i="57"/>
  <c r="O129" i="57"/>
  <c r="N129" i="57"/>
  <c r="M129" i="57"/>
  <c r="L129" i="57"/>
  <c r="T128" i="57"/>
  <c r="S128" i="57"/>
  <c r="R128" i="57"/>
  <c r="Q128" i="57"/>
  <c r="P128" i="57"/>
  <c r="O128" i="57"/>
  <c r="N128" i="57"/>
  <c r="M128" i="57"/>
  <c r="L128" i="57"/>
  <c r="T127" i="57"/>
  <c r="S127" i="57"/>
  <c r="R127" i="57"/>
  <c r="Q127" i="57"/>
  <c r="P127" i="57"/>
  <c r="O127" i="57"/>
  <c r="N127" i="57"/>
  <c r="M127" i="57"/>
  <c r="L127" i="57"/>
  <c r="T126" i="57"/>
  <c r="S126" i="57"/>
  <c r="R126" i="57"/>
  <c r="Q126" i="57"/>
  <c r="P126" i="57"/>
  <c r="O126" i="57"/>
  <c r="N126" i="57"/>
  <c r="M126" i="57"/>
  <c r="L126" i="57"/>
  <c r="T125" i="57"/>
  <c r="S125" i="57"/>
  <c r="R125" i="57"/>
  <c r="Q125" i="57"/>
  <c r="P125" i="57"/>
  <c r="O125" i="57"/>
  <c r="N125" i="57"/>
  <c r="M125" i="57"/>
  <c r="L125" i="57"/>
  <c r="T124" i="57"/>
  <c r="S124" i="57"/>
  <c r="R124" i="57"/>
  <c r="Q124" i="57"/>
  <c r="P124" i="57"/>
  <c r="O124" i="57"/>
  <c r="N124" i="57"/>
  <c r="M124" i="57"/>
  <c r="L124" i="57"/>
  <c r="T123" i="57"/>
  <c r="S123" i="57"/>
  <c r="R123" i="57"/>
  <c r="Q123" i="57"/>
  <c r="P123" i="57"/>
  <c r="O123" i="57"/>
  <c r="N123" i="57"/>
  <c r="M123" i="57"/>
  <c r="L123" i="57"/>
  <c r="T122" i="57"/>
  <c r="S122" i="57"/>
  <c r="R122" i="57"/>
  <c r="Q122" i="57"/>
  <c r="P122" i="57"/>
  <c r="O122" i="57"/>
  <c r="N122" i="57"/>
  <c r="M122" i="57"/>
  <c r="L122" i="57"/>
  <c r="T121" i="57"/>
  <c r="S121" i="57"/>
  <c r="R121" i="57"/>
  <c r="Q121" i="57"/>
  <c r="P121" i="57"/>
  <c r="O121" i="57"/>
  <c r="N121" i="57"/>
  <c r="M121" i="57"/>
  <c r="L121" i="57"/>
  <c r="T120" i="57"/>
  <c r="S120" i="57"/>
  <c r="R120" i="57"/>
  <c r="Q120" i="57"/>
  <c r="P120" i="57"/>
  <c r="O120" i="57"/>
  <c r="N120" i="57"/>
  <c r="M120" i="57"/>
  <c r="L120" i="57"/>
  <c r="T119" i="57"/>
  <c r="S119" i="57"/>
  <c r="R119" i="57"/>
  <c r="Q119" i="57"/>
  <c r="P119" i="57"/>
  <c r="O119" i="57"/>
  <c r="N119" i="57"/>
  <c r="M119" i="57"/>
  <c r="L119" i="57"/>
  <c r="T118" i="57"/>
  <c r="S118" i="57"/>
  <c r="R118" i="57"/>
  <c r="Q118" i="57"/>
  <c r="P118" i="57"/>
  <c r="O118" i="57"/>
  <c r="N118" i="57"/>
  <c r="M118" i="57"/>
  <c r="L118" i="57"/>
  <c r="T117" i="57"/>
  <c r="S117" i="57"/>
  <c r="R117" i="57"/>
  <c r="Q117" i="57"/>
  <c r="P117" i="57"/>
  <c r="O117" i="57"/>
  <c r="N117" i="57"/>
  <c r="M117" i="57"/>
  <c r="L117" i="57"/>
  <c r="T116" i="57"/>
  <c r="S116" i="57"/>
  <c r="R116" i="57"/>
  <c r="Q116" i="57"/>
  <c r="P116" i="57"/>
  <c r="O116" i="57"/>
  <c r="N116" i="57"/>
  <c r="M116" i="57"/>
  <c r="L116" i="57"/>
  <c r="T273" i="57"/>
  <c r="S273" i="57"/>
  <c r="R273" i="57"/>
  <c r="Q273" i="57"/>
  <c r="P273" i="57"/>
  <c r="O273" i="57"/>
  <c r="N273" i="57"/>
  <c r="M273" i="57"/>
  <c r="L273" i="57"/>
  <c r="T272" i="57"/>
  <c r="S272" i="57"/>
  <c r="R272" i="57"/>
  <c r="Q272" i="57"/>
  <c r="P272" i="57"/>
  <c r="O272" i="57"/>
  <c r="N272" i="57"/>
  <c r="M272" i="57"/>
  <c r="L272" i="57"/>
  <c r="T271" i="57"/>
  <c r="S271" i="57"/>
  <c r="R271" i="57"/>
  <c r="Q271" i="57"/>
  <c r="P271" i="57"/>
  <c r="O271" i="57"/>
  <c r="N271" i="57"/>
  <c r="M271" i="57"/>
  <c r="L271" i="57"/>
  <c r="T270" i="57"/>
  <c r="S270" i="57"/>
  <c r="R270" i="57"/>
  <c r="Q270" i="57"/>
  <c r="P270" i="57"/>
  <c r="O270" i="57"/>
  <c r="N270" i="57"/>
  <c r="M270" i="57"/>
  <c r="L270" i="57"/>
  <c r="T269" i="57"/>
  <c r="S269" i="57"/>
  <c r="R269" i="57"/>
  <c r="Q269" i="57"/>
  <c r="P269" i="57"/>
  <c r="O269" i="57"/>
  <c r="N269" i="57"/>
  <c r="M269" i="57"/>
  <c r="L269" i="57"/>
  <c r="T268" i="57"/>
  <c r="S268" i="57"/>
  <c r="R268" i="57"/>
  <c r="Q268" i="57"/>
  <c r="P268" i="57"/>
  <c r="O268" i="57"/>
  <c r="N268" i="57"/>
  <c r="M268" i="57"/>
  <c r="L268" i="57"/>
  <c r="T267" i="57"/>
  <c r="S267" i="57"/>
  <c r="R267" i="57"/>
  <c r="Q267" i="57"/>
  <c r="P267" i="57"/>
  <c r="O267" i="57"/>
  <c r="N267" i="57"/>
  <c r="M267" i="57"/>
  <c r="L267" i="57"/>
  <c r="T266" i="57"/>
  <c r="S266" i="57"/>
  <c r="R266" i="57"/>
  <c r="Q266" i="57"/>
  <c r="P266" i="57"/>
  <c r="O266" i="57"/>
  <c r="N266" i="57"/>
  <c r="M266" i="57"/>
  <c r="L266" i="57"/>
  <c r="T265" i="57"/>
  <c r="S265" i="57"/>
  <c r="R265" i="57"/>
  <c r="Q265" i="57"/>
  <c r="P265" i="57"/>
  <c r="O265" i="57"/>
  <c r="N265" i="57"/>
  <c r="M265" i="57"/>
  <c r="L265" i="57"/>
  <c r="T264" i="57"/>
  <c r="S264" i="57"/>
  <c r="R264" i="57"/>
  <c r="Q264" i="57"/>
  <c r="P264" i="57"/>
  <c r="O264" i="57"/>
  <c r="N264" i="57"/>
  <c r="M264" i="57"/>
  <c r="L264" i="57"/>
  <c r="T263" i="57"/>
  <c r="S263" i="57"/>
  <c r="R263" i="57"/>
  <c r="Q263" i="57"/>
  <c r="P263" i="57"/>
  <c r="O263" i="57"/>
  <c r="N263" i="57"/>
  <c r="M263" i="57"/>
  <c r="L263" i="57"/>
  <c r="T262" i="57"/>
  <c r="S262" i="57"/>
  <c r="R262" i="57"/>
  <c r="Q262" i="57"/>
  <c r="P262" i="57"/>
  <c r="O262" i="57"/>
  <c r="N262" i="57"/>
  <c r="M262" i="57"/>
  <c r="L262" i="57"/>
  <c r="T261" i="57"/>
  <c r="S261" i="57"/>
  <c r="R261" i="57"/>
  <c r="Q261" i="57"/>
  <c r="P261" i="57"/>
  <c r="O261" i="57"/>
  <c r="N261" i="57"/>
  <c r="M261" i="57"/>
  <c r="L261" i="57"/>
  <c r="T260" i="57"/>
  <c r="S260" i="57"/>
  <c r="R260" i="57"/>
  <c r="Q260" i="57"/>
  <c r="P260" i="57"/>
  <c r="O260" i="57"/>
  <c r="N260" i="57"/>
  <c r="M260" i="57"/>
  <c r="L260" i="57"/>
  <c r="U309" i="57"/>
  <c r="T309" i="57"/>
  <c r="S309" i="57"/>
  <c r="R309" i="57"/>
  <c r="Q309" i="57"/>
  <c r="P309" i="57"/>
  <c r="O309" i="57"/>
  <c r="N309" i="57"/>
  <c r="M309" i="57"/>
  <c r="U308" i="57"/>
  <c r="T308" i="57"/>
  <c r="S308" i="57"/>
  <c r="R308" i="57"/>
  <c r="Q308" i="57"/>
  <c r="P308" i="57"/>
  <c r="O308" i="57"/>
  <c r="N308" i="57"/>
  <c r="M308" i="57"/>
  <c r="U307" i="57"/>
  <c r="T307" i="57"/>
  <c r="S307" i="57"/>
  <c r="R307" i="57"/>
  <c r="Q307" i="57"/>
  <c r="P307" i="57"/>
  <c r="O307" i="57"/>
  <c r="N307" i="57"/>
  <c r="M307" i="57"/>
  <c r="U306" i="57"/>
  <c r="T306" i="57"/>
  <c r="S306" i="57"/>
  <c r="R306" i="57"/>
  <c r="Q306" i="57"/>
  <c r="P306" i="57"/>
  <c r="O306" i="57"/>
  <c r="N306" i="57"/>
  <c r="M306" i="57"/>
  <c r="U305" i="57"/>
  <c r="T305" i="57"/>
  <c r="S305" i="57"/>
  <c r="R305" i="57"/>
  <c r="Q305" i="57"/>
  <c r="P305" i="57"/>
  <c r="O305" i="57"/>
  <c r="N305" i="57"/>
  <c r="M305" i="57"/>
  <c r="U304" i="57"/>
  <c r="T304" i="57"/>
  <c r="S304" i="57"/>
  <c r="R304" i="57"/>
  <c r="Q304" i="57"/>
  <c r="P304" i="57"/>
  <c r="O304" i="57"/>
  <c r="N304" i="57"/>
  <c r="M304" i="57"/>
  <c r="U303" i="57"/>
  <c r="T303" i="57"/>
  <c r="S303" i="57"/>
  <c r="R303" i="57"/>
  <c r="Q303" i="57"/>
  <c r="P303" i="57"/>
  <c r="O303" i="57"/>
  <c r="N303" i="57"/>
  <c r="M303" i="57"/>
  <c r="U302" i="57"/>
  <c r="T302" i="57"/>
  <c r="S302" i="57"/>
  <c r="R302" i="57"/>
  <c r="Q302" i="57"/>
  <c r="P302" i="57"/>
  <c r="O302" i="57"/>
  <c r="N302" i="57"/>
  <c r="M302" i="57"/>
  <c r="U301" i="57"/>
  <c r="T301" i="57"/>
  <c r="S301" i="57"/>
  <c r="R301" i="57"/>
  <c r="Q301" i="57"/>
  <c r="P301" i="57"/>
  <c r="O301" i="57"/>
  <c r="N301" i="57"/>
  <c r="M301" i="57"/>
  <c r="U300" i="57"/>
  <c r="T300" i="57"/>
  <c r="S300" i="57"/>
  <c r="R300" i="57"/>
  <c r="Q300" i="57"/>
  <c r="P300" i="57"/>
  <c r="O300" i="57"/>
  <c r="N300" i="57"/>
  <c r="M300" i="57"/>
  <c r="U299" i="57"/>
  <c r="T299" i="57"/>
  <c r="S299" i="57"/>
  <c r="R299" i="57"/>
  <c r="Q299" i="57"/>
  <c r="P299" i="57"/>
  <c r="O299" i="57"/>
  <c r="N299" i="57"/>
  <c r="M299" i="57"/>
  <c r="U298" i="57"/>
  <c r="T298" i="57"/>
  <c r="S298" i="57"/>
  <c r="R298" i="57"/>
  <c r="Q298" i="57"/>
  <c r="P298" i="57"/>
  <c r="O298" i="57"/>
  <c r="N298" i="57"/>
  <c r="M298" i="57"/>
  <c r="U297" i="57"/>
  <c r="T297" i="57"/>
  <c r="S297" i="57"/>
  <c r="R297" i="57"/>
  <c r="Q297" i="57"/>
  <c r="P297" i="57"/>
  <c r="O297" i="57"/>
  <c r="N297" i="57"/>
  <c r="M297" i="57"/>
  <c r="U296" i="57"/>
  <c r="T296" i="57"/>
  <c r="S296" i="57"/>
  <c r="R296" i="57"/>
  <c r="Q296" i="57"/>
  <c r="P296" i="57"/>
  <c r="O296" i="57"/>
  <c r="N296" i="57"/>
  <c r="M296" i="57"/>
  <c r="S636" i="57"/>
  <c r="T636" i="57" s="1"/>
  <c r="S635" i="57"/>
  <c r="T635" i="57" s="1"/>
  <c r="S634" i="57"/>
  <c r="T634" i="57" s="1"/>
  <c r="S633" i="57"/>
  <c r="T633" i="57" s="1"/>
  <c r="S632" i="57"/>
  <c r="T632" i="57" s="1"/>
  <c r="S631" i="57"/>
  <c r="T631" i="57" s="1"/>
  <c r="S630" i="57"/>
  <c r="T630" i="57" s="1"/>
  <c r="S629" i="57"/>
  <c r="T629" i="57" s="1"/>
  <c r="S629" i="57" a="1"/>
  <c r="S641" i="57" s="1"/>
  <c r="T641" i="57" s="1"/>
  <c r="S629" i="56" a="1"/>
  <c r="S640" i="56" s="1"/>
  <c r="T640" i="56" s="1"/>
  <c r="U309" i="56"/>
  <c r="T309" i="56"/>
  <c r="S309" i="56"/>
  <c r="R309" i="56"/>
  <c r="Q309" i="56"/>
  <c r="P309" i="56"/>
  <c r="O309" i="56"/>
  <c r="N309" i="56"/>
  <c r="M309" i="56"/>
  <c r="U308" i="56"/>
  <c r="T308" i="56"/>
  <c r="S308" i="56"/>
  <c r="R308" i="56"/>
  <c r="Q308" i="56"/>
  <c r="P308" i="56"/>
  <c r="O308" i="56"/>
  <c r="N308" i="56"/>
  <c r="M308" i="56"/>
  <c r="U307" i="56"/>
  <c r="T307" i="56"/>
  <c r="S307" i="56"/>
  <c r="R307" i="56"/>
  <c r="Q307" i="56"/>
  <c r="P307" i="56"/>
  <c r="O307" i="56"/>
  <c r="N307" i="56"/>
  <c r="M307" i="56"/>
  <c r="U306" i="56"/>
  <c r="T306" i="56"/>
  <c r="S306" i="56"/>
  <c r="R306" i="56"/>
  <c r="Q306" i="56"/>
  <c r="P306" i="56"/>
  <c r="O306" i="56"/>
  <c r="N306" i="56"/>
  <c r="M306" i="56"/>
  <c r="U305" i="56"/>
  <c r="T305" i="56"/>
  <c r="S305" i="56"/>
  <c r="R305" i="56"/>
  <c r="Q305" i="56"/>
  <c r="P305" i="56"/>
  <c r="O305" i="56"/>
  <c r="N305" i="56"/>
  <c r="M305" i="56"/>
  <c r="U304" i="56"/>
  <c r="T304" i="56"/>
  <c r="S304" i="56"/>
  <c r="R304" i="56"/>
  <c r="Q304" i="56"/>
  <c r="P304" i="56"/>
  <c r="O304" i="56"/>
  <c r="N304" i="56"/>
  <c r="M304" i="56"/>
  <c r="U303" i="56"/>
  <c r="T303" i="56"/>
  <c r="S303" i="56"/>
  <c r="R303" i="56"/>
  <c r="Q303" i="56"/>
  <c r="P303" i="56"/>
  <c r="O303" i="56"/>
  <c r="N303" i="56"/>
  <c r="M303" i="56"/>
  <c r="U302" i="56"/>
  <c r="T302" i="56"/>
  <c r="S302" i="56"/>
  <c r="R302" i="56"/>
  <c r="Q302" i="56"/>
  <c r="P302" i="56"/>
  <c r="O302" i="56"/>
  <c r="N302" i="56"/>
  <c r="M302" i="56"/>
  <c r="U301" i="56"/>
  <c r="T301" i="56"/>
  <c r="S301" i="56"/>
  <c r="R301" i="56"/>
  <c r="Q301" i="56"/>
  <c r="P301" i="56"/>
  <c r="O301" i="56"/>
  <c r="N301" i="56"/>
  <c r="M301" i="56"/>
  <c r="U300" i="56"/>
  <c r="T300" i="56"/>
  <c r="S300" i="56"/>
  <c r="R300" i="56"/>
  <c r="Q300" i="56"/>
  <c r="P300" i="56"/>
  <c r="O300" i="56"/>
  <c r="N300" i="56"/>
  <c r="M300" i="56"/>
  <c r="U299" i="56"/>
  <c r="T299" i="56"/>
  <c r="S299" i="56"/>
  <c r="R299" i="56"/>
  <c r="Q299" i="56"/>
  <c r="P299" i="56"/>
  <c r="O299" i="56"/>
  <c r="N299" i="56"/>
  <c r="M299" i="56"/>
  <c r="U298" i="56"/>
  <c r="T298" i="56"/>
  <c r="S298" i="56"/>
  <c r="R298" i="56"/>
  <c r="Q298" i="56"/>
  <c r="P298" i="56"/>
  <c r="O298" i="56"/>
  <c r="N298" i="56"/>
  <c r="M298" i="56"/>
  <c r="U297" i="56"/>
  <c r="T297" i="56"/>
  <c r="S297" i="56"/>
  <c r="R297" i="56"/>
  <c r="Q297" i="56"/>
  <c r="P297" i="56"/>
  <c r="O297" i="56"/>
  <c r="N297" i="56"/>
  <c r="M297" i="56"/>
  <c r="U296" i="56"/>
  <c r="T296" i="56"/>
  <c r="S296" i="56"/>
  <c r="R296" i="56"/>
  <c r="Q296" i="56"/>
  <c r="P296" i="56"/>
  <c r="O296" i="56"/>
  <c r="N296" i="56"/>
  <c r="M296" i="56"/>
  <c r="T273" i="56"/>
  <c r="S273" i="56"/>
  <c r="R273" i="56"/>
  <c r="Q273" i="56"/>
  <c r="P273" i="56"/>
  <c r="O273" i="56"/>
  <c r="N273" i="56"/>
  <c r="M273" i="56"/>
  <c r="L273" i="56"/>
  <c r="T272" i="56"/>
  <c r="S272" i="56"/>
  <c r="R272" i="56"/>
  <c r="Q272" i="56"/>
  <c r="P272" i="56"/>
  <c r="O272" i="56"/>
  <c r="N272" i="56"/>
  <c r="M272" i="56"/>
  <c r="L272" i="56"/>
  <c r="T271" i="56"/>
  <c r="S271" i="56"/>
  <c r="R271" i="56"/>
  <c r="Q271" i="56"/>
  <c r="P271" i="56"/>
  <c r="O271" i="56"/>
  <c r="N271" i="56"/>
  <c r="M271" i="56"/>
  <c r="L271" i="56"/>
  <c r="T270" i="56"/>
  <c r="S270" i="56"/>
  <c r="R270" i="56"/>
  <c r="Q270" i="56"/>
  <c r="P270" i="56"/>
  <c r="O270" i="56"/>
  <c r="N270" i="56"/>
  <c r="M270" i="56"/>
  <c r="L270" i="56"/>
  <c r="T269" i="56"/>
  <c r="S269" i="56"/>
  <c r="R269" i="56"/>
  <c r="Q269" i="56"/>
  <c r="P269" i="56"/>
  <c r="O269" i="56"/>
  <c r="N269" i="56"/>
  <c r="M269" i="56"/>
  <c r="L269" i="56"/>
  <c r="T268" i="56"/>
  <c r="S268" i="56"/>
  <c r="R268" i="56"/>
  <c r="Q268" i="56"/>
  <c r="P268" i="56"/>
  <c r="O268" i="56"/>
  <c r="N268" i="56"/>
  <c r="M268" i="56"/>
  <c r="L268" i="56"/>
  <c r="T267" i="56"/>
  <c r="S267" i="56"/>
  <c r="R267" i="56"/>
  <c r="Q267" i="56"/>
  <c r="P267" i="56"/>
  <c r="O267" i="56"/>
  <c r="N267" i="56"/>
  <c r="M267" i="56"/>
  <c r="L267" i="56"/>
  <c r="T266" i="56"/>
  <c r="S266" i="56"/>
  <c r="R266" i="56"/>
  <c r="Q266" i="56"/>
  <c r="P266" i="56"/>
  <c r="O266" i="56"/>
  <c r="N266" i="56"/>
  <c r="M266" i="56"/>
  <c r="L266" i="56"/>
  <c r="T265" i="56"/>
  <c r="S265" i="56"/>
  <c r="R265" i="56"/>
  <c r="Q265" i="56"/>
  <c r="P265" i="56"/>
  <c r="O265" i="56"/>
  <c r="N265" i="56"/>
  <c r="M265" i="56"/>
  <c r="L265" i="56"/>
  <c r="T264" i="56"/>
  <c r="S264" i="56"/>
  <c r="R264" i="56"/>
  <c r="Q264" i="56"/>
  <c r="P264" i="56"/>
  <c r="O264" i="56"/>
  <c r="N264" i="56"/>
  <c r="M264" i="56"/>
  <c r="L264" i="56"/>
  <c r="T263" i="56"/>
  <c r="S263" i="56"/>
  <c r="R263" i="56"/>
  <c r="Q263" i="56"/>
  <c r="P263" i="56"/>
  <c r="O263" i="56"/>
  <c r="N263" i="56"/>
  <c r="M263" i="56"/>
  <c r="L263" i="56"/>
  <c r="T262" i="56"/>
  <c r="S262" i="56"/>
  <c r="R262" i="56"/>
  <c r="Q262" i="56"/>
  <c r="P262" i="56"/>
  <c r="O262" i="56"/>
  <c r="N262" i="56"/>
  <c r="M262" i="56"/>
  <c r="L262" i="56"/>
  <c r="T261" i="56"/>
  <c r="S261" i="56"/>
  <c r="R261" i="56"/>
  <c r="Q261" i="56"/>
  <c r="P261" i="56"/>
  <c r="O261" i="56"/>
  <c r="N261" i="56"/>
  <c r="M261" i="56"/>
  <c r="L261" i="56"/>
  <c r="T260" i="56"/>
  <c r="S260" i="56"/>
  <c r="R260" i="56"/>
  <c r="Q260" i="56"/>
  <c r="P260" i="56"/>
  <c r="O260" i="56"/>
  <c r="N260" i="56"/>
  <c r="M260" i="56"/>
  <c r="L260" i="56"/>
  <c r="T129" i="56"/>
  <c r="S129" i="56"/>
  <c r="R129" i="56"/>
  <c r="Q129" i="56"/>
  <c r="P129" i="56"/>
  <c r="O129" i="56"/>
  <c r="N129" i="56"/>
  <c r="M129" i="56"/>
  <c r="L129" i="56"/>
  <c r="T128" i="56"/>
  <c r="S128" i="56"/>
  <c r="R128" i="56"/>
  <c r="Q128" i="56"/>
  <c r="P128" i="56"/>
  <c r="O128" i="56"/>
  <c r="N128" i="56"/>
  <c r="M128" i="56"/>
  <c r="L128" i="56"/>
  <c r="T127" i="56"/>
  <c r="S127" i="56"/>
  <c r="R127" i="56"/>
  <c r="Q127" i="56"/>
  <c r="P127" i="56"/>
  <c r="O127" i="56"/>
  <c r="N127" i="56"/>
  <c r="M127" i="56"/>
  <c r="L127" i="56"/>
  <c r="T126" i="56"/>
  <c r="S126" i="56"/>
  <c r="R126" i="56"/>
  <c r="Q126" i="56"/>
  <c r="P126" i="56"/>
  <c r="O126" i="56"/>
  <c r="N126" i="56"/>
  <c r="M126" i="56"/>
  <c r="L126" i="56"/>
  <c r="T125" i="56"/>
  <c r="S125" i="56"/>
  <c r="R125" i="56"/>
  <c r="Q125" i="56"/>
  <c r="P125" i="56"/>
  <c r="O125" i="56"/>
  <c r="N125" i="56"/>
  <c r="M125" i="56"/>
  <c r="L125" i="56"/>
  <c r="T124" i="56"/>
  <c r="S124" i="56"/>
  <c r="R124" i="56"/>
  <c r="Q124" i="56"/>
  <c r="P124" i="56"/>
  <c r="O124" i="56"/>
  <c r="N124" i="56"/>
  <c r="M124" i="56"/>
  <c r="L124" i="56"/>
  <c r="T123" i="56"/>
  <c r="S123" i="56"/>
  <c r="R123" i="56"/>
  <c r="Q123" i="56"/>
  <c r="P123" i="56"/>
  <c r="O123" i="56"/>
  <c r="N123" i="56"/>
  <c r="M123" i="56"/>
  <c r="L123" i="56"/>
  <c r="T122" i="56"/>
  <c r="S122" i="56"/>
  <c r="R122" i="56"/>
  <c r="Q122" i="56"/>
  <c r="P122" i="56"/>
  <c r="O122" i="56"/>
  <c r="N122" i="56"/>
  <c r="M122" i="56"/>
  <c r="L122" i="56"/>
  <c r="T121" i="56"/>
  <c r="S121" i="56"/>
  <c r="R121" i="56"/>
  <c r="Q121" i="56"/>
  <c r="P121" i="56"/>
  <c r="O121" i="56"/>
  <c r="N121" i="56"/>
  <c r="M121" i="56"/>
  <c r="L121" i="56"/>
  <c r="T120" i="56"/>
  <c r="S120" i="56"/>
  <c r="R120" i="56"/>
  <c r="Q120" i="56"/>
  <c r="P120" i="56"/>
  <c r="O120" i="56"/>
  <c r="N120" i="56"/>
  <c r="M120" i="56"/>
  <c r="L120" i="56"/>
  <c r="T119" i="56"/>
  <c r="S119" i="56"/>
  <c r="R119" i="56"/>
  <c r="Q119" i="56"/>
  <c r="P119" i="56"/>
  <c r="O119" i="56"/>
  <c r="N119" i="56"/>
  <c r="M119" i="56"/>
  <c r="L119" i="56"/>
  <c r="T118" i="56"/>
  <c r="S118" i="56"/>
  <c r="R118" i="56"/>
  <c r="Q118" i="56"/>
  <c r="P118" i="56"/>
  <c r="O118" i="56"/>
  <c r="N118" i="56"/>
  <c r="M118" i="56"/>
  <c r="L118" i="56"/>
  <c r="T117" i="56"/>
  <c r="S117" i="56"/>
  <c r="R117" i="56"/>
  <c r="Q117" i="56"/>
  <c r="P117" i="56"/>
  <c r="O117" i="56"/>
  <c r="N117" i="56"/>
  <c r="M117" i="56"/>
  <c r="L117" i="56"/>
  <c r="T116" i="56"/>
  <c r="S116" i="56"/>
  <c r="R116" i="56"/>
  <c r="Q116" i="56"/>
  <c r="P116" i="56"/>
  <c r="O116" i="56"/>
  <c r="N116" i="56"/>
  <c r="M116" i="56"/>
  <c r="L116" i="56"/>
  <c r="C13" i="55"/>
  <c r="L10" i="55"/>
  <c r="G10" i="55"/>
  <c r="J10" i="55" s="1"/>
  <c r="L9" i="55"/>
  <c r="G9" i="55"/>
  <c r="J9" i="55" s="1"/>
  <c r="N8" i="55"/>
  <c r="I8" i="55" s="1"/>
  <c r="M8" i="55"/>
  <c r="L8" i="55"/>
  <c r="H8" i="55"/>
  <c r="G8" i="55"/>
  <c r="M7" i="55"/>
  <c r="L7" i="55"/>
  <c r="H7" i="55"/>
  <c r="G7" i="55"/>
  <c r="J7" i="55" s="1"/>
  <c r="M6" i="55"/>
  <c r="L6" i="55"/>
  <c r="H6" i="55"/>
  <c r="G6" i="55"/>
  <c r="J6" i="55" s="1"/>
  <c r="M5" i="55"/>
  <c r="H5" i="55" s="1"/>
  <c r="L5" i="55"/>
  <c r="G5" i="55"/>
  <c r="L4" i="55"/>
  <c r="G4" i="55"/>
  <c r="J4" i="55" s="1"/>
  <c r="L3" i="55"/>
  <c r="G3" i="55"/>
  <c r="J3" i="55" s="1"/>
  <c r="J5" i="55" l="1"/>
  <c r="J8" i="55"/>
  <c r="S629" i="58"/>
  <c r="T629" i="58" s="1"/>
  <c r="S630" i="58"/>
  <c r="T630" i="58" s="1"/>
  <c r="S632" i="58"/>
  <c r="T632" i="58" s="1"/>
  <c r="S633" i="58"/>
  <c r="T633" i="58" s="1"/>
  <c r="S631" i="58"/>
  <c r="T631" i="58" s="1"/>
  <c r="S640" i="57"/>
  <c r="T640" i="57" s="1"/>
  <c r="S638" i="57"/>
  <c r="T638" i="57" s="1"/>
  <c r="S642" i="57"/>
  <c r="T642" i="57" s="1"/>
  <c r="S637" i="57"/>
  <c r="T637" i="57" s="1"/>
  <c r="S639" i="57"/>
  <c r="T639" i="57" s="1"/>
  <c r="S631" i="56"/>
  <c r="T631" i="56" s="1"/>
  <c r="S632" i="56"/>
  <c r="T632" i="56" s="1"/>
  <c r="S641" i="56"/>
  <c r="T641" i="56" s="1"/>
  <c r="S629" i="56"/>
  <c r="T629" i="56" s="1"/>
  <c r="S630" i="56"/>
  <c r="T630" i="56" s="1"/>
  <c r="S633" i="56"/>
  <c r="T633" i="56" s="1"/>
  <c r="S642" i="56"/>
  <c r="T642" i="56" s="1"/>
  <c r="S634" i="56"/>
  <c r="T634" i="56" s="1"/>
  <c r="S635" i="56"/>
  <c r="T635" i="56" s="1"/>
  <c r="S636" i="56"/>
  <c r="T636" i="56" s="1"/>
  <c r="S637" i="56"/>
  <c r="T637" i="56" s="1"/>
  <c r="S638" i="56"/>
  <c r="T638" i="56" s="1"/>
  <c r="S639" i="56"/>
  <c r="T639" i="56" s="1"/>
  <c r="Y37" i="13" l="1"/>
  <c r="X37" i="13"/>
  <c r="W37" i="13"/>
  <c r="Y36" i="13"/>
  <c r="X36" i="13"/>
  <c r="W36" i="13"/>
  <c r="Y35" i="13"/>
  <c r="X35" i="13"/>
  <c r="W35" i="13"/>
  <c r="Y34" i="13"/>
  <c r="X34" i="13"/>
  <c r="W34" i="13"/>
  <c r="Y33" i="13"/>
  <c r="X33" i="13"/>
  <c r="W33" i="13"/>
  <c r="Y32" i="13"/>
  <c r="X32" i="13"/>
  <c r="W32" i="13"/>
  <c r="Y31" i="13"/>
  <c r="X31" i="13"/>
  <c r="W31" i="13"/>
  <c r="Y30" i="13"/>
  <c r="X30" i="13"/>
  <c r="W30" i="13"/>
  <c r="Y29" i="13"/>
  <c r="X29" i="13"/>
  <c r="W29" i="13"/>
  <c r="Y28" i="13"/>
  <c r="X28" i="13"/>
  <c r="W28" i="13"/>
  <c r="Y27" i="13"/>
  <c r="X27" i="13"/>
  <c r="W27" i="13"/>
  <c r="Y26" i="13"/>
  <c r="X26" i="13"/>
  <c r="W26" i="13"/>
  <c r="Y25" i="13"/>
  <c r="X25" i="13"/>
  <c r="W25" i="13"/>
  <c r="Y24" i="13"/>
  <c r="X24" i="13"/>
  <c r="W24" i="13"/>
  <c r="P37" i="13"/>
  <c r="O37" i="13"/>
  <c r="N37" i="13"/>
  <c r="P36" i="13"/>
  <c r="O36" i="13"/>
  <c r="N36" i="13"/>
  <c r="P35" i="13"/>
  <c r="O35" i="13"/>
  <c r="N35" i="13"/>
  <c r="P34" i="13"/>
  <c r="O34" i="13"/>
  <c r="N34" i="13"/>
  <c r="P33" i="13"/>
  <c r="O33" i="13"/>
  <c r="N33" i="13"/>
  <c r="P32" i="13"/>
  <c r="O32" i="13"/>
  <c r="N32" i="13"/>
  <c r="P31" i="13"/>
  <c r="O31" i="13"/>
  <c r="N31" i="13"/>
  <c r="P30" i="13"/>
  <c r="O30" i="13"/>
  <c r="N30" i="13"/>
  <c r="P29" i="13"/>
  <c r="O29" i="13"/>
  <c r="N29" i="13"/>
  <c r="P28" i="13"/>
  <c r="O28" i="13"/>
  <c r="N28" i="13"/>
  <c r="P27" i="13"/>
  <c r="O27" i="13"/>
  <c r="N27" i="13"/>
  <c r="P26" i="13"/>
  <c r="O26" i="13"/>
  <c r="N26" i="13"/>
  <c r="P25" i="13"/>
  <c r="O25" i="13"/>
  <c r="N25" i="13"/>
  <c r="P24" i="13"/>
  <c r="O24" i="13"/>
  <c r="N24" i="13"/>
  <c r="G37" i="13"/>
  <c r="F37" i="13"/>
  <c r="E37" i="13"/>
  <c r="G36" i="13"/>
  <c r="F36" i="13"/>
  <c r="E36" i="13"/>
  <c r="G35" i="13"/>
  <c r="F35" i="13"/>
  <c r="E35" i="13"/>
  <c r="G34" i="13"/>
  <c r="F34" i="13"/>
  <c r="E34" i="13"/>
  <c r="G33" i="13"/>
  <c r="F33" i="13"/>
  <c r="E33" i="13"/>
  <c r="G32" i="13"/>
  <c r="F32" i="13"/>
  <c r="E32" i="13"/>
  <c r="G31" i="13"/>
  <c r="F31" i="13"/>
  <c r="E31" i="13"/>
  <c r="G30" i="13"/>
  <c r="F30" i="13"/>
  <c r="E30" i="13"/>
  <c r="G29" i="13"/>
  <c r="F29" i="13"/>
  <c r="E29" i="13"/>
  <c r="G28" i="13"/>
  <c r="F28" i="13"/>
  <c r="E28" i="13"/>
  <c r="G27" i="13"/>
  <c r="F27" i="13"/>
  <c r="E27" i="13"/>
  <c r="G26" i="13"/>
  <c r="F26" i="13"/>
  <c r="E26" i="13"/>
  <c r="G25" i="13"/>
  <c r="F25" i="13"/>
  <c r="E25" i="13"/>
  <c r="G24" i="13"/>
  <c r="F24" i="13"/>
  <c r="E24" i="13"/>
  <c r="AB36" i="1"/>
  <c r="AA36" i="1"/>
  <c r="Z36" i="1"/>
  <c r="Y36" i="1"/>
  <c r="AB35" i="1"/>
  <c r="AA35" i="1"/>
  <c r="Z35" i="1"/>
  <c r="Y35" i="1"/>
  <c r="AB34" i="1"/>
  <c r="AA34" i="1"/>
  <c r="Z34" i="1"/>
  <c r="Y34" i="1"/>
  <c r="AB33" i="1"/>
  <c r="AA33" i="1"/>
  <c r="Z33" i="1"/>
  <c r="Y33" i="1"/>
  <c r="AB32" i="1"/>
  <c r="AA32" i="1"/>
  <c r="Z32" i="1"/>
  <c r="Y32" i="1"/>
  <c r="AB31" i="1"/>
  <c r="AA31" i="1"/>
  <c r="Z31" i="1"/>
  <c r="Y31" i="1"/>
  <c r="AB30" i="1"/>
  <c r="AA30" i="1"/>
  <c r="Z30" i="1"/>
  <c r="Y30" i="1"/>
  <c r="AB29" i="1"/>
  <c r="AA29" i="1"/>
  <c r="Z29" i="1"/>
  <c r="Y29" i="1"/>
  <c r="AB28" i="1"/>
  <c r="AA28" i="1"/>
  <c r="Z28" i="1"/>
  <c r="Y28" i="1"/>
  <c r="AB27" i="1"/>
  <c r="AA27" i="1"/>
  <c r="Z27" i="1"/>
  <c r="Y27" i="1"/>
  <c r="AB26" i="1"/>
  <c r="AA26" i="1"/>
  <c r="Z26" i="1"/>
  <c r="Y26" i="1"/>
  <c r="AB25" i="1"/>
  <c r="AA25" i="1"/>
  <c r="Z25" i="1"/>
  <c r="Y25" i="1"/>
  <c r="AB24" i="1"/>
  <c r="AA24" i="1"/>
  <c r="Z24" i="1"/>
  <c r="Y24" i="1"/>
  <c r="AB23" i="1"/>
  <c r="AA23" i="1"/>
  <c r="Z23" i="1"/>
  <c r="Y23" i="1"/>
  <c r="R36" i="1"/>
  <c r="Q36" i="1"/>
  <c r="P36" i="1"/>
  <c r="O36" i="1"/>
  <c r="R35" i="1"/>
  <c r="Q35" i="1"/>
  <c r="P35" i="1"/>
  <c r="O35" i="1"/>
  <c r="R34" i="1"/>
  <c r="Q34" i="1"/>
  <c r="P34" i="1"/>
  <c r="O34" i="1"/>
  <c r="R33" i="1"/>
  <c r="Q33" i="1"/>
  <c r="P33" i="1"/>
  <c r="O33" i="1"/>
  <c r="R32" i="1"/>
  <c r="Q32" i="1"/>
  <c r="P32" i="1"/>
  <c r="O32" i="1"/>
  <c r="R31" i="1"/>
  <c r="Q31" i="1"/>
  <c r="P31" i="1"/>
  <c r="O31" i="1"/>
  <c r="R30" i="1"/>
  <c r="Q30" i="1"/>
  <c r="P30" i="1"/>
  <c r="O30" i="1"/>
  <c r="R29" i="1"/>
  <c r="Q29" i="1"/>
  <c r="P29" i="1"/>
  <c r="O29" i="1"/>
  <c r="R28" i="1"/>
  <c r="Q28" i="1"/>
  <c r="P28" i="1"/>
  <c r="O28" i="1"/>
  <c r="R27" i="1"/>
  <c r="Q27" i="1"/>
  <c r="P27" i="1"/>
  <c r="O27" i="1"/>
  <c r="R26" i="1"/>
  <c r="Q26" i="1"/>
  <c r="P26" i="1"/>
  <c r="O26" i="1"/>
  <c r="R25" i="1"/>
  <c r="Q25" i="1"/>
  <c r="P25" i="1"/>
  <c r="O25" i="1"/>
  <c r="R24" i="1"/>
  <c r="Q24" i="1"/>
  <c r="P24" i="1"/>
  <c r="O24" i="1"/>
  <c r="R23" i="1"/>
  <c r="Q23" i="1"/>
  <c r="P23" i="1"/>
  <c r="O23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AH20" i="27" l="1"/>
  <c r="AG20" i="27"/>
  <c r="V21" i="27"/>
  <c r="U21" i="27"/>
  <c r="V20" i="27"/>
  <c r="U20" i="27"/>
  <c r="J21" i="27"/>
  <c r="I21" i="27"/>
  <c r="J20" i="27"/>
  <c r="I20" i="27"/>
  <c r="AI20" i="27"/>
  <c r="AF20" i="27"/>
  <c r="AE20" i="27"/>
  <c r="W21" i="27"/>
  <c r="T21" i="27"/>
  <c r="S21" i="27"/>
  <c r="W20" i="27"/>
  <c r="T20" i="27"/>
  <c r="S20" i="27"/>
  <c r="K21" i="27"/>
  <c r="H21" i="27"/>
  <c r="G21" i="27"/>
  <c r="K20" i="27"/>
  <c r="H20" i="27"/>
  <c r="G20" i="27"/>
  <c r="AJ20" i="27"/>
  <c r="AD20" i="27"/>
  <c r="AC20" i="27"/>
  <c r="AB20" i="27"/>
  <c r="AA20" i="27"/>
  <c r="X21" i="27"/>
  <c r="R21" i="27"/>
  <c r="Q21" i="27"/>
  <c r="P21" i="27"/>
  <c r="O21" i="27"/>
  <c r="X22" i="27" s="1"/>
  <c r="X20" i="27"/>
  <c r="R20" i="27"/>
  <c r="Q20" i="27"/>
  <c r="P20" i="27"/>
  <c r="O20" i="27"/>
  <c r="L21" i="27"/>
  <c r="F21" i="27"/>
  <c r="E21" i="27"/>
  <c r="D21" i="27"/>
  <c r="C21" i="27"/>
  <c r="L20" i="27"/>
  <c r="F20" i="27"/>
  <c r="E20" i="27"/>
  <c r="D20" i="27"/>
  <c r="C20" i="27"/>
  <c r="Z11" i="27"/>
  <c r="Z12" i="27" s="1"/>
  <c r="Z13" i="27" s="1"/>
  <c r="Z14" i="27" s="1"/>
  <c r="Z15" i="27" s="1"/>
  <c r="Z16" i="27" s="1"/>
  <c r="Z17" i="27" s="1"/>
  <c r="Z18" i="27" s="1"/>
  <c r="Z19" i="27" s="1"/>
  <c r="N11" i="27"/>
  <c r="N12" i="27" s="1"/>
  <c r="N13" i="27" s="1"/>
  <c r="N14" i="27" s="1"/>
  <c r="N15" i="27" s="1"/>
  <c r="N16" i="27" s="1"/>
  <c r="N17" i="27" s="1"/>
  <c r="N18" i="27" s="1"/>
  <c r="N19" i="27" s="1"/>
  <c r="B11" i="27"/>
  <c r="B12" i="27" s="1"/>
  <c r="B13" i="27" s="1"/>
  <c r="B14" i="27" s="1"/>
  <c r="B15" i="27" s="1"/>
  <c r="B16" i="27" s="1"/>
  <c r="B17" i="27" s="1"/>
  <c r="B18" i="27" s="1"/>
  <c r="B19" i="27" s="1"/>
  <c r="R22" i="27" l="1"/>
  <c r="U22" i="27"/>
  <c r="J22" i="27"/>
  <c r="Q22" i="27"/>
  <c r="F22" i="27"/>
  <c r="O22" i="27"/>
  <c r="P22" i="27"/>
  <c r="S22" i="27"/>
  <c r="T22" i="27"/>
  <c r="V22" i="27"/>
  <c r="W22" i="27"/>
  <c r="H22" i="27"/>
  <c r="I22" i="27"/>
  <c r="K22" i="27"/>
  <c r="L22" i="27"/>
  <c r="D22" i="27"/>
  <c r="C22" i="27"/>
  <c r="G22" i="27"/>
  <c r="E22" i="27"/>
</calcChain>
</file>

<file path=xl/sharedStrings.xml><?xml version="1.0" encoding="utf-8"?>
<sst xmlns="http://schemas.openxmlformats.org/spreadsheetml/2006/main" count="1425" uniqueCount="174">
  <si>
    <t>Age</t>
  </si>
  <si>
    <t>at</t>
  </si>
  <si>
    <t>Numbers</t>
  </si>
  <si>
    <t>Stock</t>
  </si>
  <si>
    <t>FMort</t>
  </si>
  <si>
    <t>Landings</t>
  </si>
  <si>
    <t>Biomass</t>
  </si>
  <si>
    <t>Catch</t>
  </si>
  <si>
    <t>Combined</t>
  </si>
  <si>
    <t>Mean</t>
  </si>
  <si>
    <t>Spawning</t>
  </si>
  <si>
    <t>Recruits</t>
  </si>
  <si>
    <t>%</t>
  </si>
  <si>
    <t>=</t>
  </si>
  <si>
    <t>Percentile</t>
  </si>
  <si>
    <t>Report</t>
  </si>
  <si>
    <t>Requested</t>
  </si>
  <si>
    <t>Once</t>
  </si>
  <si>
    <t>Least</t>
  </si>
  <si>
    <t>Exceeded</t>
  </si>
  <si>
    <t>Threshold</t>
  </si>
  <si>
    <t>Probability</t>
  </si>
  <si>
    <t>Year</t>
  </si>
  <si>
    <t>Exceeds</t>
  </si>
  <si>
    <t>Mortality</t>
  </si>
  <si>
    <t>Fishing</t>
  </si>
  <si>
    <t>Total</t>
  </si>
  <si>
    <t>MT)</t>
  </si>
  <si>
    <t>(1000</t>
  </si>
  <si>
    <t>15+</t>
  </si>
  <si>
    <t>Fish</t>
  </si>
  <si>
    <t>-</t>
  </si>
  <si>
    <t>Distribution</t>
  </si>
  <si>
    <t>StdDev</t>
  </si>
  <si>
    <t>Average</t>
  </si>
  <si>
    <t>MT</t>
  </si>
  <si>
    <t>x</t>
  </si>
  <si>
    <t>Class</t>
  </si>
  <si>
    <t>Selection-2</t>
  </si>
  <si>
    <t>Selection-1</t>
  </si>
  <si>
    <t>Selection</t>
  </si>
  <si>
    <t>Recruitment</t>
  </si>
  <si>
    <t>Type</t>
  </si>
  <si>
    <t>Scenario</t>
  </si>
  <si>
    <t>Harvest</t>
  </si>
  <si>
    <t>Input</t>
  </si>
  <si>
    <t>Realizations</t>
  </si>
  <si>
    <t>of</t>
  </si>
  <si>
    <t>Solutions:</t>
  </si>
  <si>
    <t>Feasible</t>
  </si>
  <si>
    <t>Number</t>
  </si>
  <si>
    <t>Name:</t>
  </si>
  <si>
    <t>File</t>
  </si>
  <si>
    <t>Bootstrap</t>
  </si>
  <si>
    <t>Simulations:</t>
  </si>
  <si>
    <t>Bootstraps:</t>
  </si>
  <si>
    <t>Models:</t>
  </si>
  <si>
    <t>Fleets:</t>
  </si>
  <si>
    <t>Projection:</t>
  </si>
  <si>
    <t>in</t>
  </si>
  <si>
    <t>Years</t>
  </si>
  <si>
    <t>Classes:</t>
  </si>
  <si>
    <t>Class:</t>
  </si>
  <si>
    <t>First</t>
  </si>
  <si>
    <t>Run:</t>
  </si>
  <si>
    <t>Time</t>
  </si>
  <si>
    <t>&amp;</t>
  </si>
  <si>
    <t>Date</t>
  </si>
  <si>
    <t>VERSION</t>
  </si>
  <si>
    <t>AGEPRO</t>
  </si>
  <si>
    <t>Median</t>
  </si>
  <si>
    <t>P10</t>
  </si>
  <si>
    <t>P90</t>
  </si>
  <si>
    <t>Fishing Mortality</t>
  </si>
  <si>
    <t>Spawning Stock Biomass (mt)</t>
  </si>
  <si>
    <t>C:\Users\jon.brodziak\Desktop\2024</t>
  </si>
  <si>
    <t>WCNPO</t>
  </si>
  <si>
    <t>MLS</t>
  </si>
  <si>
    <t>Rebuilding\Bootstrap-numbers-at-age\2023_WCNPOMLS.bsn</t>
  </si>
  <si>
    <t>Fleet-1</t>
  </si>
  <si>
    <t>Fleet-2</t>
  </si>
  <si>
    <t>Fleet-3</t>
  </si>
  <si>
    <t>Fleet-4</t>
  </si>
  <si>
    <t>Fleet-5</t>
  </si>
  <si>
    <t>Fleet-6</t>
  </si>
  <si>
    <t>Fleet-7</t>
  </si>
  <si>
    <t>Fleet-8</t>
  </si>
  <si>
    <t>Fleet-9</t>
  </si>
  <si>
    <t>Selection-3</t>
  </si>
  <si>
    <t>P25</t>
  </si>
  <si>
    <t>P75</t>
  </si>
  <si>
    <t>P40</t>
  </si>
  <si>
    <t>P95</t>
  </si>
  <si>
    <t>P05</t>
  </si>
  <si>
    <t>Catch Biomass (mt)</t>
  </si>
  <si>
    <t>Probability of Achieving Rebuilding Target</t>
  </si>
  <si>
    <t>Probability of Overfishing</t>
  </si>
  <si>
    <t>Average 2025-2034</t>
  </si>
  <si>
    <t>Total   2025-2034</t>
  </si>
  <si>
    <t>Scenario 1. Constant F Rebuild</t>
  </si>
  <si>
    <t>Scenario 3. Phased F Rebuild</t>
  </si>
  <si>
    <t>F Status Quo Scenario</t>
  </si>
  <si>
    <t>Fmsy Scenario</t>
  </si>
  <si>
    <t>Percentiles of Catch Distributions for MLS Rebuilding Scenarios</t>
  </si>
  <si>
    <t>Percentiles of Fishing Mortality Distributions for MLS Rebuilding Scenarios</t>
  </si>
  <si>
    <t>Percentiles of Spawning Biomass Distributions for MLS Rebuilding Scenarios</t>
  </si>
  <si>
    <t>Probabilities of Achieving Rebuilding Target for MLS Rebuilding Scenarios</t>
  </si>
  <si>
    <t>Probabilities of  Overfishing for MLS Rebuilding Scenarios</t>
  </si>
  <si>
    <t>Comparison of Median Catches for MLS Rebuilding Scenarios</t>
  </si>
  <si>
    <t>Comparison of Median Spawning Biomasses for MLS Rebuilding Scenarios</t>
  </si>
  <si>
    <t>Comparison of Median Fishing Mortalities for MLS Rebuilding Scenarios</t>
  </si>
  <si>
    <t>Harvest Control</t>
  </si>
  <si>
    <t>F = 0.373 in 2025-2034</t>
  </si>
  <si>
    <t>Catch = 2175 mt in 2025-2034</t>
  </si>
  <si>
    <t>F = 0.55 in 2025-2027 and then F = 0.37 in 2028-2034</t>
  </si>
  <si>
    <t>Catch=2400 mt in 2025-2027 &amp; Catch=2150 mt in 2028-2034</t>
  </si>
  <si>
    <t>Catch=2250 mt in 2025-2027 &amp; Catch=2175 mt in 2028-2034</t>
  </si>
  <si>
    <t>Catch = 2180 mt in 2025-2034</t>
  </si>
  <si>
    <t>Catch = 2185 mt in 2025-2034</t>
  </si>
  <si>
    <t>Harvest Scenarios to Rebuild WCNPO Striped Marlin</t>
  </si>
  <si>
    <t>Rebuilding Scenario</t>
  </si>
  <si>
    <t>Reduce F by 45% in 2025</t>
  </si>
  <si>
    <t>Reduce F by 19% in 2025 Reduce F by 46% in 2028</t>
  </si>
  <si>
    <t>Description of Harvest Change from Recent Average Value in 2018-2020</t>
  </si>
  <si>
    <t>Harvest Reduction in 2025</t>
  </si>
  <si>
    <t>Harvest Reduction in 2028</t>
  </si>
  <si>
    <t>Harvest Reduction in 2032</t>
  </si>
  <si>
    <t xml:space="preserve">Percent Change in 2025 from Recent Average </t>
  </si>
  <si>
    <t>Percent Change  in 2028 from Recent Average</t>
  </si>
  <si>
    <t>Percent Change  in 2032 from Recent Average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</si>
  <si>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</si>
  <si>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</si>
  <si>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</si>
  <si>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</si>
  <si>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</si>
  <si>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</si>
  <si>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</si>
  <si>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</si>
  <si>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Total Reduction</t>
  </si>
  <si>
    <t>Harvest in 2025-2027</t>
  </si>
  <si>
    <t>Harvest in 2028-2031</t>
  </si>
  <si>
    <t>Harvest in 2032-2034</t>
  </si>
  <si>
    <t>Percent of Maximum Rebuilding Total</t>
  </si>
  <si>
    <t>Scenario 2. Contant Catch Rebuild</t>
  </si>
  <si>
    <t>Scenario 4. Phased Catch Rebuild with Minimal Initial Reduction</t>
  </si>
  <si>
    <t>Scenario 5. Phased Catch Rebuild with Moderate Initial Reduction</t>
  </si>
  <si>
    <t>Scenario 6.  3-Phase Catch Rebuild with Minimal Initial Reduction</t>
  </si>
  <si>
    <t>Scenario 7. Catch-Release with Low Survival Rebuild</t>
  </si>
  <si>
    <t>Scenario 8. Catch-Release with High Survival Rebuild</t>
  </si>
  <si>
    <t>Reduce C by 10% in 2025</t>
  </si>
  <si>
    <t>Reduce C by 1% in 2025 Reduce C by 11% in 2028</t>
  </si>
  <si>
    <t xml:space="preserve">Recent average fishing mortality is F = </t>
  </si>
  <si>
    <t xml:space="preserve">Recent average catch is C = </t>
  </si>
  <si>
    <t xml:space="preserve">Expected catch in 2025-2034 is E[C] = </t>
  </si>
  <si>
    <t>Reduce C by 7% in 2025 Reduce C by 10% in 2028</t>
  </si>
  <si>
    <t>Reduce C by 10% in 2025 Catch release of age-1 fish</t>
  </si>
  <si>
    <t>Catch=2400 mt in 2025-2027 &amp; Catch=2200 mt in 2028-2031 &amp; Catch=2100 mt in 2032-2034</t>
  </si>
  <si>
    <t>Reduce C by 1% in 2025 Reduce C by 8% in 2028 Reduce C by 5% in 2031</t>
  </si>
  <si>
    <t>Year with at least 60% chance of rebuilding.</t>
  </si>
  <si>
    <t>2025_MLS_scenario1.inp</t>
  </si>
  <si>
    <t>Mar</t>
  </si>
  <si>
    <t>2025_MLS_scenario1</t>
  </si>
  <si>
    <t>2025_MLS_scenario2.inp</t>
  </si>
  <si>
    <t>2025_MLS_scenario2</t>
  </si>
  <si>
    <t>2025_MLS_scenario3.inp</t>
  </si>
  <si>
    <t>2025_MLS_scenario3</t>
  </si>
  <si>
    <t>Scenario 1. No Carryover Catch</t>
  </si>
  <si>
    <t>Scenario 2. Carryover Catch in 2025</t>
  </si>
  <si>
    <t>Scenario 3. Carryover Catch in 2025-2026</t>
  </si>
  <si>
    <t>Year with less than a 50% chance of overfishing.</t>
  </si>
  <si>
    <t>2025_MLS_scenario4.inp</t>
  </si>
  <si>
    <t>Apr</t>
  </si>
  <si>
    <t>2025_MLS_scenario4</t>
  </si>
  <si>
    <t>Spawning Biomass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</si>
</sst>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15">
    <xf numFmtId="0" fontId="0" fillId="0" borderId="0" xfId="0"/>
    <xf numFmtId="16" fontId="0" fillId="0" borderId="0" xfId="0" applyNumberFormat="1"/>
    <xf numFmtId="9" fontId="0" fillId="0" borderId="0" xfId="0" applyNumberFormat="1"/>
    <xf numFmtId="20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1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applyBorder="1"/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1" fontId="5" fillId="0" borderId="2" xfId="0" applyNumberFormat="1" applyFont="1" applyBorder="1" applyAlignment="1">
      <alignment horizontal="center" vertical="center"/>
    </xf>
    <xf numFmtId="9" fontId="5" fillId="0" borderId="2" xfId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0" fontId="0" fillId="2" borderId="0" xfId="0" applyFill="1" applyBorder="1"/>
    <xf numFmtId="0" fontId="5" fillId="0" borderId="0" xfId="0" applyFont="1" applyBorder="1" applyAlignment="1">
      <alignment horizontal="center" vertical="center" wrapText="1"/>
    </xf>
    <xf numFmtId="9" fontId="5" fillId="0" borderId="0" xfId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0" fontId="1" fillId="0" borderId="0" xfId="0" applyFont="1" applyBorder="1"/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left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0" fillId="0" borderId="0" xfId="0" applyFont="1" applyBorder="1"/>
    <xf numFmtId="0" fontId="5" fillId="2" borderId="11" xfId="0" applyFont="1" applyFill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/>
    </xf>
    <xf numFmtId="9" fontId="5" fillId="0" borderId="8" xfId="1" applyFont="1" applyBorder="1" applyAlignment="1">
      <alignment horizontal="center" vertical="center"/>
    </xf>
    <xf numFmtId="9" fontId="5" fillId="0" borderId="2" xfId="1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2" fontId="0" fillId="0" borderId="0" xfId="0" applyNumberFormat="1"/>
    <xf numFmtId="0" fontId="8" fillId="0" borderId="0" xfId="0" applyFont="1"/>
    <xf numFmtId="0" fontId="3" fillId="0" borderId="0" xfId="0" applyFont="1" applyAlignment="1">
      <alignment wrapText="1"/>
    </xf>
    <xf numFmtId="0" fontId="5" fillId="0" borderId="7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166" fontId="3" fillId="0" borderId="13" xfId="1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6" fontId="3" fillId="0" borderId="1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6" fontId="3" fillId="0" borderId="11" xfId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6" fontId="3" fillId="0" borderId="0" xfId="1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6" fontId="3" fillId="0" borderId="9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166" fontId="3" fillId="0" borderId="7" xfId="1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6" fontId="3" fillId="0" borderId="8" xfId="0" applyNumberFormat="1" applyFont="1" applyBorder="1" applyAlignment="1">
      <alignment horizontal="center" vertical="center" wrapText="1"/>
    </xf>
    <xf numFmtId="166" fontId="3" fillId="0" borderId="2" xfId="1" applyNumberFormat="1" applyFont="1" applyBorder="1" applyAlignment="1">
      <alignment horizontal="center" vertical="center" wrapText="1"/>
    </xf>
    <xf numFmtId="166" fontId="3" fillId="0" borderId="14" xfId="1" applyNumberFormat="1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9" fontId="5" fillId="0" borderId="7" xfId="1" applyFont="1" applyBorder="1" applyAlignment="1">
      <alignment horizontal="center" vertical="center"/>
    </xf>
    <xf numFmtId="9" fontId="5" fillId="0" borderId="7" xfId="1" applyNumberFormat="1" applyFont="1" applyBorder="1" applyAlignment="1">
      <alignment horizontal="center" vertical="center"/>
    </xf>
    <xf numFmtId="9" fontId="5" fillId="0" borderId="8" xfId="1" applyNumberFormat="1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 vertical="center"/>
    </xf>
    <xf numFmtId="2" fontId="5" fillId="3" borderId="1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4" fillId="2" borderId="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5" fillId="2" borderId="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2" fontId="5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6" fontId="3" fillId="2" borderId="15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/>
    </xf>
    <xf numFmtId="1" fontId="0" fillId="0" borderId="0" xfId="0" applyNumberFormat="1" applyBorder="1"/>
    <xf numFmtId="165" fontId="0" fillId="0" borderId="0" xfId="0" applyNumberFormat="1" applyBorder="1"/>
    <xf numFmtId="164" fontId="0" fillId="0" borderId="0" xfId="0" applyNumberFormat="1" applyBorder="1" applyAlignment="1">
      <alignment horizontal="center"/>
    </xf>
    <xf numFmtId="164" fontId="0" fillId="0" borderId="0" xfId="0" applyNumberFormat="1" applyBorder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2" borderId="7" xfId="0" applyFont="1" applyFill="1" applyBorder="1" applyAlignment="1">
      <alignment horizontal="left"/>
    </xf>
    <xf numFmtId="2" fontId="4" fillId="0" borderId="2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2" fontId="0" fillId="0" borderId="0" xfId="0" applyNumberFormat="1" applyBorder="1"/>
    <xf numFmtId="0" fontId="5" fillId="2" borderId="9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2" fontId="5" fillId="0" borderId="4" xfId="0" applyNumberFormat="1" applyFont="1" applyBorder="1" applyAlignment="1">
      <alignment horizontal="center" vertical="center"/>
    </xf>
    <xf numFmtId="2" fontId="5" fillId="3" borderId="6" xfId="0" applyNumberFormat="1" applyFont="1" applyFill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2" fontId="5" fillId="3" borderId="9" xfId="0" applyNumberFormat="1" applyFont="1" applyFill="1" applyBorder="1" applyAlignment="1">
      <alignment horizontal="center" vertical="center"/>
    </xf>
    <xf numFmtId="2" fontId="5" fillId="0" borderId="11" xfId="0" applyNumberFormat="1" applyFont="1" applyFill="1" applyBorder="1" applyAlignment="1">
      <alignment horizontal="center" vertical="center"/>
    </xf>
    <xf numFmtId="2" fontId="5" fillId="0" borderId="5" xfId="0" applyNumberFormat="1" applyFont="1" applyFill="1" applyBorder="1" applyAlignment="1">
      <alignment horizontal="center" vertical="center"/>
    </xf>
    <xf numFmtId="2" fontId="5" fillId="0" borderId="12" xfId="0" applyNumberFormat="1" applyFont="1" applyFill="1" applyBorder="1" applyAlignment="1">
      <alignment horizontal="center" vertical="center"/>
    </xf>
    <xf numFmtId="2" fontId="5" fillId="0" borderId="9" xfId="0" applyNumberFormat="1" applyFont="1" applyFill="1" applyBorder="1" applyAlignment="1">
      <alignment horizontal="center" vertical="center"/>
    </xf>
    <xf numFmtId="2" fontId="5" fillId="0" borderId="6" xfId="0" applyNumberFormat="1" applyFont="1" applyFill="1" applyBorder="1" applyAlignment="1">
      <alignment horizontal="center" vertical="center"/>
    </xf>
    <xf numFmtId="2" fontId="5" fillId="0" borderId="10" xfId="0" applyNumberFormat="1" applyFont="1" applyFill="1" applyBorder="1" applyAlignment="1">
      <alignment horizontal="center" vertical="center"/>
    </xf>
    <xf numFmtId="2" fontId="5" fillId="3" borderId="13" xfId="0" applyNumberFormat="1" applyFont="1" applyFill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center" vertical="center"/>
    </xf>
    <xf numFmtId="2" fontId="5" fillId="3" borderId="15" xfId="0" applyNumberFormat="1" applyFont="1" applyFill="1" applyBorder="1" applyAlignment="1">
      <alignment horizontal="center" vertical="center"/>
    </xf>
    <xf numFmtId="0" fontId="4" fillId="3" borderId="7" xfId="0" applyFont="1" applyFill="1" applyBorder="1"/>
    <xf numFmtId="0" fontId="2" fillId="0" borderId="0" xfId="0" applyFont="1" applyFill="1"/>
    <xf numFmtId="0" fontId="4" fillId="0" borderId="0" xfId="0" applyFont="1" applyFill="1"/>
    <xf numFmtId="0" fontId="5" fillId="0" borderId="9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center" wrapText="1"/>
    </xf>
    <xf numFmtId="0" fontId="5" fillId="0" borderId="8" xfId="0" applyFont="1" applyFill="1" applyBorder="1" applyAlignment="1">
      <alignment horizontal="center" wrapText="1"/>
    </xf>
    <xf numFmtId="0" fontId="4" fillId="0" borderId="0" xfId="0" applyFont="1" applyFill="1" applyAlignment="1">
      <alignment vertical="center"/>
    </xf>
    <xf numFmtId="0" fontId="5" fillId="0" borderId="11" xfId="0" applyFont="1" applyFill="1" applyBorder="1" applyAlignment="1">
      <alignment horizontal="center" vertical="center"/>
    </xf>
    <xf numFmtId="2" fontId="5" fillId="0" borderId="13" xfId="0" applyNumberFormat="1" applyFont="1" applyFill="1" applyBorder="1" applyAlignment="1">
      <alignment horizontal="center" vertical="center"/>
    </xf>
    <xf numFmtId="2" fontId="5" fillId="0" borderId="4" xfId="0" applyNumberFormat="1" applyFont="1" applyFill="1" applyBorder="1" applyAlignment="1">
      <alignment horizontal="center" vertical="center"/>
    </xf>
    <xf numFmtId="2" fontId="5" fillId="0" borderId="15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/>
    </xf>
    <xf numFmtId="2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Border="1"/>
    <xf numFmtId="0" fontId="7" fillId="0" borderId="0" xfId="0" applyFont="1" applyFill="1" applyBorder="1" applyAlignment="1">
      <alignment horizontal="left"/>
    </xf>
    <xf numFmtId="2" fontId="4" fillId="0" borderId="0" xfId="0" applyNumberFormat="1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6"/>
  <sheetViews>
    <sheetView tabSelected="1" zoomScale="50" zoomScaleNormal="50" workbookViewId="0">
      <selection activeCell="L21" sqref="L21"/>
    </sheetView>
  </sheetViews>
  <sheetFormatPr defaultRowHeight="14.6" x14ac:dyDescent="0.4"/>
  <cols>
    <col min="2" max="21" width="10.61328125" customWidth="1"/>
    <col min="22" max="30" width="10.61328125" style="15" customWidth="1"/>
    <col min="32" max="32" width="9.23046875" style="15"/>
    <col min="33" max="40" width="9.4609375" style="15" bestFit="1" customWidth="1"/>
    <col min="41" max="42" width="9.23046875" style="15"/>
    <col min="43" max="50" width="9.4609375" style="15" bestFit="1" customWidth="1"/>
    <col min="51" max="52" width="9.23046875" style="15"/>
    <col min="53" max="59" width="9.4609375" style="15" bestFit="1" customWidth="1"/>
    <col min="60" max="60" width="10.07421875" style="15" customWidth="1"/>
    <col min="61" max="62" width="9.23046875" style="15"/>
    <col min="63" max="70" width="9.4609375" style="15" bestFit="1" customWidth="1"/>
    <col min="71" max="72" width="9.23046875" style="15"/>
    <col min="73" max="76" width="9.4609375" style="15" bestFit="1" customWidth="1"/>
    <col min="77" max="77" width="9.4609375" style="15" customWidth="1"/>
    <col min="78" max="80" width="9.4609375" style="15" bestFit="1" customWidth="1"/>
    <col min="81" max="82" width="9.23046875" style="15"/>
    <col min="83" max="85" width="9.4609375" style="15" bestFit="1" customWidth="1"/>
    <col min="86" max="86" width="9.4609375" style="15" customWidth="1"/>
    <col min="87" max="90" width="9.4609375" style="15" bestFit="1" customWidth="1"/>
    <col min="91" max="92" width="9.23046875" style="15"/>
    <col min="93" max="95" width="9.4609375" style="15" bestFit="1" customWidth="1"/>
    <col min="96" max="96" width="9.4609375" style="15" customWidth="1"/>
    <col min="97" max="100" width="9.4609375" style="15" bestFit="1" customWidth="1"/>
    <col min="101" max="16384" width="9.23046875" style="15"/>
  </cols>
  <sheetData>
    <row r="1" spans="1:100" ht="26.15" x14ac:dyDescent="0.7">
      <c r="A1" s="4"/>
      <c r="B1" s="4" t="s">
        <v>105</v>
      </c>
    </row>
    <row r="2" spans="1:100" ht="15" thickBot="1" x14ac:dyDescent="0.45"/>
    <row r="3" spans="1:100" s="38" customFormat="1" ht="33.9" customHeight="1" thickBot="1" x14ac:dyDescent="0.55000000000000004">
      <c r="A3" s="128"/>
      <c r="B3" s="199" t="s">
        <v>166</v>
      </c>
      <c r="C3" s="200"/>
      <c r="D3" s="200"/>
      <c r="E3" s="200"/>
      <c r="F3" s="200"/>
      <c r="G3" s="200"/>
      <c r="H3" s="200"/>
      <c r="I3" s="200"/>
      <c r="J3" s="201"/>
      <c r="K3" s="129"/>
      <c r="L3" s="199" t="s">
        <v>167</v>
      </c>
      <c r="M3" s="200"/>
      <c r="N3" s="200"/>
      <c r="O3" s="200"/>
      <c r="P3" s="200"/>
      <c r="Q3" s="200"/>
      <c r="R3" s="200"/>
      <c r="S3" s="200"/>
      <c r="T3" s="201"/>
      <c r="U3" s="133"/>
      <c r="V3" s="199" t="s">
        <v>168</v>
      </c>
      <c r="W3" s="200"/>
      <c r="X3" s="200"/>
      <c r="Y3" s="200"/>
      <c r="Z3" s="200"/>
      <c r="AA3" s="200"/>
      <c r="AB3" s="200"/>
      <c r="AC3" s="200"/>
      <c r="AD3" s="201"/>
      <c r="AE3" s="128"/>
      <c r="AF3" s="205"/>
      <c r="AG3" s="205"/>
      <c r="AH3" s="205"/>
      <c r="AI3" s="205"/>
      <c r="AJ3" s="205"/>
      <c r="AK3" s="205"/>
      <c r="AL3" s="205"/>
      <c r="AM3" s="205"/>
      <c r="AN3" s="205"/>
      <c r="AP3" s="205"/>
      <c r="AQ3" s="205"/>
      <c r="AR3" s="205"/>
      <c r="AS3" s="205"/>
      <c r="AT3" s="205"/>
      <c r="AU3" s="205"/>
      <c r="AV3" s="205"/>
      <c r="AW3" s="205"/>
      <c r="AX3" s="205"/>
      <c r="AZ3" s="205"/>
      <c r="BA3" s="205"/>
      <c r="BB3" s="205"/>
      <c r="BC3" s="205"/>
      <c r="BD3" s="205"/>
      <c r="BE3" s="205"/>
      <c r="BF3" s="205"/>
      <c r="BG3" s="205"/>
      <c r="BH3" s="205"/>
      <c r="BJ3" s="205"/>
      <c r="BK3" s="205"/>
      <c r="BL3" s="205"/>
      <c r="BM3" s="205"/>
      <c r="BN3" s="205"/>
      <c r="BO3" s="205"/>
      <c r="BP3" s="205"/>
      <c r="BQ3" s="205"/>
      <c r="BR3" s="205"/>
      <c r="BT3" s="205"/>
      <c r="BU3" s="205"/>
      <c r="BV3" s="205"/>
      <c r="BW3" s="205"/>
      <c r="BX3" s="205"/>
      <c r="BY3" s="205"/>
      <c r="BZ3" s="205"/>
      <c r="CA3" s="205"/>
      <c r="CB3" s="205"/>
      <c r="CD3" s="205"/>
      <c r="CE3" s="205"/>
      <c r="CF3" s="205"/>
      <c r="CG3" s="205"/>
      <c r="CH3" s="205"/>
      <c r="CI3" s="205"/>
      <c r="CJ3" s="205"/>
      <c r="CK3" s="205"/>
      <c r="CL3" s="205"/>
      <c r="CN3" s="205"/>
      <c r="CO3" s="205"/>
      <c r="CP3" s="205"/>
      <c r="CQ3" s="205"/>
      <c r="CR3" s="205"/>
      <c r="CS3" s="205"/>
      <c r="CT3" s="205"/>
      <c r="CU3" s="205"/>
      <c r="CV3" s="205"/>
    </row>
    <row r="4" spans="1:100" s="42" customFormat="1" ht="21.9" customHeight="1" thickBot="1" x14ac:dyDescent="0.75">
      <c r="A4" s="4"/>
      <c r="B4" s="202" t="s">
        <v>173</v>
      </c>
      <c r="C4" s="203"/>
      <c r="D4" s="203"/>
      <c r="E4" s="203"/>
      <c r="F4" s="203"/>
      <c r="G4" s="203"/>
      <c r="H4" s="203"/>
      <c r="I4" s="203"/>
      <c r="J4" s="204"/>
      <c r="K4" s="20"/>
      <c r="L4" s="202" t="s">
        <v>173</v>
      </c>
      <c r="M4" s="203"/>
      <c r="N4" s="203"/>
      <c r="O4" s="203"/>
      <c r="P4" s="203"/>
      <c r="Q4" s="203"/>
      <c r="R4" s="203"/>
      <c r="S4" s="203"/>
      <c r="T4" s="204"/>
      <c r="U4" s="8"/>
      <c r="V4" s="202" t="s">
        <v>173</v>
      </c>
      <c r="W4" s="203"/>
      <c r="X4" s="203"/>
      <c r="Y4" s="203"/>
      <c r="Z4" s="203"/>
      <c r="AA4" s="203"/>
      <c r="AB4" s="203"/>
      <c r="AC4" s="203"/>
      <c r="AD4" s="204"/>
      <c r="AE4" s="4"/>
      <c r="AF4" s="206"/>
      <c r="AG4" s="206"/>
      <c r="AH4" s="206"/>
      <c r="AI4" s="206"/>
      <c r="AJ4" s="206"/>
      <c r="AK4" s="206"/>
      <c r="AL4" s="206"/>
      <c r="AM4" s="206"/>
      <c r="AN4" s="206"/>
      <c r="AP4" s="206"/>
      <c r="AQ4" s="206"/>
      <c r="AR4" s="206"/>
      <c r="AS4" s="206"/>
      <c r="AT4" s="206"/>
      <c r="AU4" s="206"/>
      <c r="AV4" s="206"/>
      <c r="AW4" s="206"/>
      <c r="AX4" s="206"/>
      <c r="AZ4" s="206"/>
      <c r="BA4" s="206"/>
      <c r="BB4" s="206"/>
      <c r="BC4" s="206"/>
      <c r="BD4" s="206"/>
      <c r="BE4" s="206"/>
      <c r="BF4" s="206"/>
      <c r="BG4" s="206"/>
      <c r="BH4" s="206"/>
      <c r="BJ4" s="206"/>
      <c r="BK4" s="206"/>
      <c r="BL4" s="206"/>
      <c r="BM4" s="206"/>
      <c r="BN4" s="206"/>
      <c r="BO4" s="206"/>
      <c r="BP4" s="206"/>
      <c r="BQ4" s="206"/>
      <c r="BR4" s="206"/>
      <c r="BT4" s="206"/>
      <c r="BU4" s="206"/>
      <c r="BV4" s="206"/>
      <c r="BW4" s="206"/>
      <c r="BX4" s="206"/>
      <c r="BY4" s="206"/>
      <c r="BZ4" s="206"/>
      <c r="CA4" s="206"/>
      <c r="CB4" s="206"/>
      <c r="CD4" s="207"/>
      <c r="CE4" s="207"/>
      <c r="CF4" s="207"/>
      <c r="CG4" s="207"/>
      <c r="CH4" s="207"/>
      <c r="CI4" s="207"/>
      <c r="CJ4" s="207"/>
      <c r="CK4" s="207"/>
      <c r="CL4" s="207"/>
      <c r="CN4" s="207"/>
      <c r="CO4" s="207"/>
      <c r="CP4" s="207"/>
      <c r="CQ4" s="207"/>
      <c r="CR4" s="207"/>
      <c r="CS4" s="207"/>
      <c r="CT4" s="207"/>
      <c r="CU4" s="207"/>
      <c r="CV4" s="207"/>
    </row>
    <row r="5" spans="1:100" ht="18.45" thickBot="1" x14ac:dyDescent="0.5">
      <c r="B5" s="53" t="s">
        <v>22</v>
      </c>
      <c r="C5" s="21" t="s">
        <v>93</v>
      </c>
      <c r="D5" s="21" t="s">
        <v>71</v>
      </c>
      <c r="E5" s="21" t="s">
        <v>89</v>
      </c>
      <c r="F5" s="22" t="s">
        <v>91</v>
      </c>
      <c r="G5" s="21" t="s">
        <v>70</v>
      </c>
      <c r="H5" s="21" t="s">
        <v>90</v>
      </c>
      <c r="I5" s="21" t="s">
        <v>72</v>
      </c>
      <c r="J5" s="54" t="s">
        <v>92</v>
      </c>
      <c r="K5" s="17"/>
      <c r="L5" s="53" t="s">
        <v>22</v>
      </c>
      <c r="M5" s="21" t="s">
        <v>93</v>
      </c>
      <c r="N5" s="21" t="s">
        <v>71</v>
      </c>
      <c r="O5" s="21" t="s">
        <v>89</v>
      </c>
      <c r="P5" s="22" t="s">
        <v>91</v>
      </c>
      <c r="Q5" s="21" t="s">
        <v>70</v>
      </c>
      <c r="R5" s="21" t="s">
        <v>90</v>
      </c>
      <c r="S5" s="21" t="s">
        <v>72</v>
      </c>
      <c r="T5" s="54" t="s">
        <v>92</v>
      </c>
      <c r="U5" s="8"/>
      <c r="V5" s="53" t="s">
        <v>22</v>
      </c>
      <c r="W5" s="21" t="s">
        <v>93</v>
      </c>
      <c r="X5" s="21" t="s">
        <v>71</v>
      </c>
      <c r="Y5" s="21" t="s">
        <v>89</v>
      </c>
      <c r="Z5" s="22" t="s">
        <v>91</v>
      </c>
      <c r="AA5" s="21" t="s">
        <v>70</v>
      </c>
      <c r="AB5" s="21" t="s">
        <v>90</v>
      </c>
      <c r="AC5" s="21" t="s">
        <v>72</v>
      </c>
      <c r="AD5" s="54" t="s">
        <v>92</v>
      </c>
      <c r="AF5" s="160"/>
      <c r="AG5" s="160"/>
      <c r="AH5" s="160"/>
      <c r="AI5" s="160"/>
      <c r="AJ5" s="160"/>
      <c r="AK5" s="160"/>
      <c r="AL5" s="160"/>
      <c r="AM5" s="160"/>
      <c r="AN5" s="160"/>
      <c r="AP5" s="160"/>
      <c r="AQ5" s="160"/>
      <c r="AR5" s="160"/>
      <c r="AS5" s="160"/>
      <c r="AT5" s="160"/>
      <c r="AU5" s="160"/>
      <c r="AV5" s="160"/>
      <c r="AW5" s="160"/>
      <c r="AX5" s="160"/>
      <c r="AZ5" s="160"/>
      <c r="BA5" s="160"/>
      <c r="BB5" s="160"/>
      <c r="BC5" s="160"/>
      <c r="BD5" s="160"/>
      <c r="BE5" s="160"/>
      <c r="BF5" s="160"/>
      <c r="BG5" s="160"/>
      <c r="BH5" s="160"/>
      <c r="BJ5" s="160"/>
      <c r="BK5" s="160"/>
      <c r="BL5" s="160"/>
      <c r="BM5" s="160"/>
      <c r="BN5" s="160"/>
      <c r="BO5" s="160"/>
      <c r="BP5" s="160"/>
      <c r="BQ5" s="160"/>
      <c r="BR5" s="160"/>
      <c r="BT5" s="160"/>
      <c r="BU5" s="160"/>
      <c r="BV5" s="160"/>
      <c r="BW5" s="160"/>
      <c r="BX5" s="160"/>
      <c r="BY5" s="160"/>
      <c r="BZ5" s="160"/>
      <c r="CA5" s="160"/>
      <c r="CB5" s="160"/>
      <c r="CD5" s="160"/>
      <c r="CE5" s="160"/>
      <c r="CF5" s="160"/>
      <c r="CG5" s="160"/>
      <c r="CH5" s="160"/>
      <c r="CI5" s="160"/>
      <c r="CJ5" s="160"/>
      <c r="CK5" s="160"/>
      <c r="CL5" s="160"/>
      <c r="CN5" s="160"/>
      <c r="CO5" s="160"/>
      <c r="CP5" s="160"/>
      <c r="CQ5" s="160"/>
      <c r="CR5" s="160"/>
      <c r="CS5" s="160"/>
      <c r="CT5" s="160"/>
      <c r="CU5" s="160"/>
      <c r="CV5" s="160"/>
    </row>
    <row r="6" spans="1:100" ht="18" x14ac:dyDescent="0.45">
      <c r="B6" s="55">
        <v>2021</v>
      </c>
      <c r="C6" s="30">
        <v>1980.3</v>
      </c>
      <c r="D6" s="30">
        <v>2117.6</v>
      </c>
      <c r="E6" s="30">
        <v>2335.9</v>
      </c>
      <c r="F6" s="23">
        <v>2514.6999999999998</v>
      </c>
      <c r="G6" s="30">
        <v>2638.3999999999996</v>
      </c>
      <c r="H6" s="30">
        <v>3023.5</v>
      </c>
      <c r="I6" s="30">
        <v>3424.7000000000003</v>
      </c>
      <c r="J6" s="56">
        <v>3730.4</v>
      </c>
      <c r="K6" s="9"/>
      <c r="L6" s="55">
        <v>2021</v>
      </c>
      <c r="M6" s="30">
        <v>1980.5</v>
      </c>
      <c r="N6" s="30">
        <v>2117.6</v>
      </c>
      <c r="O6" s="30">
        <v>2333.1</v>
      </c>
      <c r="P6" s="24">
        <v>2512.1999999999998</v>
      </c>
      <c r="Q6" s="30">
        <v>2639.6000000000004</v>
      </c>
      <c r="R6" s="30">
        <v>3025.4</v>
      </c>
      <c r="S6" s="30">
        <v>3424.1000000000004</v>
      </c>
      <c r="T6" s="56">
        <v>3732</v>
      </c>
      <c r="U6" s="8"/>
      <c r="V6" s="55">
        <v>2021</v>
      </c>
      <c r="W6" s="30">
        <v>1977.4</v>
      </c>
      <c r="X6" s="30">
        <v>2116.5</v>
      </c>
      <c r="Y6" s="30">
        <v>2331.7999999999997</v>
      </c>
      <c r="Z6" s="23">
        <v>2514.3000000000002</v>
      </c>
      <c r="AA6" s="30">
        <v>2639.7</v>
      </c>
      <c r="AB6" s="30">
        <v>3021.3999999999996</v>
      </c>
      <c r="AC6" s="30">
        <v>3420.7999999999997</v>
      </c>
      <c r="AD6" s="56">
        <v>3726</v>
      </c>
      <c r="AF6" s="160"/>
      <c r="AG6" s="30"/>
      <c r="AH6" s="30"/>
      <c r="AI6" s="30"/>
      <c r="AJ6" s="30"/>
      <c r="AK6" s="30"/>
      <c r="AL6" s="30"/>
      <c r="AM6" s="30"/>
      <c r="AN6" s="30"/>
      <c r="AP6" s="160"/>
      <c r="AQ6" s="30"/>
      <c r="AR6" s="30"/>
      <c r="AS6" s="30"/>
      <c r="AT6" s="30"/>
      <c r="AU6" s="30"/>
      <c r="AV6" s="30"/>
      <c r="AW6" s="30"/>
      <c r="AX6" s="30"/>
      <c r="AZ6" s="160"/>
      <c r="BA6" s="30"/>
      <c r="BB6" s="30"/>
      <c r="BC6" s="30"/>
      <c r="BD6" s="30"/>
      <c r="BE6" s="30"/>
      <c r="BF6" s="30"/>
      <c r="BG6" s="30"/>
      <c r="BH6" s="30"/>
      <c r="BJ6" s="160"/>
      <c r="BK6" s="30"/>
      <c r="BL6" s="30"/>
      <c r="BM6" s="30"/>
      <c r="BN6" s="30"/>
      <c r="BO6" s="30"/>
      <c r="BP6" s="30"/>
      <c r="BQ6" s="30"/>
      <c r="BR6" s="30"/>
      <c r="BT6" s="160"/>
      <c r="BU6" s="30"/>
      <c r="BV6" s="30"/>
      <c r="BW6" s="30"/>
      <c r="BX6" s="30"/>
      <c r="BY6" s="30"/>
      <c r="BZ6" s="30"/>
      <c r="CA6" s="30"/>
      <c r="CB6" s="30"/>
      <c r="CD6" s="160"/>
      <c r="CE6" s="30"/>
      <c r="CF6" s="30"/>
      <c r="CG6" s="30"/>
      <c r="CH6" s="30"/>
      <c r="CI6" s="30"/>
      <c r="CJ6" s="30"/>
      <c r="CK6" s="30"/>
      <c r="CL6" s="30"/>
      <c r="CN6" s="160"/>
      <c r="CO6" s="30"/>
      <c r="CP6" s="30"/>
      <c r="CQ6" s="30"/>
      <c r="CR6" s="30"/>
      <c r="CS6" s="30"/>
      <c r="CT6" s="30"/>
      <c r="CU6" s="30"/>
      <c r="CV6" s="30"/>
    </row>
    <row r="7" spans="1:100" ht="18" x14ac:dyDescent="0.45">
      <c r="B7" s="55">
        <v>2022</v>
      </c>
      <c r="C7" s="30">
        <v>2807</v>
      </c>
      <c r="D7" s="30">
        <v>3037.5</v>
      </c>
      <c r="E7" s="30">
        <v>3480.4</v>
      </c>
      <c r="F7" s="24">
        <v>3793.4</v>
      </c>
      <c r="G7" s="30">
        <v>3972.9</v>
      </c>
      <c r="H7" s="30">
        <v>4518</v>
      </c>
      <c r="I7" s="30">
        <v>5197.8</v>
      </c>
      <c r="J7" s="56">
        <v>5634.5999999999995</v>
      </c>
      <c r="K7" s="9"/>
      <c r="L7" s="55">
        <v>2022</v>
      </c>
      <c r="M7" s="30">
        <v>2814.2</v>
      </c>
      <c r="N7" s="30">
        <v>3038.5</v>
      </c>
      <c r="O7" s="30">
        <v>3478.1</v>
      </c>
      <c r="P7" s="24">
        <v>3791.4</v>
      </c>
      <c r="Q7" s="30">
        <v>3972.4</v>
      </c>
      <c r="R7" s="30">
        <v>4514.5999999999995</v>
      </c>
      <c r="S7" s="30">
        <v>5205.2</v>
      </c>
      <c r="T7" s="56">
        <v>5643.9000000000005</v>
      </c>
      <c r="U7" s="8"/>
      <c r="V7" s="55">
        <v>2022</v>
      </c>
      <c r="W7" s="30">
        <v>2806.4</v>
      </c>
      <c r="X7" s="30">
        <v>3033.4</v>
      </c>
      <c r="Y7" s="30">
        <v>3477.1</v>
      </c>
      <c r="Z7" s="24">
        <v>3791.3</v>
      </c>
      <c r="AA7" s="30">
        <v>3975.2999999999997</v>
      </c>
      <c r="AB7" s="30">
        <v>4516.3999999999996</v>
      </c>
      <c r="AC7" s="30">
        <v>5193.5</v>
      </c>
      <c r="AD7" s="56">
        <v>5629.3</v>
      </c>
      <c r="AF7" s="160"/>
      <c r="AG7" s="30"/>
      <c r="AH7" s="30"/>
      <c r="AI7" s="30"/>
      <c r="AJ7" s="30"/>
      <c r="AK7" s="30"/>
      <c r="AL7" s="30"/>
      <c r="AM7" s="30"/>
      <c r="AN7" s="30"/>
      <c r="AP7" s="160"/>
      <c r="AQ7" s="30"/>
      <c r="AR7" s="30"/>
      <c r="AS7" s="30"/>
      <c r="AT7" s="30"/>
      <c r="AU7" s="30"/>
      <c r="AV7" s="30"/>
      <c r="AW7" s="30"/>
      <c r="AX7" s="30"/>
      <c r="AZ7" s="160"/>
      <c r="BA7" s="30"/>
      <c r="BB7" s="30"/>
      <c r="BC7" s="30"/>
      <c r="BD7" s="30"/>
      <c r="BE7" s="30"/>
      <c r="BF7" s="30"/>
      <c r="BG7" s="30"/>
      <c r="BH7" s="30"/>
      <c r="BJ7" s="160"/>
      <c r="BK7" s="30"/>
      <c r="BL7" s="30"/>
      <c r="BM7" s="30"/>
      <c r="BN7" s="30"/>
      <c r="BO7" s="30"/>
      <c r="BP7" s="30"/>
      <c r="BQ7" s="30"/>
      <c r="BR7" s="30"/>
      <c r="BT7" s="160"/>
      <c r="BU7" s="30"/>
      <c r="BV7" s="30"/>
      <c r="BW7" s="30"/>
      <c r="BX7" s="30"/>
      <c r="BY7" s="30"/>
      <c r="BZ7" s="30"/>
      <c r="CA7" s="30"/>
      <c r="CB7" s="30"/>
      <c r="CD7" s="160"/>
      <c r="CE7" s="30"/>
      <c r="CF7" s="30"/>
      <c r="CG7" s="30"/>
      <c r="CH7" s="30"/>
      <c r="CI7" s="30"/>
      <c r="CJ7" s="30"/>
      <c r="CK7" s="30"/>
      <c r="CL7" s="30"/>
      <c r="CN7" s="160"/>
      <c r="CO7" s="30"/>
      <c r="CP7" s="30"/>
      <c r="CQ7" s="30"/>
      <c r="CR7" s="30"/>
      <c r="CS7" s="30"/>
      <c r="CT7" s="30"/>
      <c r="CU7" s="30"/>
      <c r="CV7" s="30"/>
    </row>
    <row r="8" spans="1:100" ht="18" x14ac:dyDescent="0.45">
      <c r="B8" s="55">
        <v>2023</v>
      </c>
      <c r="C8" s="30">
        <v>3594.3999999999996</v>
      </c>
      <c r="D8" s="30">
        <v>3940.9</v>
      </c>
      <c r="E8" s="30">
        <v>4619.7999999999993</v>
      </c>
      <c r="F8" s="24">
        <v>5181.3</v>
      </c>
      <c r="G8" s="30">
        <v>5520.8</v>
      </c>
      <c r="H8" s="30">
        <v>6487.9</v>
      </c>
      <c r="I8" s="30">
        <v>7583.4000000000005</v>
      </c>
      <c r="J8" s="56">
        <v>8303.5</v>
      </c>
      <c r="K8" s="9"/>
      <c r="L8" s="55">
        <v>2023</v>
      </c>
      <c r="M8" s="30">
        <v>3594.1</v>
      </c>
      <c r="N8" s="30">
        <v>3943.4</v>
      </c>
      <c r="O8" s="30">
        <v>4628.3</v>
      </c>
      <c r="P8" s="24">
        <v>5177.7</v>
      </c>
      <c r="Q8" s="30">
        <v>5513.7</v>
      </c>
      <c r="R8" s="30">
        <v>6480.2</v>
      </c>
      <c r="S8" s="30">
        <v>7602.1</v>
      </c>
      <c r="T8" s="56">
        <v>8288.7000000000007</v>
      </c>
      <c r="U8" s="8"/>
      <c r="V8" s="55">
        <v>2023</v>
      </c>
      <c r="W8" s="30">
        <v>3583.6</v>
      </c>
      <c r="X8" s="30">
        <v>3934.6</v>
      </c>
      <c r="Y8" s="30">
        <v>4618.5999999999995</v>
      </c>
      <c r="Z8" s="24">
        <v>5179.7000000000007</v>
      </c>
      <c r="AA8" s="30">
        <v>5526.3</v>
      </c>
      <c r="AB8" s="30">
        <v>6486.3</v>
      </c>
      <c r="AC8" s="30">
        <v>7584.1</v>
      </c>
      <c r="AD8" s="56">
        <v>8299.6999999999989</v>
      </c>
      <c r="AF8" s="160"/>
      <c r="AG8" s="30"/>
      <c r="AH8" s="30"/>
      <c r="AI8" s="30"/>
      <c r="AJ8" s="30"/>
      <c r="AK8" s="30"/>
      <c r="AL8" s="30"/>
      <c r="AM8" s="30"/>
      <c r="AN8" s="30"/>
      <c r="AP8" s="160"/>
      <c r="AQ8" s="30"/>
      <c r="AR8" s="30"/>
      <c r="AS8" s="30"/>
      <c r="AT8" s="30"/>
      <c r="AU8" s="30"/>
      <c r="AV8" s="30"/>
      <c r="AW8" s="30"/>
      <c r="AX8" s="30"/>
      <c r="AZ8" s="160"/>
      <c r="BA8" s="30"/>
      <c r="BB8" s="30"/>
      <c r="BC8" s="30"/>
      <c r="BD8" s="30"/>
      <c r="BE8" s="30"/>
      <c r="BF8" s="30"/>
      <c r="BG8" s="30"/>
      <c r="BH8" s="30"/>
      <c r="BJ8" s="160"/>
      <c r="BK8" s="30"/>
      <c r="BL8" s="30"/>
      <c r="BM8" s="30"/>
      <c r="BN8" s="30"/>
      <c r="BO8" s="30"/>
      <c r="BP8" s="30"/>
      <c r="BQ8" s="30"/>
      <c r="BR8" s="30"/>
      <c r="BT8" s="160"/>
      <c r="BU8" s="30"/>
      <c r="BV8" s="30"/>
      <c r="BW8" s="30"/>
      <c r="BX8" s="30"/>
      <c r="BY8" s="30"/>
      <c r="BZ8" s="30"/>
      <c r="CA8" s="30"/>
      <c r="CB8" s="30"/>
      <c r="CD8" s="160"/>
      <c r="CE8" s="30"/>
      <c r="CF8" s="30"/>
      <c r="CG8" s="30"/>
      <c r="CH8" s="30"/>
      <c r="CI8" s="30"/>
      <c r="CJ8" s="30"/>
      <c r="CK8" s="30"/>
      <c r="CL8" s="30"/>
      <c r="CN8" s="160"/>
      <c r="CO8" s="30"/>
      <c r="CP8" s="30"/>
      <c r="CQ8" s="30"/>
      <c r="CR8" s="30"/>
      <c r="CS8" s="30"/>
      <c r="CT8" s="30"/>
      <c r="CU8" s="30"/>
      <c r="CV8" s="30"/>
    </row>
    <row r="9" spans="1:100" ht="18" x14ac:dyDescent="0.45">
      <c r="B9" s="55">
        <v>2024</v>
      </c>
      <c r="C9" s="30">
        <v>3361.7</v>
      </c>
      <c r="D9" s="30">
        <v>3794.7000000000003</v>
      </c>
      <c r="E9" s="30">
        <v>4637.7</v>
      </c>
      <c r="F9" s="24">
        <v>5298.2</v>
      </c>
      <c r="G9" s="30">
        <v>5715.9000000000005</v>
      </c>
      <c r="H9" s="30">
        <v>6947.0999999999995</v>
      </c>
      <c r="I9" s="30">
        <v>8135.3000000000011</v>
      </c>
      <c r="J9" s="56">
        <v>8890.2000000000007</v>
      </c>
      <c r="K9" s="9"/>
      <c r="L9" s="55">
        <v>2024</v>
      </c>
      <c r="M9" s="30">
        <v>3349.9</v>
      </c>
      <c r="N9" s="30">
        <v>3791.1000000000004</v>
      </c>
      <c r="O9" s="30">
        <v>4644.8999999999996</v>
      </c>
      <c r="P9" s="24">
        <v>5300.5</v>
      </c>
      <c r="Q9" s="30">
        <v>5717.6</v>
      </c>
      <c r="R9" s="30">
        <v>6939.0999999999995</v>
      </c>
      <c r="S9" s="30">
        <v>8125.2999999999993</v>
      </c>
      <c r="T9" s="56">
        <v>8894.6</v>
      </c>
      <c r="U9" s="8"/>
      <c r="V9" s="55">
        <v>2024</v>
      </c>
      <c r="W9" s="30">
        <v>3330.2000000000003</v>
      </c>
      <c r="X9" s="30">
        <v>3781.8999999999996</v>
      </c>
      <c r="Y9" s="30">
        <v>4633.3</v>
      </c>
      <c r="Z9" s="24">
        <v>5293.5</v>
      </c>
      <c r="AA9" s="30">
        <v>5722.1</v>
      </c>
      <c r="AB9" s="30">
        <v>6948.4000000000005</v>
      </c>
      <c r="AC9" s="30">
        <v>8140.3</v>
      </c>
      <c r="AD9" s="56">
        <v>8917.4000000000015</v>
      </c>
      <c r="AF9" s="160"/>
      <c r="AG9" s="30"/>
      <c r="AH9" s="30"/>
      <c r="AI9" s="30"/>
      <c r="AJ9" s="30"/>
      <c r="AK9" s="30"/>
      <c r="AL9" s="30"/>
      <c r="AM9" s="30"/>
      <c r="AN9" s="30"/>
      <c r="AP9" s="160"/>
      <c r="AQ9" s="30"/>
      <c r="AR9" s="30"/>
      <c r="AS9" s="30"/>
      <c r="AT9" s="30"/>
      <c r="AU9" s="30"/>
      <c r="AV9" s="30"/>
      <c r="AW9" s="30"/>
      <c r="AX9" s="30"/>
      <c r="AZ9" s="160"/>
      <c r="BA9" s="30"/>
      <c r="BB9" s="30"/>
      <c r="BC9" s="30"/>
      <c r="BD9" s="30"/>
      <c r="BE9" s="30"/>
      <c r="BF9" s="30"/>
      <c r="BG9" s="30"/>
      <c r="BH9" s="30"/>
      <c r="BJ9" s="160"/>
      <c r="BK9" s="30"/>
      <c r="BL9" s="30"/>
      <c r="BM9" s="30"/>
      <c r="BN9" s="30"/>
      <c r="BO9" s="30"/>
      <c r="BP9" s="30"/>
      <c r="BQ9" s="30"/>
      <c r="BR9" s="30"/>
      <c r="BT9" s="160"/>
      <c r="BU9" s="30"/>
      <c r="BV9" s="30"/>
      <c r="BW9" s="30"/>
      <c r="BX9" s="30"/>
      <c r="BY9" s="30"/>
      <c r="BZ9" s="30"/>
      <c r="CA9" s="30"/>
      <c r="CB9" s="30"/>
      <c r="CD9" s="160"/>
      <c r="CE9" s="30"/>
      <c r="CF9" s="30"/>
      <c r="CG9" s="30"/>
      <c r="CH9" s="30"/>
      <c r="CI9" s="30"/>
      <c r="CJ9" s="30"/>
      <c r="CK9" s="30"/>
      <c r="CL9" s="30"/>
      <c r="CN9" s="160"/>
      <c r="CO9" s="30"/>
      <c r="CP9" s="30"/>
      <c r="CQ9" s="30"/>
      <c r="CR9" s="30"/>
      <c r="CS9" s="30"/>
      <c r="CT9" s="30"/>
      <c r="CU9" s="30"/>
      <c r="CV9" s="30"/>
    </row>
    <row r="10" spans="1:100" ht="18" x14ac:dyDescent="0.45">
      <c r="B10" s="55">
        <v>2025</v>
      </c>
      <c r="C10" s="30">
        <v>2797.6</v>
      </c>
      <c r="D10" s="30">
        <v>3288</v>
      </c>
      <c r="E10" s="30">
        <v>4223.6000000000004</v>
      </c>
      <c r="F10" s="24">
        <v>4949.0999999999995</v>
      </c>
      <c r="G10" s="30">
        <v>5413.5</v>
      </c>
      <c r="H10" s="30">
        <v>6734.2000000000007</v>
      </c>
      <c r="I10" s="30">
        <v>8032.8</v>
      </c>
      <c r="J10" s="56">
        <v>8859.9</v>
      </c>
      <c r="K10" s="9"/>
      <c r="L10" s="55">
        <v>2025</v>
      </c>
      <c r="M10" s="30">
        <v>2432.9</v>
      </c>
      <c r="N10" s="30">
        <v>2939.1</v>
      </c>
      <c r="O10" s="30">
        <v>3889.7</v>
      </c>
      <c r="P10" s="24">
        <v>4617.3999999999996</v>
      </c>
      <c r="Q10" s="30">
        <v>5081.2</v>
      </c>
      <c r="R10" s="30">
        <v>6381.8</v>
      </c>
      <c r="S10" s="30">
        <v>7656.7</v>
      </c>
      <c r="T10" s="56">
        <v>8492.2999999999993</v>
      </c>
      <c r="U10" s="8"/>
      <c r="V10" s="55">
        <v>2025</v>
      </c>
      <c r="W10" s="30">
        <v>2435.4</v>
      </c>
      <c r="X10" s="30">
        <v>2933.3</v>
      </c>
      <c r="Y10" s="30">
        <v>3871.6</v>
      </c>
      <c r="Z10" s="24">
        <v>4604.8</v>
      </c>
      <c r="AA10" s="30">
        <v>5074</v>
      </c>
      <c r="AB10" s="30">
        <v>6397.5</v>
      </c>
      <c r="AC10" s="30">
        <v>7679</v>
      </c>
      <c r="AD10" s="56">
        <v>8516.2999999999993</v>
      </c>
      <c r="AF10" s="160"/>
      <c r="AG10" s="30"/>
      <c r="AH10" s="30"/>
      <c r="AI10" s="30"/>
      <c r="AJ10" s="30"/>
      <c r="AK10" s="30"/>
      <c r="AL10" s="30"/>
      <c r="AM10" s="30"/>
      <c r="AN10" s="30"/>
      <c r="AP10" s="160"/>
      <c r="AQ10" s="30"/>
      <c r="AR10" s="30"/>
      <c r="AS10" s="30"/>
      <c r="AT10" s="30"/>
      <c r="AU10" s="30"/>
      <c r="AV10" s="30"/>
      <c r="AW10" s="30"/>
      <c r="AX10" s="30"/>
      <c r="AZ10" s="160"/>
      <c r="BA10" s="30"/>
      <c r="BB10" s="30"/>
      <c r="BC10" s="30"/>
      <c r="BD10" s="30"/>
      <c r="BE10" s="30"/>
      <c r="BF10" s="30"/>
      <c r="BG10" s="30"/>
      <c r="BH10" s="30"/>
      <c r="BJ10" s="160"/>
      <c r="BK10" s="30"/>
      <c r="BL10" s="30"/>
      <c r="BM10" s="30"/>
      <c r="BN10" s="30"/>
      <c r="BO10" s="30"/>
      <c r="BP10" s="30"/>
      <c r="BQ10" s="30"/>
      <c r="BR10" s="30"/>
      <c r="BT10" s="160"/>
      <c r="BU10" s="30"/>
      <c r="BV10" s="30"/>
      <c r="BW10" s="30"/>
      <c r="BX10" s="30"/>
      <c r="BY10" s="30"/>
      <c r="BZ10" s="30"/>
      <c r="CA10" s="30"/>
      <c r="CB10" s="30"/>
      <c r="CD10" s="160"/>
      <c r="CE10" s="30"/>
      <c r="CF10" s="30"/>
      <c r="CG10" s="30"/>
      <c r="CH10" s="30"/>
      <c r="CI10" s="30"/>
      <c r="CJ10" s="30"/>
      <c r="CK10" s="30"/>
      <c r="CL10" s="30"/>
      <c r="CN10" s="160"/>
      <c r="CO10" s="30"/>
      <c r="CP10" s="30"/>
      <c r="CQ10" s="30"/>
      <c r="CR10" s="30"/>
      <c r="CS10" s="30"/>
      <c r="CT10" s="30"/>
      <c r="CU10" s="30"/>
      <c r="CV10" s="30"/>
    </row>
    <row r="11" spans="1:100" ht="18" x14ac:dyDescent="0.45">
      <c r="B11" s="55">
        <v>2026</v>
      </c>
      <c r="C11" s="30">
        <v>2272.4</v>
      </c>
      <c r="D11" s="30">
        <v>2794.5</v>
      </c>
      <c r="E11" s="30">
        <v>3771.3</v>
      </c>
      <c r="F11" s="24">
        <v>4537.3999999999996</v>
      </c>
      <c r="G11" s="30">
        <v>5014.8999999999996</v>
      </c>
      <c r="H11" s="30">
        <v>6390.4</v>
      </c>
      <c r="I11" s="30">
        <v>7758.2000000000007</v>
      </c>
      <c r="J11" s="56">
        <v>8659</v>
      </c>
      <c r="K11" s="9"/>
      <c r="L11" s="55">
        <v>2026</v>
      </c>
      <c r="M11" s="30">
        <v>1783.6000000000001</v>
      </c>
      <c r="N11" s="30">
        <v>2280.3000000000002</v>
      </c>
      <c r="O11" s="30">
        <v>3237.1</v>
      </c>
      <c r="P11" s="24">
        <v>3983.7</v>
      </c>
      <c r="Q11" s="30">
        <v>4460.0999999999995</v>
      </c>
      <c r="R11" s="30">
        <v>5813.7</v>
      </c>
      <c r="S11" s="30">
        <v>7147.4000000000005</v>
      </c>
      <c r="T11" s="56">
        <v>8018.3</v>
      </c>
      <c r="U11" s="8"/>
      <c r="V11" s="55">
        <v>2026</v>
      </c>
      <c r="W11" s="30">
        <v>1448.3999999999999</v>
      </c>
      <c r="X11" s="30">
        <v>1939</v>
      </c>
      <c r="Y11" s="30">
        <v>2890.2000000000003</v>
      </c>
      <c r="Z11" s="24">
        <v>3642</v>
      </c>
      <c r="AA11" s="30">
        <v>4120.8</v>
      </c>
      <c r="AB11" s="30">
        <v>5470.1</v>
      </c>
      <c r="AC11" s="30">
        <v>6816.2</v>
      </c>
      <c r="AD11" s="56">
        <v>7692.1</v>
      </c>
      <c r="AF11" s="160"/>
      <c r="AG11" s="30"/>
      <c r="AH11" s="30"/>
      <c r="AI11" s="30"/>
      <c r="AJ11" s="30"/>
      <c r="AK11" s="30"/>
      <c r="AL11" s="30"/>
      <c r="AM11" s="30"/>
      <c r="AN11" s="30"/>
      <c r="AP11" s="160"/>
      <c r="AQ11" s="30"/>
      <c r="AR11" s="30"/>
      <c r="AS11" s="30"/>
      <c r="AT11" s="30"/>
      <c r="AU11" s="30"/>
      <c r="AV11" s="30"/>
      <c r="AW11" s="30"/>
      <c r="AX11" s="30"/>
      <c r="AZ11" s="160"/>
      <c r="BA11" s="30"/>
      <c r="BB11" s="30"/>
      <c r="BC11" s="30"/>
      <c r="BD11" s="30"/>
      <c r="BE11" s="30"/>
      <c r="BF11" s="30"/>
      <c r="BG11" s="30"/>
      <c r="BH11" s="30"/>
      <c r="BJ11" s="160"/>
      <c r="BK11" s="30"/>
      <c r="BL11" s="30"/>
      <c r="BM11" s="30"/>
      <c r="BN11" s="30"/>
      <c r="BO11" s="30"/>
      <c r="BP11" s="30"/>
      <c r="BQ11" s="30"/>
      <c r="BR11" s="30"/>
      <c r="BT11" s="160"/>
      <c r="BU11" s="30"/>
      <c r="BV11" s="30"/>
      <c r="BW11" s="30"/>
      <c r="BX11" s="30"/>
      <c r="BY11" s="30"/>
      <c r="BZ11" s="30"/>
      <c r="CA11" s="30"/>
      <c r="CB11" s="30"/>
      <c r="CD11" s="160"/>
      <c r="CE11" s="30"/>
      <c r="CF11" s="30"/>
      <c r="CG11" s="30"/>
      <c r="CH11" s="30"/>
      <c r="CI11" s="30"/>
      <c r="CJ11" s="30"/>
      <c r="CK11" s="30"/>
      <c r="CL11" s="30"/>
      <c r="CN11" s="160"/>
      <c r="CO11" s="30"/>
      <c r="CP11" s="30"/>
      <c r="CQ11" s="30"/>
      <c r="CR11" s="30"/>
      <c r="CS11" s="30"/>
      <c r="CT11" s="30"/>
      <c r="CU11" s="30"/>
      <c r="CV11" s="30"/>
    </row>
    <row r="12" spans="1:100" ht="18" x14ac:dyDescent="0.45">
      <c r="B12" s="55">
        <v>2027</v>
      </c>
      <c r="C12" s="30">
        <v>1897.8999999999999</v>
      </c>
      <c r="D12" s="30">
        <v>2441.1999999999998</v>
      </c>
      <c r="E12" s="30">
        <v>3439</v>
      </c>
      <c r="F12" s="24">
        <v>4211.1000000000004</v>
      </c>
      <c r="G12" s="30">
        <v>4707.2000000000007</v>
      </c>
      <c r="H12" s="30">
        <v>6116.6</v>
      </c>
      <c r="I12" s="30">
        <v>7510.9000000000005</v>
      </c>
      <c r="J12" s="56">
        <v>8465.4000000000015</v>
      </c>
      <c r="K12" s="9"/>
      <c r="L12" s="55">
        <v>2027</v>
      </c>
      <c r="M12" s="30">
        <v>1519.7</v>
      </c>
      <c r="N12" s="30">
        <v>2028.7000000000003</v>
      </c>
      <c r="O12" s="30">
        <v>2991.2000000000003</v>
      </c>
      <c r="P12" s="24">
        <v>3749.1</v>
      </c>
      <c r="Q12" s="30">
        <v>4233.6000000000004</v>
      </c>
      <c r="R12" s="30">
        <v>5622.0999999999995</v>
      </c>
      <c r="S12" s="30">
        <v>7010.3</v>
      </c>
      <c r="T12" s="56">
        <v>7930.6</v>
      </c>
      <c r="U12" s="8"/>
      <c r="V12" s="55">
        <v>2027</v>
      </c>
      <c r="W12" s="30">
        <v>1067.8000000000002</v>
      </c>
      <c r="X12" s="30">
        <v>1524.2</v>
      </c>
      <c r="Y12" s="30">
        <v>2474</v>
      </c>
      <c r="Z12" s="24">
        <v>3212.1</v>
      </c>
      <c r="AA12" s="30">
        <v>3689.5</v>
      </c>
      <c r="AB12" s="30">
        <v>5064.8</v>
      </c>
      <c r="AC12" s="30">
        <v>6449.0999999999995</v>
      </c>
      <c r="AD12" s="56">
        <v>7359.3</v>
      </c>
      <c r="AF12" s="160"/>
      <c r="AG12" s="30"/>
      <c r="AH12" s="30"/>
      <c r="AI12" s="30"/>
      <c r="AJ12" s="30"/>
      <c r="AK12" s="30"/>
      <c r="AL12" s="30"/>
      <c r="AM12" s="30"/>
      <c r="AN12" s="30"/>
      <c r="AP12" s="160"/>
      <c r="AQ12" s="30"/>
      <c r="AR12" s="30"/>
      <c r="AS12" s="30"/>
      <c r="AT12" s="30"/>
      <c r="AU12" s="30"/>
      <c r="AV12" s="30"/>
      <c r="AW12" s="30"/>
      <c r="AX12" s="30"/>
      <c r="AZ12" s="160"/>
      <c r="BA12" s="30"/>
      <c r="BB12" s="30"/>
      <c r="BC12" s="30"/>
      <c r="BD12" s="30"/>
      <c r="BE12" s="30"/>
      <c r="BF12" s="30"/>
      <c r="BG12" s="30"/>
      <c r="BH12" s="30"/>
      <c r="BJ12" s="160"/>
      <c r="BK12" s="30"/>
      <c r="BL12" s="30"/>
      <c r="BM12" s="30"/>
      <c r="BN12" s="30"/>
      <c r="BO12" s="30"/>
      <c r="BP12" s="30"/>
      <c r="BQ12" s="30"/>
      <c r="BR12" s="30"/>
      <c r="BT12" s="160"/>
      <c r="BU12" s="30"/>
      <c r="BV12" s="30"/>
      <c r="BW12" s="30"/>
      <c r="BX12" s="30"/>
      <c r="BY12" s="30"/>
      <c r="BZ12" s="30"/>
      <c r="CA12" s="30"/>
      <c r="CB12" s="30"/>
      <c r="CD12" s="160"/>
      <c r="CE12" s="30"/>
      <c r="CF12" s="30"/>
      <c r="CG12" s="30"/>
      <c r="CH12" s="30"/>
      <c r="CI12" s="30"/>
      <c r="CJ12" s="30"/>
      <c r="CK12" s="30"/>
      <c r="CL12" s="30"/>
      <c r="CN12" s="160"/>
      <c r="CO12" s="30"/>
      <c r="CP12" s="30"/>
      <c r="CQ12" s="30"/>
      <c r="CR12" s="30"/>
      <c r="CS12" s="30"/>
      <c r="CT12" s="30"/>
      <c r="CU12" s="30"/>
      <c r="CV12" s="30"/>
    </row>
    <row r="13" spans="1:100" ht="18" x14ac:dyDescent="0.45">
      <c r="B13" s="55">
        <v>2028</v>
      </c>
      <c r="C13" s="30">
        <v>1699.3</v>
      </c>
      <c r="D13" s="30">
        <v>2235.7999999999997</v>
      </c>
      <c r="E13" s="30">
        <v>3236.9</v>
      </c>
      <c r="F13" s="24">
        <v>4020.4000000000005</v>
      </c>
      <c r="G13" s="30">
        <v>4514.8</v>
      </c>
      <c r="H13" s="30">
        <v>5944.5</v>
      </c>
      <c r="I13" s="30">
        <v>7374.9000000000005</v>
      </c>
      <c r="J13" s="56">
        <v>8346.1999999999989</v>
      </c>
      <c r="K13" s="9"/>
      <c r="L13" s="55">
        <v>2028</v>
      </c>
      <c r="M13" s="30">
        <v>1442</v>
      </c>
      <c r="N13" s="30">
        <v>1941.6</v>
      </c>
      <c r="O13" s="30">
        <v>2926.6</v>
      </c>
      <c r="P13" s="24">
        <v>3695.3</v>
      </c>
      <c r="Q13" s="30">
        <v>4183.8</v>
      </c>
      <c r="R13" s="30">
        <v>5592.4</v>
      </c>
      <c r="S13" s="30">
        <v>7013</v>
      </c>
      <c r="T13" s="56">
        <v>7956.9</v>
      </c>
      <c r="U13" s="8"/>
      <c r="V13" s="55">
        <v>2028</v>
      </c>
      <c r="W13" s="30">
        <v>1074.2</v>
      </c>
      <c r="X13" s="30">
        <v>1552</v>
      </c>
      <c r="Y13" s="30">
        <v>2507.1</v>
      </c>
      <c r="Z13" s="24">
        <v>3257.7</v>
      </c>
      <c r="AA13" s="30">
        <v>3742.6</v>
      </c>
      <c r="AB13" s="30">
        <v>5139.2</v>
      </c>
      <c r="AC13" s="30">
        <v>6555.7999999999993</v>
      </c>
      <c r="AD13" s="56">
        <v>7492.7</v>
      </c>
      <c r="AF13" s="160"/>
      <c r="AG13" s="30"/>
      <c r="AH13" s="30"/>
      <c r="AI13" s="30"/>
      <c r="AJ13" s="30"/>
      <c r="AK13" s="30"/>
      <c r="AL13" s="30"/>
      <c r="AM13" s="30"/>
      <c r="AN13" s="30"/>
      <c r="AP13" s="160"/>
      <c r="AQ13" s="30"/>
      <c r="AR13" s="30"/>
      <c r="AS13" s="30"/>
      <c r="AT13" s="30"/>
      <c r="AU13" s="30"/>
      <c r="AV13" s="30"/>
      <c r="AW13" s="30"/>
      <c r="AX13" s="30"/>
      <c r="AZ13" s="160"/>
      <c r="BA13" s="30"/>
      <c r="BB13" s="30"/>
      <c r="BC13" s="30"/>
      <c r="BD13" s="30"/>
      <c r="BE13" s="30"/>
      <c r="BF13" s="30"/>
      <c r="BG13" s="30"/>
      <c r="BH13" s="30"/>
      <c r="BJ13" s="160"/>
      <c r="BK13" s="30"/>
      <c r="BL13" s="30"/>
      <c r="BM13" s="30"/>
      <c r="BN13" s="30"/>
      <c r="BO13" s="30"/>
      <c r="BP13" s="30"/>
      <c r="BQ13" s="30"/>
      <c r="BR13" s="30"/>
      <c r="BT13" s="160"/>
      <c r="BU13" s="30"/>
      <c r="BV13" s="30"/>
      <c r="BW13" s="30"/>
      <c r="BX13" s="30"/>
      <c r="BY13" s="30"/>
      <c r="BZ13" s="30"/>
      <c r="CA13" s="30"/>
      <c r="CB13" s="30"/>
      <c r="CD13" s="160"/>
      <c r="CE13" s="30"/>
      <c r="CF13" s="30"/>
      <c r="CG13" s="30"/>
      <c r="CH13" s="30"/>
      <c r="CI13" s="30"/>
      <c r="CJ13" s="30"/>
      <c r="CK13" s="30"/>
      <c r="CL13" s="30"/>
      <c r="CN13" s="160"/>
      <c r="CO13" s="30"/>
      <c r="CP13" s="30"/>
      <c r="CQ13" s="30"/>
      <c r="CR13" s="30"/>
      <c r="CS13" s="30"/>
      <c r="CT13" s="30"/>
      <c r="CU13" s="30"/>
      <c r="CV13" s="30"/>
    </row>
    <row r="14" spans="1:100" ht="18" x14ac:dyDescent="0.45">
      <c r="B14" s="55">
        <v>2029</v>
      </c>
      <c r="C14" s="30">
        <v>1577.1</v>
      </c>
      <c r="D14" s="30">
        <v>2112.2999999999997</v>
      </c>
      <c r="E14" s="30">
        <v>3098.7</v>
      </c>
      <c r="F14" s="24">
        <v>3887.5</v>
      </c>
      <c r="G14" s="30">
        <v>4390</v>
      </c>
      <c r="H14" s="30">
        <v>5829.5</v>
      </c>
      <c r="I14" s="30">
        <v>7276.2</v>
      </c>
      <c r="J14" s="56">
        <v>8244.1</v>
      </c>
      <c r="K14" s="9"/>
      <c r="L14" s="55">
        <v>2029</v>
      </c>
      <c r="M14" s="30">
        <v>1427.2</v>
      </c>
      <c r="N14" s="30">
        <v>1945.3</v>
      </c>
      <c r="O14" s="30">
        <v>2936.5</v>
      </c>
      <c r="P14" s="24">
        <v>3711.2</v>
      </c>
      <c r="Q14" s="30">
        <v>4212.7</v>
      </c>
      <c r="R14" s="30">
        <v>5637.8</v>
      </c>
      <c r="S14" s="30">
        <v>7085.6</v>
      </c>
      <c r="T14" s="56">
        <v>8063.4</v>
      </c>
      <c r="U14" s="8"/>
      <c r="V14" s="55">
        <v>2029</v>
      </c>
      <c r="W14" s="30">
        <v>1167</v>
      </c>
      <c r="X14" s="30">
        <v>1663</v>
      </c>
      <c r="Y14" s="30">
        <v>2628.8</v>
      </c>
      <c r="Z14" s="24">
        <v>3393.4</v>
      </c>
      <c r="AA14" s="30">
        <v>3893.8</v>
      </c>
      <c r="AB14" s="30">
        <v>5323.4000000000005</v>
      </c>
      <c r="AC14" s="30">
        <v>6759.2</v>
      </c>
      <c r="AD14" s="56">
        <v>7707.8</v>
      </c>
      <c r="AF14" s="160"/>
      <c r="AG14" s="30"/>
      <c r="AH14" s="30"/>
      <c r="AI14" s="30"/>
      <c r="AJ14" s="30"/>
      <c r="AK14" s="30"/>
      <c r="AL14" s="30"/>
      <c r="AM14" s="30"/>
      <c r="AN14" s="30"/>
      <c r="AP14" s="160"/>
      <c r="AQ14" s="30"/>
      <c r="AR14" s="30"/>
      <c r="AS14" s="30"/>
      <c r="AT14" s="30"/>
      <c r="AU14" s="30"/>
      <c r="AV14" s="30"/>
      <c r="AW14" s="30"/>
      <c r="AX14" s="30"/>
      <c r="AZ14" s="160"/>
      <c r="BA14" s="30"/>
      <c r="BB14" s="30"/>
      <c r="BC14" s="30"/>
      <c r="BD14" s="30"/>
      <c r="BE14" s="30"/>
      <c r="BF14" s="30"/>
      <c r="BG14" s="30"/>
      <c r="BH14" s="30"/>
      <c r="BJ14" s="160"/>
      <c r="BK14" s="30"/>
      <c r="BL14" s="30"/>
      <c r="BM14" s="30"/>
      <c r="BN14" s="30"/>
      <c r="BO14" s="30"/>
      <c r="BP14" s="30"/>
      <c r="BQ14" s="30"/>
      <c r="BR14" s="30"/>
      <c r="BT14" s="160"/>
      <c r="BU14" s="30"/>
      <c r="BV14" s="30"/>
      <c r="BW14" s="30"/>
      <c r="BX14" s="30"/>
      <c r="BY14" s="30"/>
      <c r="BZ14" s="30"/>
      <c r="CA14" s="30"/>
      <c r="CB14" s="30"/>
      <c r="CD14" s="160"/>
      <c r="CE14" s="30"/>
      <c r="CF14" s="30"/>
      <c r="CG14" s="30"/>
      <c r="CH14" s="30"/>
      <c r="CI14" s="30"/>
      <c r="CJ14" s="30"/>
      <c r="CK14" s="30"/>
      <c r="CL14" s="30"/>
      <c r="CN14" s="160"/>
      <c r="CO14" s="30"/>
      <c r="CP14" s="30"/>
      <c r="CQ14" s="30"/>
      <c r="CR14" s="30"/>
      <c r="CS14" s="30"/>
      <c r="CT14" s="30"/>
      <c r="CU14" s="30"/>
      <c r="CV14" s="30"/>
    </row>
    <row r="15" spans="1:100" ht="18" x14ac:dyDescent="0.45">
      <c r="B15" s="55">
        <v>2030</v>
      </c>
      <c r="C15" s="30">
        <v>1473.3</v>
      </c>
      <c r="D15" s="30">
        <v>1985.1000000000001</v>
      </c>
      <c r="E15" s="30">
        <v>2985.1</v>
      </c>
      <c r="F15" s="24">
        <v>3767.3999999999996</v>
      </c>
      <c r="G15" s="30">
        <v>4275</v>
      </c>
      <c r="H15" s="30">
        <v>5729.0999999999995</v>
      </c>
      <c r="I15" s="30">
        <v>7177.7</v>
      </c>
      <c r="J15" s="56">
        <v>8135.9999999999991</v>
      </c>
      <c r="K15" s="9"/>
      <c r="L15" s="55">
        <v>2030</v>
      </c>
      <c r="M15" s="30">
        <v>1411.5</v>
      </c>
      <c r="N15" s="30">
        <v>1935.1000000000001</v>
      </c>
      <c r="O15" s="30">
        <v>2935.1</v>
      </c>
      <c r="P15" s="24">
        <v>3725.4</v>
      </c>
      <c r="Q15" s="30">
        <v>4223.2000000000007</v>
      </c>
      <c r="R15" s="30">
        <v>5663.9</v>
      </c>
      <c r="S15" s="30">
        <v>7138.5</v>
      </c>
      <c r="T15" s="56">
        <v>8088.3</v>
      </c>
      <c r="U15" s="8"/>
      <c r="V15" s="55">
        <v>2030</v>
      </c>
      <c r="W15" s="30">
        <v>1234.3</v>
      </c>
      <c r="X15" s="30">
        <v>1748.8</v>
      </c>
      <c r="Y15" s="30">
        <v>2742.6</v>
      </c>
      <c r="Z15" s="24">
        <v>3509.1</v>
      </c>
      <c r="AA15" s="30">
        <v>4021</v>
      </c>
      <c r="AB15" s="30">
        <v>5456.5999999999995</v>
      </c>
      <c r="AC15" s="30">
        <v>6905.3</v>
      </c>
      <c r="AD15" s="56">
        <v>7878.3</v>
      </c>
      <c r="AF15" s="160"/>
      <c r="AG15" s="30"/>
      <c r="AH15" s="30"/>
      <c r="AI15" s="30"/>
      <c r="AJ15" s="30"/>
      <c r="AK15" s="30"/>
      <c r="AL15" s="30"/>
      <c r="AM15" s="30"/>
      <c r="AN15" s="30"/>
      <c r="AP15" s="160"/>
      <c r="AQ15" s="30"/>
      <c r="AR15" s="30"/>
      <c r="AS15" s="30"/>
      <c r="AT15" s="30"/>
      <c r="AU15" s="30"/>
      <c r="AV15" s="30"/>
      <c r="AW15" s="30"/>
      <c r="AX15" s="30"/>
      <c r="AZ15" s="160"/>
      <c r="BA15" s="30"/>
      <c r="BB15" s="30"/>
      <c r="BC15" s="30"/>
      <c r="BD15" s="30"/>
      <c r="BE15" s="30"/>
      <c r="BF15" s="30"/>
      <c r="BG15" s="30"/>
      <c r="BH15" s="30"/>
      <c r="BJ15" s="160"/>
      <c r="BK15" s="30"/>
      <c r="BL15" s="30"/>
      <c r="BM15" s="30"/>
      <c r="BN15" s="30"/>
      <c r="BO15" s="30"/>
      <c r="BP15" s="30"/>
      <c r="BQ15" s="30"/>
      <c r="BR15" s="30"/>
      <c r="BT15" s="160"/>
      <c r="BU15" s="30"/>
      <c r="BV15" s="30"/>
      <c r="BW15" s="30"/>
      <c r="BX15" s="30"/>
      <c r="BY15" s="30"/>
      <c r="BZ15" s="30"/>
      <c r="CA15" s="30"/>
      <c r="CB15" s="30"/>
      <c r="CD15" s="160"/>
      <c r="CE15" s="30"/>
      <c r="CF15" s="30"/>
      <c r="CG15" s="30"/>
      <c r="CH15" s="30"/>
      <c r="CI15" s="30"/>
      <c r="CJ15" s="30"/>
      <c r="CK15" s="30"/>
      <c r="CL15" s="30"/>
      <c r="CN15" s="160"/>
      <c r="CO15" s="30"/>
      <c r="CP15" s="30"/>
      <c r="CQ15" s="30"/>
      <c r="CR15" s="30"/>
      <c r="CS15" s="30"/>
      <c r="CT15" s="30"/>
      <c r="CU15" s="30"/>
      <c r="CV15" s="30"/>
    </row>
    <row r="16" spans="1:100" ht="18" x14ac:dyDescent="0.45">
      <c r="B16" s="55">
        <v>2031</v>
      </c>
      <c r="C16" s="30">
        <v>1371.3</v>
      </c>
      <c r="D16" s="30">
        <v>1892</v>
      </c>
      <c r="E16" s="30">
        <v>2895.7000000000003</v>
      </c>
      <c r="F16" s="24">
        <v>3690.3</v>
      </c>
      <c r="G16" s="30">
        <v>4197</v>
      </c>
      <c r="H16" s="30">
        <v>5637.6</v>
      </c>
      <c r="I16" s="30">
        <v>7091.1</v>
      </c>
      <c r="J16" s="56">
        <v>8067.5000000000009</v>
      </c>
      <c r="K16" s="9"/>
      <c r="L16" s="55">
        <v>2031</v>
      </c>
      <c r="M16" s="30">
        <v>1396.4</v>
      </c>
      <c r="N16" s="30">
        <v>1929.3</v>
      </c>
      <c r="O16" s="30">
        <v>2937.3999999999996</v>
      </c>
      <c r="P16" s="24">
        <v>3728.7</v>
      </c>
      <c r="Q16" s="30">
        <v>4231</v>
      </c>
      <c r="R16" s="30">
        <v>5683.4</v>
      </c>
      <c r="S16" s="30">
        <v>7152.2</v>
      </c>
      <c r="T16" s="56">
        <v>8128.4</v>
      </c>
      <c r="U16" s="8"/>
      <c r="V16" s="55">
        <v>2031</v>
      </c>
      <c r="W16" s="30">
        <v>1292.3</v>
      </c>
      <c r="X16" s="30">
        <v>1819.8000000000002</v>
      </c>
      <c r="Y16" s="30">
        <v>2829.5</v>
      </c>
      <c r="Z16" s="24">
        <v>3617.9</v>
      </c>
      <c r="AA16" s="30">
        <v>4107.7000000000007</v>
      </c>
      <c r="AB16" s="30">
        <v>5569.4</v>
      </c>
      <c r="AC16" s="30">
        <v>7014.5999999999995</v>
      </c>
      <c r="AD16" s="56">
        <v>7974.7000000000007</v>
      </c>
      <c r="AF16" s="160"/>
      <c r="AG16" s="30"/>
      <c r="AH16" s="30"/>
      <c r="AI16" s="30"/>
      <c r="AJ16" s="30"/>
      <c r="AK16" s="30"/>
      <c r="AL16" s="30"/>
      <c r="AM16" s="30"/>
      <c r="AN16" s="30"/>
      <c r="AP16" s="160"/>
      <c r="AQ16" s="30"/>
      <c r="AR16" s="30"/>
      <c r="AS16" s="30"/>
      <c r="AT16" s="30"/>
      <c r="AU16" s="30"/>
      <c r="AV16" s="30"/>
      <c r="AW16" s="30"/>
      <c r="AX16" s="30"/>
      <c r="AZ16" s="160"/>
      <c r="BA16" s="30"/>
      <c r="BB16" s="30"/>
      <c r="BC16" s="30"/>
      <c r="BD16" s="30"/>
      <c r="BE16" s="30"/>
      <c r="BF16" s="30"/>
      <c r="BG16" s="30"/>
      <c r="BH16" s="30"/>
      <c r="BJ16" s="160"/>
      <c r="BK16" s="30"/>
      <c r="BL16" s="30"/>
      <c r="BM16" s="30"/>
      <c r="BN16" s="30"/>
      <c r="BO16" s="30"/>
      <c r="BP16" s="30"/>
      <c r="BQ16" s="30"/>
      <c r="BR16" s="30"/>
      <c r="BT16" s="160"/>
      <c r="BU16" s="30"/>
      <c r="BV16" s="30"/>
      <c r="BW16" s="30"/>
      <c r="BX16" s="30"/>
      <c r="BY16" s="30"/>
      <c r="BZ16" s="30"/>
      <c r="CA16" s="30"/>
      <c r="CB16" s="30"/>
      <c r="CD16" s="160"/>
      <c r="CE16" s="30"/>
      <c r="CF16" s="30"/>
      <c r="CG16" s="30"/>
      <c r="CH16" s="30"/>
      <c r="CI16" s="30"/>
      <c r="CJ16" s="30"/>
      <c r="CK16" s="30"/>
      <c r="CL16" s="30"/>
      <c r="CN16" s="160"/>
      <c r="CO16" s="30"/>
      <c r="CP16" s="30"/>
      <c r="CQ16" s="30"/>
      <c r="CR16" s="30"/>
      <c r="CS16" s="30"/>
      <c r="CT16" s="30"/>
      <c r="CU16" s="30"/>
      <c r="CV16" s="30"/>
    </row>
    <row r="17" spans="2:101" ht="18" x14ac:dyDescent="0.45">
      <c r="B17" s="55">
        <v>2032</v>
      </c>
      <c r="C17" s="30">
        <v>1334.4</v>
      </c>
      <c r="D17" s="30">
        <v>1854</v>
      </c>
      <c r="E17" s="30">
        <v>2863.4</v>
      </c>
      <c r="F17" s="24">
        <v>3655.9</v>
      </c>
      <c r="G17" s="30">
        <v>4167.3</v>
      </c>
      <c r="H17" s="30">
        <v>5614.4</v>
      </c>
      <c r="I17" s="30">
        <v>7060.7</v>
      </c>
      <c r="J17" s="56">
        <v>8034.8</v>
      </c>
      <c r="K17" s="9"/>
      <c r="L17" s="55">
        <v>2032</v>
      </c>
      <c r="M17" s="30">
        <v>1387.7</v>
      </c>
      <c r="N17" s="30">
        <v>1924.8</v>
      </c>
      <c r="O17" s="30">
        <v>2936.2</v>
      </c>
      <c r="P17" s="24">
        <v>3728.1</v>
      </c>
      <c r="Q17" s="30">
        <v>4244.7999999999993</v>
      </c>
      <c r="R17" s="30">
        <v>5698.5</v>
      </c>
      <c r="S17" s="30">
        <v>7153.9000000000005</v>
      </c>
      <c r="T17" s="56">
        <v>8149.5999999999995</v>
      </c>
      <c r="U17" s="8"/>
      <c r="V17" s="55">
        <v>2032</v>
      </c>
      <c r="W17" s="30">
        <v>1328.1000000000001</v>
      </c>
      <c r="X17" s="30">
        <v>1873.3999999999999</v>
      </c>
      <c r="Y17" s="30">
        <v>2889.1</v>
      </c>
      <c r="Z17" s="24">
        <v>3687.2</v>
      </c>
      <c r="AA17" s="30">
        <v>4195.2999999999993</v>
      </c>
      <c r="AB17" s="30">
        <v>5651.0999999999995</v>
      </c>
      <c r="AC17" s="30">
        <v>7101.5</v>
      </c>
      <c r="AD17" s="56">
        <v>8042.6</v>
      </c>
      <c r="AF17" s="160"/>
      <c r="AG17" s="30"/>
      <c r="AH17" s="30"/>
      <c r="AI17" s="30"/>
      <c r="AJ17" s="30"/>
      <c r="AK17" s="30"/>
      <c r="AL17" s="30"/>
      <c r="AM17" s="30"/>
      <c r="AN17" s="30"/>
      <c r="AP17" s="160"/>
      <c r="AQ17" s="30"/>
      <c r="AR17" s="30"/>
      <c r="AS17" s="30"/>
      <c r="AT17" s="30"/>
      <c r="AU17" s="30"/>
      <c r="AV17" s="30"/>
      <c r="AW17" s="30"/>
      <c r="AX17" s="30"/>
      <c r="AZ17" s="160"/>
      <c r="BA17" s="30"/>
      <c r="BB17" s="30"/>
      <c r="BC17" s="30"/>
      <c r="BD17" s="30"/>
      <c r="BE17" s="30"/>
      <c r="BF17" s="30"/>
      <c r="BG17" s="30"/>
      <c r="BH17" s="30"/>
      <c r="BJ17" s="160"/>
      <c r="BK17" s="30"/>
      <c r="BL17" s="30"/>
      <c r="BM17" s="30"/>
      <c r="BN17" s="30"/>
      <c r="BO17" s="30"/>
      <c r="BP17" s="30"/>
      <c r="BQ17" s="30"/>
      <c r="BR17" s="30"/>
      <c r="BT17" s="160"/>
      <c r="BU17" s="30"/>
      <c r="BV17" s="30"/>
      <c r="BW17" s="30"/>
      <c r="BX17" s="30"/>
      <c r="BY17" s="30"/>
      <c r="BZ17" s="30"/>
      <c r="CA17" s="30"/>
      <c r="CB17" s="30"/>
      <c r="CD17" s="160"/>
      <c r="CE17" s="30"/>
      <c r="CF17" s="30"/>
      <c r="CG17" s="30"/>
      <c r="CH17" s="30"/>
      <c r="CI17" s="30"/>
      <c r="CJ17" s="30"/>
      <c r="CK17" s="30"/>
      <c r="CL17" s="30"/>
      <c r="CN17" s="160"/>
      <c r="CO17" s="30"/>
      <c r="CP17" s="30"/>
      <c r="CQ17" s="30"/>
      <c r="CR17" s="30"/>
      <c r="CS17" s="30"/>
      <c r="CT17" s="30"/>
      <c r="CU17" s="30"/>
      <c r="CV17" s="30"/>
    </row>
    <row r="18" spans="2:101" ht="18" x14ac:dyDescent="0.45">
      <c r="B18" s="55">
        <v>2033</v>
      </c>
      <c r="C18" s="30">
        <v>1336.9</v>
      </c>
      <c r="D18" s="30">
        <v>1859.9</v>
      </c>
      <c r="E18" s="30">
        <v>2877.3</v>
      </c>
      <c r="F18" s="24">
        <v>3661.7999999999997</v>
      </c>
      <c r="G18" s="30">
        <v>4165.0999999999995</v>
      </c>
      <c r="H18" s="30">
        <v>5631.5999999999995</v>
      </c>
      <c r="I18" s="30">
        <v>7080.5</v>
      </c>
      <c r="J18" s="56">
        <v>8076.4</v>
      </c>
      <c r="K18" s="9"/>
      <c r="L18" s="55">
        <v>2033</v>
      </c>
      <c r="M18" s="30">
        <v>1381</v>
      </c>
      <c r="N18" s="30">
        <v>1917.3</v>
      </c>
      <c r="O18" s="30">
        <v>2936.3</v>
      </c>
      <c r="P18" s="24">
        <v>3739.9</v>
      </c>
      <c r="Q18" s="30">
        <v>4248.4000000000005</v>
      </c>
      <c r="R18" s="30">
        <v>5701.1</v>
      </c>
      <c r="S18" s="30">
        <v>7169.8</v>
      </c>
      <c r="T18" s="56">
        <v>8175.7000000000007</v>
      </c>
      <c r="U18" s="8"/>
      <c r="V18" s="55">
        <v>2033</v>
      </c>
      <c r="W18" s="30">
        <v>1373.6</v>
      </c>
      <c r="X18" s="30">
        <v>1912</v>
      </c>
      <c r="Y18" s="30">
        <v>2950</v>
      </c>
      <c r="Z18" s="24">
        <v>3748.7</v>
      </c>
      <c r="AA18" s="30">
        <v>4257.5</v>
      </c>
      <c r="AB18" s="30">
        <v>5718.7</v>
      </c>
      <c r="AC18" s="30">
        <v>7185</v>
      </c>
      <c r="AD18" s="56">
        <v>8139.7999999999993</v>
      </c>
      <c r="AF18" s="160"/>
      <c r="AG18" s="30"/>
      <c r="AH18" s="30"/>
      <c r="AI18" s="30"/>
      <c r="AJ18" s="30"/>
      <c r="AK18" s="30"/>
      <c r="AL18" s="30"/>
      <c r="AM18" s="30"/>
      <c r="AN18" s="30"/>
      <c r="AP18" s="160"/>
      <c r="AQ18" s="30"/>
      <c r="AR18" s="30"/>
      <c r="AS18" s="30"/>
      <c r="AT18" s="30"/>
      <c r="AU18" s="30"/>
      <c r="AV18" s="30"/>
      <c r="AW18" s="30"/>
      <c r="AX18" s="30"/>
      <c r="AZ18" s="160"/>
      <c r="BA18" s="30"/>
      <c r="BB18" s="30"/>
      <c r="BC18" s="30"/>
      <c r="BD18" s="30"/>
      <c r="BE18" s="30"/>
      <c r="BF18" s="30"/>
      <c r="BG18" s="30"/>
      <c r="BH18" s="30"/>
      <c r="BJ18" s="160"/>
      <c r="BK18" s="30"/>
      <c r="BL18" s="30"/>
      <c r="BM18" s="30"/>
      <c r="BN18" s="30"/>
      <c r="BO18" s="30"/>
      <c r="BP18" s="30"/>
      <c r="BQ18" s="30"/>
      <c r="BR18" s="30"/>
      <c r="BT18" s="160"/>
      <c r="BU18" s="30"/>
      <c r="BV18" s="30"/>
      <c r="BW18" s="30"/>
      <c r="BX18" s="30"/>
      <c r="BY18" s="30"/>
      <c r="BZ18" s="30"/>
      <c r="CA18" s="30"/>
      <c r="CB18" s="30"/>
      <c r="CD18" s="160"/>
      <c r="CE18" s="30"/>
      <c r="CF18" s="30"/>
      <c r="CG18" s="30"/>
      <c r="CH18" s="30"/>
      <c r="CI18" s="30"/>
      <c r="CJ18" s="30"/>
      <c r="CK18" s="30"/>
      <c r="CL18" s="30"/>
      <c r="CN18" s="160"/>
      <c r="CO18" s="30"/>
      <c r="CP18" s="30"/>
      <c r="CQ18" s="30"/>
      <c r="CR18" s="30"/>
      <c r="CS18" s="30"/>
      <c r="CT18" s="30"/>
      <c r="CU18" s="30"/>
      <c r="CV18" s="30"/>
    </row>
    <row r="19" spans="2:101" ht="18.45" thickBot="1" x14ac:dyDescent="0.5">
      <c r="B19" s="53">
        <v>2034</v>
      </c>
      <c r="C19" s="25">
        <v>1337.3</v>
      </c>
      <c r="D19" s="25">
        <v>1868.2</v>
      </c>
      <c r="E19" s="25">
        <v>2890.5</v>
      </c>
      <c r="F19" s="26">
        <v>3682.3</v>
      </c>
      <c r="G19" s="25">
        <v>4191.3999999999996</v>
      </c>
      <c r="H19" s="25">
        <v>5642.5</v>
      </c>
      <c r="I19" s="25">
        <v>7116.2</v>
      </c>
      <c r="J19" s="57">
        <v>8089.6</v>
      </c>
      <c r="K19" s="9"/>
      <c r="L19" s="53">
        <v>2034</v>
      </c>
      <c r="M19" s="25">
        <v>1372.8</v>
      </c>
      <c r="N19" s="25">
        <v>1912.3000000000002</v>
      </c>
      <c r="O19" s="25">
        <v>2940</v>
      </c>
      <c r="P19" s="26">
        <v>3735.2</v>
      </c>
      <c r="Q19" s="25">
        <v>4249.3</v>
      </c>
      <c r="R19" s="25">
        <v>5714.1</v>
      </c>
      <c r="S19" s="25">
        <v>7179.9</v>
      </c>
      <c r="T19" s="57">
        <v>8165.1</v>
      </c>
      <c r="U19" s="8"/>
      <c r="V19" s="53">
        <v>2034</v>
      </c>
      <c r="W19" s="25">
        <v>1406</v>
      </c>
      <c r="X19" s="25">
        <v>1946.1</v>
      </c>
      <c r="Y19" s="25">
        <v>2984.9</v>
      </c>
      <c r="Z19" s="26">
        <v>3789.2000000000003</v>
      </c>
      <c r="AA19" s="25">
        <v>4306.0999999999995</v>
      </c>
      <c r="AB19" s="25">
        <v>5779.5</v>
      </c>
      <c r="AC19" s="25">
        <v>7236</v>
      </c>
      <c r="AD19" s="57">
        <v>8187.3</v>
      </c>
      <c r="AF19" s="160"/>
      <c r="AG19" s="30"/>
      <c r="AH19" s="30"/>
      <c r="AI19" s="30"/>
      <c r="AJ19" s="30"/>
      <c r="AK19" s="30"/>
      <c r="AL19" s="30"/>
      <c r="AM19" s="30"/>
      <c r="AN19" s="30"/>
      <c r="AP19" s="160"/>
      <c r="AQ19" s="30"/>
      <c r="AR19" s="30"/>
      <c r="AS19" s="30"/>
      <c r="AT19" s="30"/>
      <c r="AU19" s="30"/>
      <c r="AV19" s="30"/>
      <c r="AW19" s="30"/>
      <c r="AX19" s="30"/>
      <c r="AZ19" s="160"/>
      <c r="BA19" s="30"/>
      <c r="BB19" s="30"/>
      <c r="BC19" s="30"/>
      <c r="BD19" s="30"/>
      <c r="BE19" s="30"/>
      <c r="BF19" s="30"/>
      <c r="BG19" s="30"/>
      <c r="BH19" s="30"/>
      <c r="BJ19" s="160"/>
      <c r="BK19" s="30"/>
      <c r="BL19" s="30"/>
      <c r="BM19" s="30"/>
      <c r="BN19" s="30"/>
      <c r="BO19" s="30"/>
      <c r="BP19" s="30"/>
      <c r="BQ19" s="30"/>
      <c r="BR19" s="30"/>
      <c r="BT19" s="160"/>
      <c r="BU19" s="30"/>
      <c r="BV19" s="30"/>
      <c r="BW19" s="30"/>
      <c r="BX19" s="30"/>
      <c r="BY19" s="30"/>
      <c r="BZ19" s="30"/>
      <c r="CA19" s="30"/>
      <c r="CB19" s="30"/>
      <c r="CD19" s="160"/>
      <c r="CE19" s="30"/>
      <c r="CF19" s="30"/>
      <c r="CG19" s="30"/>
      <c r="CH19" s="30"/>
      <c r="CI19" s="30"/>
      <c r="CJ19" s="30"/>
      <c r="CK19" s="30"/>
      <c r="CL19" s="30"/>
      <c r="CN19" s="160"/>
      <c r="CO19" s="30"/>
      <c r="CP19" s="30"/>
      <c r="CQ19" s="30"/>
      <c r="CR19" s="30"/>
      <c r="CS19" s="30"/>
      <c r="CT19" s="30"/>
      <c r="CU19" s="30"/>
      <c r="CV19" s="30"/>
    </row>
    <row r="20" spans="2:101" ht="18" x14ac:dyDescent="0.45">
      <c r="B20" s="6"/>
      <c r="C20" s="6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8"/>
      <c r="V20" s="17"/>
      <c r="W20" s="18"/>
      <c r="X20" s="18"/>
      <c r="Y20" s="18"/>
      <c r="Z20" s="16"/>
      <c r="AA20" s="17"/>
      <c r="AB20" s="18"/>
      <c r="AC20" s="18"/>
      <c r="AD20" s="18"/>
    </row>
    <row r="21" spans="2:101" ht="18" x14ac:dyDescent="0.45">
      <c r="B21" s="6"/>
      <c r="C21" s="150"/>
      <c r="D21" s="150"/>
      <c r="E21" s="150"/>
      <c r="F21" s="30"/>
      <c r="G21" s="150"/>
      <c r="H21" s="150"/>
      <c r="I21" s="150"/>
      <c r="J21" s="150"/>
      <c r="K21" s="150"/>
      <c r="L21" s="18"/>
      <c r="M21" s="18"/>
      <c r="N21" s="18"/>
      <c r="O21" s="18"/>
      <c r="P21" s="18"/>
      <c r="Q21" s="18"/>
      <c r="R21" s="16"/>
      <c r="S21" s="17"/>
      <c r="T21" s="18"/>
      <c r="U21" s="15"/>
      <c r="Y21" s="18"/>
      <c r="Z21" s="18"/>
      <c r="AA21" s="18"/>
      <c r="AB21" s="18"/>
      <c r="AC21" s="18"/>
      <c r="AD21" s="18"/>
      <c r="AE21" s="18"/>
      <c r="AH21" s="151"/>
      <c r="AI21" s="151"/>
      <c r="AJ21" s="151"/>
      <c r="AK21" s="151"/>
      <c r="AL21" s="151"/>
      <c r="AM21" s="151"/>
      <c r="AN21" s="151"/>
      <c r="AO21" s="151"/>
      <c r="AR21" s="151"/>
      <c r="AS21" s="151"/>
      <c r="AT21" s="151"/>
      <c r="AU21" s="151"/>
      <c r="AV21" s="151"/>
      <c r="AW21" s="151"/>
      <c r="AX21" s="151"/>
      <c r="AY21" s="151"/>
      <c r="BB21" s="151"/>
      <c r="BC21" s="151"/>
      <c r="BD21" s="151"/>
      <c r="BE21" s="151"/>
      <c r="BF21" s="151"/>
      <c r="BG21" s="151"/>
      <c r="BH21" s="151"/>
      <c r="BI21" s="151"/>
      <c r="BY21" s="152"/>
      <c r="CF21" s="151"/>
      <c r="CG21" s="151"/>
      <c r="CH21" s="151"/>
      <c r="CJ21" s="151"/>
      <c r="CK21" s="151"/>
      <c r="CL21" s="151"/>
      <c r="CM21" s="151"/>
      <c r="CW21" s="151"/>
    </row>
    <row r="22" spans="2:101" ht="18" x14ac:dyDescent="0.4">
      <c r="B22" s="6"/>
      <c r="C22" s="150"/>
      <c r="D22" s="150"/>
      <c r="E22" t="s">
        <v>71</v>
      </c>
      <c r="F22" t="s">
        <v>70</v>
      </c>
      <c r="G22" t="s">
        <v>72</v>
      </c>
      <c r="H22" s="150" t="s">
        <v>91</v>
      </c>
      <c r="I22" s="150"/>
      <c r="J22" s="150"/>
      <c r="K22" s="150"/>
      <c r="L22" s="18"/>
      <c r="M22" s="18"/>
      <c r="N22" s="18"/>
      <c r="O22" t="s">
        <v>71</v>
      </c>
      <c r="P22" t="s">
        <v>70</v>
      </c>
      <c r="Q22" t="s">
        <v>72</v>
      </c>
      <c r="R22" s="150" t="s">
        <v>91</v>
      </c>
      <c r="S22" s="17"/>
      <c r="T22" s="18"/>
      <c r="U22" s="15"/>
      <c r="Y22" t="s">
        <v>71</v>
      </c>
      <c r="Z22" t="s">
        <v>70</v>
      </c>
      <c r="AA22" t="s">
        <v>72</v>
      </c>
      <c r="AB22" s="150" t="s">
        <v>91</v>
      </c>
      <c r="AC22" s="18"/>
      <c r="AD22" s="18"/>
      <c r="AE22" s="18"/>
      <c r="AH22" s="151"/>
      <c r="AL22" s="150"/>
      <c r="AM22" s="151"/>
      <c r="AN22" s="151"/>
      <c r="AO22" s="151"/>
      <c r="AR22" s="151"/>
      <c r="AV22" s="150"/>
      <c r="AW22" s="151"/>
      <c r="AX22" s="151"/>
      <c r="AY22" s="151"/>
      <c r="BB22" s="151"/>
      <c r="BF22" s="150"/>
      <c r="BG22" s="151"/>
      <c r="BH22" s="151"/>
      <c r="BI22" s="151"/>
      <c r="BP22" s="150"/>
      <c r="BZ22" s="150"/>
      <c r="CE22" s="151"/>
      <c r="CF22" s="151"/>
      <c r="CG22" s="151"/>
      <c r="CH22" s="151"/>
      <c r="CJ22" s="151"/>
      <c r="CK22" s="151"/>
      <c r="CL22" s="151"/>
    </row>
    <row r="23" spans="2:101" ht="18" x14ac:dyDescent="0.4">
      <c r="C23" s="150"/>
      <c r="D23" s="150"/>
      <c r="E23">
        <f>D6/1000</f>
        <v>2.1175999999999999</v>
      </c>
      <c r="F23">
        <f>G6/1000</f>
        <v>2.6383999999999999</v>
      </c>
      <c r="G23">
        <f>I6/1000</f>
        <v>3.4247000000000001</v>
      </c>
      <c r="H23" s="153">
        <f>F6/1000</f>
        <v>2.5146999999999999</v>
      </c>
      <c r="I23" s="150"/>
      <c r="J23" s="150"/>
      <c r="K23" s="150"/>
      <c r="L23" s="153"/>
      <c r="M23" s="18"/>
      <c r="N23" s="18"/>
      <c r="O23">
        <f>N6/1000</f>
        <v>2.1175999999999999</v>
      </c>
      <c r="P23">
        <f>Q6/1000</f>
        <v>2.6396000000000002</v>
      </c>
      <c r="Q23">
        <f>S6/1000</f>
        <v>3.4241000000000001</v>
      </c>
      <c r="R23" s="153">
        <f>P6/1000</f>
        <v>2.5122</v>
      </c>
      <c r="S23" s="19"/>
      <c r="T23" s="18"/>
      <c r="U23" s="15"/>
      <c r="Y23">
        <f>X6/1000</f>
        <v>2.1164999999999998</v>
      </c>
      <c r="Z23">
        <f>AA6/1000</f>
        <v>2.6396999999999999</v>
      </c>
      <c r="AA23">
        <f>AC6/1000</f>
        <v>3.4207999999999998</v>
      </c>
      <c r="AB23" s="153">
        <f>Z6/1000</f>
        <v>2.5143</v>
      </c>
      <c r="AC23" s="18"/>
      <c r="AD23" s="18"/>
      <c r="AE23" s="18"/>
      <c r="AH23" s="151"/>
      <c r="AL23" s="153"/>
      <c r="AM23" s="151"/>
      <c r="AN23" s="151"/>
      <c r="AO23" s="151"/>
      <c r="AR23" s="151"/>
      <c r="AV23" s="153"/>
      <c r="AW23" s="151"/>
      <c r="AX23" s="151"/>
      <c r="AY23" s="151"/>
      <c r="BB23" s="151"/>
      <c r="BF23" s="153"/>
      <c r="BG23" s="151"/>
      <c r="BH23" s="151"/>
      <c r="BI23" s="151"/>
      <c r="BP23" s="153"/>
      <c r="BZ23" s="153"/>
      <c r="CE23" s="151"/>
      <c r="CF23" s="151"/>
      <c r="CG23" s="151"/>
      <c r="CH23" s="151"/>
      <c r="CI23" s="154"/>
      <c r="CJ23" s="151"/>
      <c r="CK23" s="151"/>
      <c r="CL23" s="151"/>
    </row>
    <row r="24" spans="2:101" ht="18" x14ac:dyDescent="0.4">
      <c r="C24" s="150"/>
      <c r="D24" s="150"/>
      <c r="E24">
        <f t="shared" ref="E24:E36" si="0">D7/1000</f>
        <v>3.0375000000000001</v>
      </c>
      <c r="F24">
        <f t="shared" ref="F24:F36" si="1">G7/1000</f>
        <v>3.9729000000000001</v>
      </c>
      <c r="G24">
        <f t="shared" ref="G24:G36" si="2">I7/1000</f>
        <v>5.1978</v>
      </c>
      <c r="H24" s="153">
        <f t="shared" ref="H24:H36" si="3">F7/1000</f>
        <v>3.7934000000000001</v>
      </c>
      <c r="I24" s="150"/>
      <c r="J24" s="150"/>
      <c r="K24" s="150"/>
      <c r="L24" s="153"/>
      <c r="M24" s="18"/>
      <c r="N24" s="18"/>
      <c r="O24">
        <f t="shared" ref="O24:O36" si="4">N7/1000</f>
        <v>3.0385</v>
      </c>
      <c r="P24">
        <f t="shared" ref="P24:P36" si="5">Q7/1000</f>
        <v>3.9723999999999999</v>
      </c>
      <c r="Q24">
        <f t="shared" ref="Q24:Q36" si="6">S7/1000</f>
        <v>5.2051999999999996</v>
      </c>
      <c r="R24" s="153">
        <f t="shared" ref="R24:R36" si="7">P7/1000</f>
        <v>3.7913999999999999</v>
      </c>
      <c r="S24" s="19"/>
      <c r="T24" s="18"/>
      <c r="U24" s="15"/>
      <c r="Y24">
        <f t="shared" ref="Y24:Y36" si="8">X7/1000</f>
        <v>3.0333999999999999</v>
      </c>
      <c r="Z24">
        <f t="shared" ref="Z24:Z36" si="9">AA7/1000</f>
        <v>3.9752999999999998</v>
      </c>
      <c r="AA24">
        <f t="shared" ref="AA24:AA36" si="10">AC7/1000</f>
        <v>5.1935000000000002</v>
      </c>
      <c r="AB24" s="153">
        <f t="shared" ref="AB24:AB36" si="11">Z7/1000</f>
        <v>3.7913000000000001</v>
      </c>
      <c r="AC24" s="18"/>
      <c r="AD24" s="18"/>
      <c r="AE24" s="18"/>
      <c r="AH24" s="151"/>
      <c r="AL24" s="153"/>
      <c r="AM24" s="151"/>
      <c r="AN24" s="151"/>
      <c r="AO24" s="151"/>
      <c r="AR24" s="151"/>
      <c r="AV24" s="153"/>
      <c r="AW24" s="151"/>
      <c r="AX24" s="151"/>
      <c r="AY24" s="151"/>
      <c r="BB24" s="151"/>
      <c r="BF24" s="153"/>
      <c r="BG24" s="151"/>
      <c r="BH24" s="151"/>
      <c r="BI24" s="151"/>
      <c r="BP24" s="153"/>
      <c r="BZ24" s="153"/>
      <c r="CE24" s="151"/>
      <c r="CF24" s="151"/>
      <c r="CG24" s="151"/>
      <c r="CH24" s="151"/>
      <c r="CI24" s="154"/>
      <c r="CJ24" s="151"/>
      <c r="CK24" s="151"/>
      <c r="CL24" s="151"/>
    </row>
    <row r="25" spans="2:101" ht="18" x14ac:dyDescent="0.4">
      <c r="C25" s="150"/>
      <c r="D25" s="150"/>
      <c r="E25">
        <f t="shared" si="0"/>
        <v>3.9409000000000001</v>
      </c>
      <c r="F25">
        <f t="shared" si="1"/>
        <v>5.5208000000000004</v>
      </c>
      <c r="G25">
        <f t="shared" si="2"/>
        <v>7.5834000000000001</v>
      </c>
      <c r="H25" s="153">
        <f t="shared" si="3"/>
        <v>5.1813000000000002</v>
      </c>
      <c r="I25" s="150"/>
      <c r="J25" s="150"/>
      <c r="K25" s="150"/>
      <c r="L25" s="153"/>
      <c r="M25" s="18"/>
      <c r="N25" s="18"/>
      <c r="O25">
        <f t="shared" si="4"/>
        <v>3.9434</v>
      </c>
      <c r="P25">
        <f t="shared" si="5"/>
        <v>5.5137</v>
      </c>
      <c r="Q25">
        <f t="shared" si="6"/>
        <v>7.6021000000000001</v>
      </c>
      <c r="R25" s="153">
        <f t="shared" si="7"/>
        <v>5.1776999999999997</v>
      </c>
      <c r="S25" s="19"/>
      <c r="T25" s="18"/>
      <c r="U25" s="15"/>
      <c r="Y25">
        <f t="shared" si="8"/>
        <v>3.9346000000000001</v>
      </c>
      <c r="Z25">
        <f t="shared" si="9"/>
        <v>5.5263</v>
      </c>
      <c r="AA25">
        <f t="shared" si="10"/>
        <v>7.5841000000000003</v>
      </c>
      <c r="AB25" s="153">
        <f t="shared" si="11"/>
        <v>5.1797000000000004</v>
      </c>
      <c r="AC25" s="18"/>
      <c r="AD25" s="18"/>
      <c r="AE25" s="18"/>
      <c r="AH25" s="151"/>
      <c r="AL25" s="153"/>
      <c r="AM25" s="151"/>
      <c r="AN25" s="151"/>
      <c r="AO25" s="151"/>
      <c r="AR25" s="151"/>
      <c r="AV25" s="153"/>
      <c r="AW25" s="151"/>
      <c r="AX25" s="151"/>
      <c r="AY25" s="151"/>
      <c r="BB25" s="151"/>
      <c r="BF25" s="153"/>
      <c r="BG25" s="151"/>
      <c r="BH25" s="151"/>
      <c r="BI25" s="151"/>
      <c r="BP25" s="153"/>
      <c r="BZ25" s="153"/>
      <c r="CE25" s="151"/>
      <c r="CF25" s="151"/>
      <c r="CG25" s="151"/>
      <c r="CH25" s="151"/>
      <c r="CI25" s="154"/>
      <c r="CJ25" s="151"/>
      <c r="CK25" s="151"/>
      <c r="CL25" s="151"/>
    </row>
    <row r="26" spans="2:101" ht="18" x14ac:dyDescent="0.4">
      <c r="C26" s="150"/>
      <c r="D26" s="150"/>
      <c r="E26">
        <f t="shared" si="0"/>
        <v>3.7947000000000002</v>
      </c>
      <c r="F26">
        <f t="shared" si="1"/>
        <v>5.7159000000000004</v>
      </c>
      <c r="G26">
        <f t="shared" si="2"/>
        <v>8.1353000000000009</v>
      </c>
      <c r="H26" s="153">
        <f t="shared" si="3"/>
        <v>5.2981999999999996</v>
      </c>
      <c r="I26" s="150"/>
      <c r="J26" s="150"/>
      <c r="K26" s="150"/>
      <c r="L26" s="15"/>
      <c r="M26" s="18"/>
      <c r="N26" s="18"/>
      <c r="O26">
        <f t="shared" si="4"/>
        <v>3.7911000000000006</v>
      </c>
      <c r="P26">
        <f t="shared" si="5"/>
        <v>5.7176</v>
      </c>
      <c r="Q26">
        <f t="shared" si="6"/>
        <v>8.1252999999999993</v>
      </c>
      <c r="R26" s="153">
        <f t="shared" si="7"/>
        <v>5.3005000000000004</v>
      </c>
      <c r="S26" s="15"/>
      <c r="T26" s="18"/>
      <c r="U26" s="15"/>
      <c r="Y26">
        <f t="shared" si="8"/>
        <v>3.7818999999999998</v>
      </c>
      <c r="Z26">
        <f t="shared" si="9"/>
        <v>5.7221000000000002</v>
      </c>
      <c r="AA26">
        <f t="shared" si="10"/>
        <v>8.1402999999999999</v>
      </c>
      <c r="AB26" s="153">
        <f t="shared" si="11"/>
        <v>5.2934999999999999</v>
      </c>
      <c r="AC26" s="18"/>
      <c r="AD26" s="18"/>
      <c r="AE26" s="18"/>
      <c r="AH26" s="151"/>
      <c r="AL26" s="153"/>
      <c r="AM26" s="151"/>
      <c r="AN26" s="151"/>
      <c r="AO26" s="151"/>
      <c r="AR26" s="151"/>
      <c r="AV26" s="153"/>
      <c r="AW26" s="151"/>
      <c r="AX26" s="151"/>
      <c r="AY26" s="151"/>
      <c r="BB26" s="151"/>
      <c r="BF26" s="153"/>
      <c r="BG26" s="151"/>
      <c r="BH26" s="151"/>
      <c r="BI26" s="151"/>
      <c r="BP26" s="153"/>
      <c r="BZ26" s="153"/>
      <c r="CE26" s="151"/>
      <c r="CF26" s="151"/>
      <c r="CG26" s="151"/>
      <c r="CH26" s="151"/>
      <c r="CI26" s="154"/>
      <c r="CJ26" s="151"/>
      <c r="CK26" s="151"/>
      <c r="CL26" s="151"/>
    </row>
    <row r="27" spans="2:101" ht="18" x14ac:dyDescent="0.4">
      <c r="C27" s="150"/>
      <c r="D27" s="150"/>
      <c r="E27">
        <f t="shared" si="0"/>
        <v>3.2879999999999998</v>
      </c>
      <c r="F27">
        <f t="shared" si="1"/>
        <v>5.4135</v>
      </c>
      <c r="G27">
        <f t="shared" si="2"/>
        <v>8.0327999999999999</v>
      </c>
      <c r="H27" s="153">
        <f t="shared" si="3"/>
        <v>4.9490999999999996</v>
      </c>
      <c r="I27" s="150"/>
      <c r="J27" s="150"/>
      <c r="K27" s="150"/>
      <c r="L27" s="15"/>
      <c r="M27" s="18"/>
      <c r="N27" s="18"/>
      <c r="O27">
        <f t="shared" si="4"/>
        <v>2.9390999999999998</v>
      </c>
      <c r="P27">
        <f t="shared" si="5"/>
        <v>5.0811999999999999</v>
      </c>
      <c r="Q27">
        <f t="shared" si="6"/>
        <v>7.6566999999999998</v>
      </c>
      <c r="R27" s="153">
        <f t="shared" si="7"/>
        <v>4.6173999999999999</v>
      </c>
      <c r="S27" s="15"/>
      <c r="T27" s="18"/>
      <c r="U27" s="15"/>
      <c r="Y27">
        <f t="shared" si="8"/>
        <v>2.9333</v>
      </c>
      <c r="Z27">
        <f t="shared" si="9"/>
        <v>5.0739999999999998</v>
      </c>
      <c r="AA27">
        <f t="shared" si="10"/>
        <v>7.6790000000000003</v>
      </c>
      <c r="AB27" s="153">
        <f t="shared" si="11"/>
        <v>4.6048</v>
      </c>
      <c r="AC27" s="18"/>
      <c r="AD27" s="18"/>
      <c r="AE27" s="18"/>
      <c r="AH27" s="151"/>
      <c r="AL27" s="153"/>
      <c r="AM27" s="151"/>
      <c r="AN27" s="151"/>
      <c r="AO27" s="151"/>
      <c r="AR27" s="151"/>
      <c r="AV27" s="153"/>
      <c r="AW27" s="151"/>
      <c r="AX27" s="151"/>
      <c r="AY27" s="151"/>
      <c r="BB27" s="151"/>
      <c r="BF27" s="153"/>
      <c r="BG27" s="151"/>
      <c r="BH27" s="151"/>
      <c r="BI27" s="151"/>
      <c r="BP27" s="153"/>
      <c r="BZ27" s="153"/>
      <c r="CE27" s="151"/>
      <c r="CF27" s="151"/>
      <c r="CG27" s="151"/>
      <c r="CH27" s="151"/>
      <c r="CI27" s="154"/>
      <c r="CJ27" s="151"/>
      <c r="CK27" s="151"/>
      <c r="CL27" s="151"/>
    </row>
    <row r="28" spans="2:101" ht="18" x14ac:dyDescent="0.4">
      <c r="C28" s="150"/>
      <c r="D28" s="150"/>
      <c r="E28">
        <f t="shared" si="0"/>
        <v>2.7945000000000002</v>
      </c>
      <c r="F28">
        <f t="shared" si="1"/>
        <v>5.0148999999999999</v>
      </c>
      <c r="G28">
        <f t="shared" si="2"/>
        <v>7.7582000000000004</v>
      </c>
      <c r="H28" s="153">
        <f t="shared" si="3"/>
        <v>4.5373999999999999</v>
      </c>
      <c r="I28" s="150"/>
      <c r="J28" s="150"/>
      <c r="K28" s="150"/>
      <c r="L28" s="15"/>
      <c r="M28" s="18"/>
      <c r="N28" s="18"/>
      <c r="O28">
        <f t="shared" si="4"/>
        <v>2.2803</v>
      </c>
      <c r="P28">
        <f t="shared" si="5"/>
        <v>4.4600999999999997</v>
      </c>
      <c r="Q28">
        <f t="shared" si="6"/>
        <v>7.1474000000000002</v>
      </c>
      <c r="R28" s="153">
        <f t="shared" si="7"/>
        <v>3.9836999999999998</v>
      </c>
      <c r="S28" s="15"/>
      <c r="T28" s="18"/>
      <c r="U28" s="15"/>
      <c r="Y28">
        <f t="shared" si="8"/>
        <v>1.9390000000000001</v>
      </c>
      <c r="Z28">
        <f t="shared" si="9"/>
        <v>4.1208</v>
      </c>
      <c r="AA28">
        <f t="shared" si="10"/>
        <v>6.8162000000000003</v>
      </c>
      <c r="AB28" s="153">
        <f t="shared" si="11"/>
        <v>3.6419999999999999</v>
      </c>
      <c r="AC28" s="18"/>
      <c r="AD28" s="18"/>
      <c r="AE28" s="18"/>
      <c r="AH28" s="151"/>
      <c r="AL28" s="153"/>
      <c r="AM28" s="151"/>
      <c r="AN28" s="151"/>
      <c r="AO28" s="151"/>
      <c r="AR28" s="151"/>
      <c r="AV28" s="153"/>
      <c r="AW28" s="151"/>
      <c r="AX28" s="151"/>
      <c r="AY28" s="151"/>
      <c r="BB28" s="151"/>
      <c r="BF28" s="153"/>
      <c r="BG28" s="151"/>
      <c r="BH28" s="151"/>
      <c r="BI28" s="151"/>
      <c r="BP28" s="153"/>
      <c r="BZ28" s="153"/>
      <c r="CE28" s="151"/>
      <c r="CF28" s="151"/>
      <c r="CG28" s="151"/>
      <c r="CH28" s="151"/>
      <c r="CI28" s="154"/>
      <c r="CJ28" s="151"/>
      <c r="CK28" s="151"/>
      <c r="CL28" s="151"/>
    </row>
    <row r="29" spans="2:101" ht="18" x14ac:dyDescent="0.4">
      <c r="C29" s="150"/>
      <c r="D29" s="150"/>
      <c r="E29">
        <f t="shared" si="0"/>
        <v>2.4411999999999998</v>
      </c>
      <c r="F29">
        <f t="shared" si="1"/>
        <v>4.7072000000000012</v>
      </c>
      <c r="G29">
        <f t="shared" si="2"/>
        <v>7.5109000000000004</v>
      </c>
      <c r="H29" s="153">
        <f t="shared" si="3"/>
        <v>4.2111000000000001</v>
      </c>
      <c r="I29" s="150"/>
      <c r="J29" s="150"/>
      <c r="K29" s="150"/>
      <c r="L29" s="15"/>
      <c r="M29" s="18"/>
      <c r="N29" s="18"/>
      <c r="O29">
        <f t="shared" si="4"/>
        <v>2.0287000000000002</v>
      </c>
      <c r="P29">
        <f t="shared" si="5"/>
        <v>4.2336</v>
      </c>
      <c r="Q29">
        <f t="shared" si="6"/>
        <v>7.0103</v>
      </c>
      <c r="R29" s="153">
        <f t="shared" si="7"/>
        <v>3.7490999999999999</v>
      </c>
      <c r="S29" s="15"/>
      <c r="T29" s="18"/>
      <c r="U29" s="15"/>
      <c r="Y29">
        <f t="shared" si="8"/>
        <v>1.5242</v>
      </c>
      <c r="Z29">
        <f t="shared" si="9"/>
        <v>3.6894999999999998</v>
      </c>
      <c r="AA29">
        <f t="shared" si="10"/>
        <v>6.4490999999999996</v>
      </c>
      <c r="AB29" s="153">
        <f t="shared" si="11"/>
        <v>3.2121</v>
      </c>
      <c r="AC29" s="18"/>
      <c r="AD29" s="18"/>
      <c r="AE29" s="18"/>
      <c r="AH29" s="151"/>
      <c r="AL29" s="153"/>
      <c r="AM29" s="151"/>
      <c r="AN29" s="151"/>
      <c r="AO29" s="151"/>
      <c r="AR29" s="151"/>
      <c r="AV29" s="153"/>
      <c r="AW29" s="151"/>
      <c r="AX29" s="151"/>
      <c r="AY29" s="151"/>
      <c r="BB29" s="151"/>
      <c r="BF29" s="153"/>
      <c r="BG29" s="151"/>
      <c r="BH29" s="151"/>
      <c r="BI29" s="151"/>
      <c r="BP29" s="153"/>
      <c r="BZ29" s="153"/>
      <c r="CE29" s="151"/>
      <c r="CF29" s="151"/>
      <c r="CG29" s="151"/>
      <c r="CH29" s="151"/>
      <c r="CI29" s="154"/>
      <c r="CJ29" s="151"/>
      <c r="CK29" s="151"/>
      <c r="CL29" s="151"/>
    </row>
    <row r="30" spans="2:101" ht="18" x14ac:dyDescent="0.4">
      <c r="C30" s="150"/>
      <c r="D30" s="150"/>
      <c r="E30">
        <f t="shared" si="0"/>
        <v>2.2357999999999998</v>
      </c>
      <c r="F30">
        <f t="shared" si="1"/>
        <v>4.5148000000000001</v>
      </c>
      <c r="G30">
        <f t="shared" si="2"/>
        <v>7.3749000000000002</v>
      </c>
      <c r="H30" s="153">
        <f t="shared" si="3"/>
        <v>4.0204000000000004</v>
      </c>
      <c r="I30" s="150"/>
      <c r="J30" s="150"/>
      <c r="K30" s="150"/>
      <c r="L30" s="15"/>
      <c r="M30" s="18"/>
      <c r="N30" s="18"/>
      <c r="O30">
        <f t="shared" si="4"/>
        <v>1.9416</v>
      </c>
      <c r="P30">
        <f t="shared" si="5"/>
        <v>4.1837999999999997</v>
      </c>
      <c r="Q30">
        <f t="shared" si="6"/>
        <v>7.0129999999999999</v>
      </c>
      <c r="R30" s="153">
        <f t="shared" si="7"/>
        <v>3.6953</v>
      </c>
      <c r="S30" s="15"/>
      <c r="T30" s="18"/>
      <c r="U30" s="15"/>
      <c r="Y30">
        <f t="shared" si="8"/>
        <v>1.552</v>
      </c>
      <c r="Z30">
        <f t="shared" si="9"/>
        <v>3.7425999999999999</v>
      </c>
      <c r="AA30">
        <f t="shared" si="10"/>
        <v>6.5557999999999996</v>
      </c>
      <c r="AB30" s="153">
        <f t="shared" si="11"/>
        <v>3.2576999999999998</v>
      </c>
      <c r="AC30" s="18"/>
      <c r="AD30" s="18"/>
      <c r="AE30" s="18"/>
      <c r="AH30" s="151"/>
      <c r="AL30" s="153"/>
      <c r="AM30" s="151"/>
      <c r="AN30" s="151"/>
      <c r="AO30" s="151"/>
      <c r="AR30" s="151"/>
      <c r="AV30" s="153"/>
      <c r="AW30" s="151"/>
      <c r="AX30" s="151"/>
      <c r="AY30" s="151"/>
      <c r="BB30" s="151"/>
      <c r="BF30" s="153"/>
      <c r="BG30" s="151"/>
      <c r="BH30" s="151"/>
      <c r="BI30" s="151"/>
      <c r="BP30" s="153"/>
      <c r="BZ30" s="153"/>
      <c r="CE30" s="151"/>
      <c r="CF30" s="151"/>
      <c r="CG30" s="151"/>
      <c r="CH30" s="151"/>
      <c r="CI30" s="154"/>
      <c r="CJ30" s="151"/>
      <c r="CK30" s="151"/>
      <c r="CL30" s="151"/>
    </row>
    <row r="31" spans="2:101" ht="18" x14ac:dyDescent="0.4">
      <c r="C31" s="150"/>
      <c r="D31" s="150"/>
      <c r="E31">
        <f t="shared" si="0"/>
        <v>2.1122999999999998</v>
      </c>
      <c r="F31">
        <f t="shared" si="1"/>
        <v>4.3899999999999997</v>
      </c>
      <c r="G31">
        <f t="shared" si="2"/>
        <v>7.2762000000000002</v>
      </c>
      <c r="H31" s="153">
        <f t="shared" si="3"/>
        <v>3.8875000000000002</v>
      </c>
      <c r="I31" s="150"/>
      <c r="J31" s="150"/>
      <c r="K31" s="150"/>
      <c r="L31" s="15"/>
      <c r="M31" s="18"/>
      <c r="N31" s="18"/>
      <c r="O31">
        <f t="shared" si="4"/>
        <v>1.9453</v>
      </c>
      <c r="P31">
        <f t="shared" si="5"/>
        <v>4.2126999999999999</v>
      </c>
      <c r="Q31">
        <f t="shared" si="6"/>
        <v>7.0856000000000003</v>
      </c>
      <c r="R31" s="153">
        <f t="shared" si="7"/>
        <v>3.7111999999999998</v>
      </c>
      <c r="S31" s="15"/>
      <c r="T31" s="18"/>
      <c r="U31" s="15"/>
      <c r="Y31">
        <f t="shared" si="8"/>
        <v>1.663</v>
      </c>
      <c r="Z31">
        <f t="shared" si="9"/>
        <v>3.8938000000000001</v>
      </c>
      <c r="AA31">
        <f t="shared" si="10"/>
        <v>6.7591999999999999</v>
      </c>
      <c r="AB31" s="153">
        <f t="shared" si="11"/>
        <v>3.3934000000000002</v>
      </c>
      <c r="AC31" s="18"/>
      <c r="AD31" s="18"/>
      <c r="AE31" s="18"/>
      <c r="AH31" s="151"/>
      <c r="AL31" s="153"/>
      <c r="AM31" s="151"/>
      <c r="AN31" s="151"/>
      <c r="AO31" s="151"/>
      <c r="AR31" s="151"/>
      <c r="AV31" s="153"/>
      <c r="AW31" s="151"/>
      <c r="AX31" s="151"/>
      <c r="AY31" s="151"/>
      <c r="BB31" s="151"/>
      <c r="BF31" s="153"/>
      <c r="BG31" s="151"/>
      <c r="BH31" s="151"/>
      <c r="BI31" s="151"/>
      <c r="BP31" s="153"/>
      <c r="BZ31" s="153"/>
      <c r="CE31" s="151"/>
      <c r="CF31" s="151"/>
      <c r="CG31" s="151"/>
      <c r="CH31" s="151"/>
      <c r="CI31" s="154"/>
      <c r="CJ31" s="151"/>
      <c r="CK31" s="151"/>
      <c r="CL31" s="151"/>
    </row>
    <row r="32" spans="2:101" ht="18" x14ac:dyDescent="0.4">
      <c r="C32" s="150"/>
      <c r="D32" s="150"/>
      <c r="E32">
        <f t="shared" si="0"/>
        <v>1.9851000000000001</v>
      </c>
      <c r="F32">
        <f t="shared" si="1"/>
        <v>4.2750000000000004</v>
      </c>
      <c r="G32">
        <f t="shared" si="2"/>
        <v>7.1776999999999997</v>
      </c>
      <c r="H32" s="153">
        <f t="shared" si="3"/>
        <v>3.7673999999999994</v>
      </c>
      <c r="I32" s="150"/>
      <c r="J32" s="150"/>
      <c r="K32" s="150"/>
      <c r="L32" s="15"/>
      <c r="M32" s="18"/>
      <c r="N32" s="18"/>
      <c r="O32">
        <f t="shared" si="4"/>
        <v>1.9351</v>
      </c>
      <c r="P32">
        <f t="shared" si="5"/>
        <v>4.2232000000000003</v>
      </c>
      <c r="Q32">
        <f t="shared" si="6"/>
        <v>7.1384999999999996</v>
      </c>
      <c r="R32" s="153">
        <f t="shared" si="7"/>
        <v>3.7254</v>
      </c>
      <c r="S32" s="15"/>
      <c r="T32" s="18"/>
      <c r="U32" s="15"/>
      <c r="Y32">
        <f t="shared" si="8"/>
        <v>1.7487999999999999</v>
      </c>
      <c r="Z32">
        <f t="shared" si="9"/>
        <v>4.0209999999999999</v>
      </c>
      <c r="AA32">
        <f t="shared" si="10"/>
        <v>6.9053000000000004</v>
      </c>
      <c r="AB32" s="153">
        <f t="shared" si="11"/>
        <v>3.5091000000000001</v>
      </c>
      <c r="AC32" s="18"/>
      <c r="AD32" s="18"/>
      <c r="AE32" s="18"/>
      <c r="AH32" s="151"/>
      <c r="AL32" s="153"/>
      <c r="AM32" s="151"/>
      <c r="AN32" s="151"/>
      <c r="AO32" s="151"/>
      <c r="AR32" s="151"/>
      <c r="AV32" s="153"/>
      <c r="AW32" s="151"/>
      <c r="AX32" s="151"/>
      <c r="AY32" s="151"/>
      <c r="BB32" s="151"/>
      <c r="BF32" s="153"/>
      <c r="BG32" s="151"/>
      <c r="BH32" s="151"/>
      <c r="BI32" s="151"/>
      <c r="BP32" s="153"/>
      <c r="BZ32" s="153"/>
      <c r="CE32" s="151"/>
      <c r="CF32" s="151"/>
      <c r="CG32" s="151"/>
      <c r="CH32" s="151"/>
      <c r="CI32" s="154"/>
      <c r="CJ32" s="151"/>
      <c r="CK32" s="151"/>
      <c r="CL32" s="151"/>
    </row>
    <row r="33" spans="3:97" ht="18" x14ac:dyDescent="0.4">
      <c r="C33" s="150"/>
      <c r="D33" s="150"/>
      <c r="E33">
        <f t="shared" si="0"/>
        <v>1.8919999999999999</v>
      </c>
      <c r="F33">
        <f t="shared" si="1"/>
        <v>4.1970000000000001</v>
      </c>
      <c r="G33">
        <f t="shared" si="2"/>
        <v>7.0911</v>
      </c>
      <c r="H33" s="153">
        <f t="shared" si="3"/>
        <v>3.6903000000000001</v>
      </c>
      <c r="I33" s="150"/>
      <c r="J33" s="150"/>
      <c r="K33" s="150"/>
      <c r="L33" s="15"/>
      <c r="M33" s="18"/>
      <c r="N33" s="18"/>
      <c r="O33">
        <f t="shared" si="4"/>
        <v>1.9293</v>
      </c>
      <c r="P33">
        <f t="shared" si="5"/>
        <v>4.2309999999999999</v>
      </c>
      <c r="Q33">
        <f t="shared" si="6"/>
        <v>7.1521999999999997</v>
      </c>
      <c r="R33" s="153">
        <f t="shared" si="7"/>
        <v>3.7286999999999999</v>
      </c>
      <c r="S33" s="15"/>
      <c r="T33" s="18"/>
      <c r="U33" s="15"/>
      <c r="Y33">
        <f t="shared" si="8"/>
        <v>1.8198000000000001</v>
      </c>
      <c r="Z33">
        <f t="shared" si="9"/>
        <v>4.1077000000000004</v>
      </c>
      <c r="AA33">
        <f t="shared" si="10"/>
        <v>7.0145999999999997</v>
      </c>
      <c r="AB33" s="153">
        <f t="shared" si="11"/>
        <v>3.6179000000000001</v>
      </c>
      <c r="AC33" s="18"/>
      <c r="AD33" s="18"/>
      <c r="AE33" s="18"/>
      <c r="AH33" s="151"/>
      <c r="AL33" s="153"/>
      <c r="AM33" s="151"/>
      <c r="AN33" s="151"/>
      <c r="AO33" s="151"/>
      <c r="AR33" s="151"/>
      <c r="AV33" s="153"/>
      <c r="AW33" s="151"/>
      <c r="AX33" s="151"/>
      <c r="AY33" s="151"/>
      <c r="BB33" s="151"/>
      <c r="BF33" s="153"/>
      <c r="BG33" s="151"/>
      <c r="BH33" s="151"/>
      <c r="BI33" s="151"/>
      <c r="BP33" s="153"/>
      <c r="BZ33" s="153"/>
      <c r="CE33" s="151"/>
      <c r="CF33" s="151"/>
      <c r="CG33" s="151"/>
      <c r="CH33" s="151"/>
      <c r="CI33" s="154"/>
      <c r="CJ33" s="151"/>
      <c r="CK33" s="151"/>
      <c r="CL33" s="151"/>
    </row>
    <row r="34" spans="3:97" ht="18" x14ac:dyDescent="0.4">
      <c r="C34" s="150"/>
      <c r="D34" s="150"/>
      <c r="E34">
        <f t="shared" si="0"/>
        <v>1.8540000000000001</v>
      </c>
      <c r="F34">
        <f t="shared" si="1"/>
        <v>4.1673</v>
      </c>
      <c r="G34">
        <f t="shared" si="2"/>
        <v>7.0606999999999998</v>
      </c>
      <c r="H34" s="153">
        <f t="shared" si="3"/>
        <v>3.6558999999999999</v>
      </c>
      <c r="I34" s="150"/>
      <c r="J34" s="150"/>
      <c r="K34" s="150"/>
      <c r="L34" s="15"/>
      <c r="M34" s="18"/>
      <c r="N34" s="18"/>
      <c r="O34">
        <f t="shared" si="4"/>
        <v>1.9247999999999998</v>
      </c>
      <c r="P34">
        <f t="shared" si="5"/>
        <v>4.2447999999999997</v>
      </c>
      <c r="Q34">
        <f t="shared" si="6"/>
        <v>7.1539000000000001</v>
      </c>
      <c r="R34" s="153">
        <f t="shared" si="7"/>
        <v>3.7281</v>
      </c>
      <c r="S34" s="15"/>
      <c r="T34" s="18"/>
      <c r="U34" s="15"/>
      <c r="Y34">
        <f t="shared" si="8"/>
        <v>1.8734</v>
      </c>
      <c r="Z34">
        <f t="shared" si="9"/>
        <v>4.1952999999999996</v>
      </c>
      <c r="AA34">
        <f t="shared" si="10"/>
        <v>7.1014999999999997</v>
      </c>
      <c r="AB34" s="153">
        <f t="shared" si="11"/>
        <v>3.6871999999999998</v>
      </c>
      <c r="AC34" s="18"/>
      <c r="AD34" s="18"/>
      <c r="AE34" s="18"/>
      <c r="AH34" s="151"/>
      <c r="AL34" s="153"/>
      <c r="AM34" s="151"/>
      <c r="AN34" s="151"/>
      <c r="AO34" s="151"/>
      <c r="AR34" s="151"/>
      <c r="AV34" s="153"/>
      <c r="AW34" s="151"/>
      <c r="AX34" s="151"/>
      <c r="AY34" s="151"/>
      <c r="BB34" s="151"/>
      <c r="BF34" s="153"/>
      <c r="BG34" s="151"/>
      <c r="BH34" s="151"/>
      <c r="BI34" s="151"/>
      <c r="BP34" s="153"/>
      <c r="BZ34" s="153"/>
      <c r="CE34" s="151"/>
      <c r="CF34" s="151"/>
      <c r="CG34" s="151"/>
      <c r="CH34" s="151"/>
      <c r="CI34" s="154"/>
      <c r="CJ34" s="151"/>
      <c r="CK34" s="151"/>
      <c r="CL34" s="151"/>
    </row>
    <row r="35" spans="3:97" x14ac:dyDescent="0.4">
      <c r="E35">
        <f t="shared" si="0"/>
        <v>1.8599000000000001</v>
      </c>
      <c r="F35">
        <f t="shared" si="1"/>
        <v>4.1650999999999998</v>
      </c>
      <c r="G35">
        <f t="shared" si="2"/>
        <v>7.0804999999999998</v>
      </c>
      <c r="H35" s="153">
        <f t="shared" si="3"/>
        <v>3.6617999999999999</v>
      </c>
      <c r="O35">
        <f t="shared" si="4"/>
        <v>1.9173</v>
      </c>
      <c r="P35">
        <f t="shared" si="5"/>
        <v>4.2484000000000002</v>
      </c>
      <c r="Q35">
        <f t="shared" si="6"/>
        <v>7.1698000000000004</v>
      </c>
      <c r="R35" s="153">
        <f t="shared" si="7"/>
        <v>3.7399</v>
      </c>
      <c r="Y35">
        <f t="shared" si="8"/>
        <v>1.9119999999999999</v>
      </c>
      <c r="Z35">
        <f t="shared" si="9"/>
        <v>4.2575000000000003</v>
      </c>
      <c r="AA35">
        <f t="shared" si="10"/>
        <v>7.1849999999999996</v>
      </c>
      <c r="AB35" s="153">
        <f t="shared" si="11"/>
        <v>3.7486999999999999</v>
      </c>
      <c r="AL35" s="153"/>
      <c r="AV35" s="153"/>
      <c r="BF35" s="153"/>
      <c r="BP35" s="153"/>
      <c r="BZ35" s="153"/>
      <c r="CE35" s="151"/>
      <c r="CF35" s="151"/>
      <c r="CG35" s="151"/>
      <c r="CI35" s="154"/>
      <c r="CJ35" s="151"/>
      <c r="CK35" s="151"/>
      <c r="CL35" s="151"/>
      <c r="CS35" s="154"/>
    </row>
    <row r="36" spans="3:97" x14ac:dyDescent="0.4">
      <c r="E36">
        <f t="shared" si="0"/>
        <v>1.8682000000000001</v>
      </c>
      <c r="F36">
        <f t="shared" si="1"/>
        <v>4.1913999999999998</v>
      </c>
      <c r="G36">
        <f t="shared" si="2"/>
        <v>7.1162000000000001</v>
      </c>
      <c r="H36" s="153">
        <f t="shared" si="3"/>
        <v>3.6823000000000001</v>
      </c>
      <c r="O36">
        <f t="shared" si="4"/>
        <v>1.9123000000000001</v>
      </c>
      <c r="P36">
        <f t="shared" si="5"/>
        <v>4.2492999999999999</v>
      </c>
      <c r="Q36">
        <f t="shared" si="6"/>
        <v>7.1798999999999999</v>
      </c>
      <c r="R36" s="153">
        <f t="shared" si="7"/>
        <v>3.7351999999999999</v>
      </c>
      <c r="Y36">
        <f t="shared" si="8"/>
        <v>1.9460999999999999</v>
      </c>
      <c r="Z36">
        <f t="shared" si="9"/>
        <v>4.3060999999999998</v>
      </c>
      <c r="AA36">
        <f t="shared" si="10"/>
        <v>7.2359999999999998</v>
      </c>
      <c r="AB36" s="153">
        <f t="shared" si="11"/>
        <v>3.7892000000000001</v>
      </c>
      <c r="AL36" s="153"/>
      <c r="AV36" s="153"/>
      <c r="BF36" s="153"/>
      <c r="BP36" s="153"/>
      <c r="BZ36" s="153"/>
      <c r="CE36" s="151"/>
      <c r="CF36" s="151"/>
      <c r="CG36" s="151"/>
      <c r="CI36" s="154"/>
      <c r="CJ36" s="151"/>
      <c r="CK36" s="151"/>
      <c r="CL36" s="151"/>
      <c r="CS36" s="154"/>
    </row>
  </sheetData>
  <mergeCells count="20">
    <mergeCell ref="BT3:CB3"/>
    <mergeCell ref="BT4:CB4"/>
    <mergeCell ref="AF3:AN3"/>
    <mergeCell ref="AF4:AN4"/>
    <mergeCell ref="CN3:CV3"/>
    <mergeCell ref="CN4:CV4"/>
    <mergeCell ref="CD3:CL3"/>
    <mergeCell ref="AZ4:BH4"/>
    <mergeCell ref="CD4:CL4"/>
    <mergeCell ref="AP3:AX3"/>
    <mergeCell ref="AP4:AX4"/>
    <mergeCell ref="AZ3:BH3"/>
    <mergeCell ref="BJ3:BR3"/>
    <mergeCell ref="BJ4:BR4"/>
    <mergeCell ref="B3:J3"/>
    <mergeCell ref="B4:J4"/>
    <mergeCell ref="L3:T3"/>
    <mergeCell ref="L4:T4"/>
    <mergeCell ref="V3:AD3"/>
    <mergeCell ref="V4:AD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54"/>
  <sheetViews>
    <sheetView zoomScale="50" zoomScaleNormal="50" workbookViewId="0">
      <selection activeCell="T4" sqref="T4:AA4"/>
    </sheetView>
  </sheetViews>
  <sheetFormatPr defaultRowHeight="14.6" x14ac:dyDescent="0.4"/>
  <cols>
    <col min="29" max="46" width="9.23046875" style="15"/>
    <col min="47" max="54" width="11.07421875" style="15" customWidth="1"/>
    <col min="55" max="55" width="9.23046875" style="15"/>
    <col min="56" max="63" width="10.3046875" style="15" customWidth="1"/>
    <col min="64" max="64" width="9.23046875" style="15"/>
    <col min="65" max="72" width="10" style="15" customWidth="1"/>
    <col min="73" max="16384" width="9.23046875" style="15"/>
  </cols>
  <sheetData>
    <row r="1" spans="1:99" ht="26.15" x14ac:dyDescent="0.7">
      <c r="A1" s="4"/>
      <c r="B1" s="4" t="s">
        <v>104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2"/>
      <c r="AD1" s="42"/>
      <c r="AE1" s="42"/>
      <c r="AF1" s="42"/>
      <c r="AG1" s="42"/>
      <c r="AH1" s="42"/>
      <c r="AI1" s="42"/>
      <c r="AJ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D1" s="42"/>
      <c r="BE1" s="42"/>
      <c r="BF1" s="42"/>
      <c r="BG1" s="42"/>
      <c r="BH1" s="42"/>
      <c r="BI1" s="42"/>
      <c r="BJ1" s="42"/>
      <c r="BK1" s="42"/>
      <c r="BM1" s="42"/>
      <c r="BN1" s="42"/>
      <c r="BO1" s="42"/>
      <c r="BP1" s="42"/>
      <c r="BQ1" s="42"/>
      <c r="BR1" s="42"/>
      <c r="BS1" s="42"/>
      <c r="BT1" s="42"/>
      <c r="BV1" s="42"/>
      <c r="BW1" s="42"/>
      <c r="BX1" s="42"/>
      <c r="BY1" s="42"/>
      <c r="BZ1" s="42"/>
      <c r="CA1" s="42"/>
      <c r="CB1" s="42"/>
      <c r="CC1" s="42"/>
      <c r="CE1" s="42"/>
      <c r="CF1" s="42"/>
      <c r="CG1" s="42"/>
      <c r="CH1" s="42"/>
      <c r="CI1" s="42"/>
      <c r="CJ1" s="42"/>
      <c r="CK1" s="42"/>
      <c r="CL1" s="42"/>
      <c r="CM1" s="42"/>
    </row>
    <row r="3" spans="1:99" ht="18.899999999999999" thickBot="1" x14ac:dyDescent="0.45">
      <c r="CM3" s="45"/>
    </row>
    <row r="4" spans="1:99" s="38" customFormat="1" ht="28.3" customHeight="1" thickBot="1" x14ac:dyDescent="0.55000000000000004">
      <c r="A4" s="128"/>
      <c r="B4" s="199" t="s">
        <v>166</v>
      </c>
      <c r="C4" s="200"/>
      <c r="D4" s="200"/>
      <c r="E4" s="200"/>
      <c r="F4" s="200"/>
      <c r="G4" s="200"/>
      <c r="H4" s="200"/>
      <c r="I4" s="201"/>
      <c r="J4" s="128"/>
      <c r="K4" s="199" t="s">
        <v>167</v>
      </c>
      <c r="L4" s="200"/>
      <c r="M4" s="200"/>
      <c r="N4" s="200"/>
      <c r="O4" s="200"/>
      <c r="P4" s="200"/>
      <c r="Q4" s="200"/>
      <c r="R4" s="201"/>
      <c r="S4" s="128"/>
      <c r="T4" s="199" t="s">
        <v>168</v>
      </c>
      <c r="U4" s="200"/>
      <c r="V4" s="200"/>
      <c r="W4" s="200"/>
      <c r="X4" s="200"/>
      <c r="Y4" s="200"/>
      <c r="Z4" s="200"/>
      <c r="AA4" s="201"/>
      <c r="AB4" s="128"/>
      <c r="AC4" s="205"/>
      <c r="AD4" s="205"/>
      <c r="AE4" s="205"/>
      <c r="AF4" s="205"/>
      <c r="AG4" s="205"/>
      <c r="AH4" s="205"/>
      <c r="AI4" s="205"/>
      <c r="AJ4" s="205"/>
      <c r="AL4" s="205"/>
      <c r="AM4" s="205"/>
      <c r="AN4" s="205"/>
      <c r="AO4" s="205"/>
      <c r="AP4" s="205"/>
      <c r="AQ4" s="205"/>
      <c r="AR4" s="205"/>
      <c r="AS4" s="205"/>
      <c r="AU4" s="205"/>
      <c r="AV4" s="205"/>
      <c r="AW4" s="205"/>
      <c r="AX4" s="205"/>
      <c r="AY4" s="205"/>
      <c r="AZ4" s="205"/>
      <c r="BA4" s="205"/>
      <c r="BB4" s="205"/>
      <c r="BD4" s="205"/>
      <c r="BE4" s="205"/>
      <c r="BF4" s="205"/>
      <c r="BG4" s="205"/>
      <c r="BH4" s="205"/>
      <c r="BI4" s="205"/>
      <c r="BJ4" s="205"/>
      <c r="BK4" s="205"/>
      <c r="BM4" s="205"/>
      <c r="BN4" s="205"/>
      <c r="BO4" s="205"/>
      <c r="BP4" s="205"/>
      <c r="BQ4" s="205"/>
      <c r="BR4" s="205"/>
      <c r="BS4" s="205"/>
      <c r="BT4" s="205"/>
      <c r="BV4" s="205"/>
      <c r="BW4" s="205"/>
      <c r="BX4" s="205"/>
      <c r="BY4" s="205"/>
      <c r="BZ4" s="205"/>
      <c r="CA4" s="205"/>
      <c r="CB4" s="205"/>
      <c r="CC4" s="205"/>
      <c r="CE4" s="205"/>
      <c r="CF4" s="205"/>
      <c r="CG4" s="205"/>
      <c r="CH4" s="205"/>
      <c r="CI4" s="205"/>
      <c r="CJ4" s="205"/>
      <c r="CK4" s="205"/>
      <c r="CL4" s="205"/>
      <c r="CM4" s="139"/>
    </row>
    <row r="5" spans="1:99" ht="21.9" customHeight="1" thickBot="1" x14ac:dyDescent="0.5">
      <c r="B5" s="202" t="s">
        <v>73</v>
      </c>
      <c r="C5" s="203"/>
      <c r="D5" s="203"/>
      <c r="E5" s="203"/>
      <c r="F5" s="203"/>
      <c r="G5" s="203"/>
      <c r="H5" s="203"/>
      <c r="I5" s="204"/>
      <c r="J5" s="8"/>
      <c r="K5" s="202" t="s">
        <v>73</v>
      </c>
      <c r="L5" s="203"/>
      <c r="M5" s="203"/>
      <c r="N5" s="203"/>
      <c r="O5" s="203"/>
      <c r="P5" s="203"/>
      <c r="Q5" s="203"/>
      <c r="R5" s="204"/>
      <c r="S5" s="48"/>
      <c r="T5" s="202" t="s">
        <v>73</v>
      </c>
      <c r="U5" s="203"/>
      <c r="V5" s="203"/>
      <c r="W5" s="203"/>
      <c r="X5" s="203"/>
      <c r="Y5" s="203"/>
      <c r="Z5" s="203"/>
      <c r="AA5" s="204"/>
      <c r="AB5" s="8"/>
      <c r="AC5" s="206"/>
      <c r="AD5" s="206"/>
      <c r="AE5" s="206"/>
      <c r="AF5" s="206"/>
      <c r="AG5" s="206"/>
      <c r="AH5" s="206"/>
      <c r="AI5" s="206"/>
      <c r="AJ5" s="206"/>
      <c r="AK5" s="16"/>
      <c r="AL5" s="206"/>
      <c r="AM5" s="206"/>
      <c r="AN5" s="206"/>
      <c r="AO5" s="206"/>
      <c r="AP5" s="206"/>
      <c r="AQ5" s="206"/>
      <c r="AR5" s="206"/>
      <c r="AS5" s="206"/>
      <c r="AT5" s="16"/>
      <c r="AU5" s="206"/>
      <c r="AV5" s="206"/>
      <c r="AW5" s="206"/>
      <c r="AX5" s="206"/>
      <c r="AY5" s="206"/>
      <c r="AZ5" s="206"/>
      <c r="BA5" s="206"/>
      <c r="BB5" s="206"/>
      <c r="BC5" s="156"/>
      <c r="BD5" s="206"/>
      <c r="BE5" s="206"/>
      <c r="BF5" s="206"/>
      <c r="BG5" s="206"/>
      <c r="BH5" s="206"/>
      <c r="BI5" s="206"/>
      <c r="BJ5" s="206"/>
      <c r="BK5" s="206"/>
      <c r="BL5" s="156"/>
      <c r="BM5" s="206"/>
      <c r="BN5" s="206"/>
      <c r="BO5" s="206"/>
      <c r="BP5" s="206"/>
      <c r="BQ5" s="206"/>
      <c r="BR5" s="206"/>
      <c r="BS5" s="206"/>
      <c r="BT5" s="206"/>
      <c r="BU5" s="16"/>
      <c r="BV5" s="206"/>
      <c r="BW5" s="206"/>
      <c r="BX5" s="206"/>
      <c r="BY5" s="206"/>
      <c r="BZ5" s="206"/>
      <c r="CA5" s="206"/>
      <c r="CB5" s="206"/>
      <c r="CC5" s="206"/>
      <c r="CD5" s="16"/>
      <c r="CE5" s="206"/>
      <c r="CF5" s="206"/>
      <c r="CG5" s="206"/>
      <c r="CH5" s="206"/>
      <c r="CI5" s="206"/>
      <c r="CJ5" s="206"/>
      <c r="CK5" s="206"/>
      <c r="CL5" s="206"/>
      <c r="CM5" s="16"/>
      <c r="CN5" s="207"/>
      <c r="CO5" s="207"/>
      <c r="CP5" s="207"/>
      <c r="CQ5" s="207"/>
      <c r="CR5" s="207"/>
      <c r="CS5" s="207"/>
      <c r="CT5" s="207"/>
      <c r="CU5" s="207"/>
    </row>
    <row r="6" spans="1:99" s="43" customFormat="1" ht="26.6" thickBot="1" x14ac:dyDescent="0.75">
      <c r="A6" s="5"/>
      <c r="B6" s="53" t="s">
        <v>22</v>
      </c>
      <c r="C6" s="21" t="s">
        <v>93</v>
      </c>
      <c r="D6" s="21" t="s">
        <v>71</v>
      </c>
      <c r="E6" s="21" t="s">
        <v>89</v>
      </c>
      <c r="F6" s="29" t="s">
        <v>70</v>
      </c>
      <c r="G6" s="21" t="s">
        <v>90</v>
      </c>
      <c r="H6" s="21" t="s">
        <v>72</v>
      </c>
      <c r="I6" s="54" t="s">
        <v>92</v>
      </c>
      <c r="J6" s="5"/>
      <c r="K6" s="53" t="s">
        <v>22</v>
      </c>
      <c r="L6" s="21" t="s">
        <v>93</v>
      </c>
      <c r="M6" s="21" t="s">
        <v>71</v>
      </c>
      <c r="N6" s="21" t="s">
        <v>89</v>
      </c>
      <c r="O6" s="29" t="s">
        <v>70</v>
      </c>
      <c r="P6" s="21" t="s">
        <v>90</v>
      </c>
      <c r="Q6" s="21" t="s">
        <v>72</v>
      </c>
      <c r="R6" s="54" t="s">
        <v>92</v>
      </c>
      <c r="S6" s="5"/>
      <c r="T6" s="53" t="s">
        <v>22</v>
      </c>
      <c r="U6" s="21" t="s">
        <v>93</v>
      </c>
      <c r="V6" s="21" t="s">
        <v>71</v>
      </c>
      <c r="W6" s="21" t="s">
        <v>89</v>
      </c>
      <c r="X6" s="29" t="s">
        <v>70</v>
      </c>
      <c r="Y6" s="21" t="s">
        <v>90</v>
      </c>
      <c r="Z6" s="21" t="s">
        <v>72</v>
      </c>
      <c r="AA6" s="54" t="s">
        <v>92</v>
      </c>
      <c r="AB6" s="5"/>
      <c r="AC6" s="160"/>
      <c r="AD6" s="160"/>
      <c r="AE6" s="160"/>
      <c r="AF6" s="160"/>
      <c r="AG6" s="160"/>
      <c r="AH6" s="160"/>
      <c r="AI6" s="160"/>
      <c r="AJ6" s="160"/>
      <c r="AL6" s="160"/>
      <c r="AM6" s="160"/>
      <c r="AN6" s="160"/>
      <c r="AO6" s="160"/>
      <c r="AP6" s="160"/>
      <c r="AQ6" s="160"/>
      <c r="AR6" s="160"/>
      <c r="AS6" s="160"/>
      <c r="AU6" s="160"/>
      <c r="AV6" s="160"/>
      <c r="AW6" s="160"/>
      <c r="AX6" s="160"/>
      <c r="AY6" s="160"/>
      <c r="AZ6" s="160"/>
      <c r="BA6" s="160"/>
      <c r="BB6" s="160"/>
      <c r="BC6" s="42"/>
      <c r="BD6" s="160"/>
      <c r="BE6" s="160"/>
      <c r="BF6" s="160"/>
      <c r="BG6" s="160"/>
      <c r="BH6" s="160"/>
      <c r="BI6" s="160"/>
      <c r="BJ6" s="160"/>
      <c r="BK6" s="160"/>
      <c r="BL6" s="42"/>
      <c r="BM6" s="160"/>
      <c r="BN6" s="160"/>
      <c r="BO6" s="160"/>
      <c r="BP6" s="160"/>
      <c r="BQ6" s="160"/>
      <c r="BR6" s="160"/>
      <c r="BS6" s="160"/>
      <c r="BT6" s="160"/>
      <c r="BU6" s="42"/>
      <c r="BV6" s="160"/>
      <c r="BW6" s="160"/>
      <c r="BX6" s="160"/>
      <c r="BY6" s="160"/>
      <c r="BZ6" s="160"/>
      <c r="CA6" s="160"/>
      <c r="CB6" s="160"/>
      <c r="CC6" s="160"/>
      <c r="CD6" s="42"/>
      <c r="CE6" s="160"/>
      <c r="CF6" s="160"/>
      <c r="CG6" s="160"/>
      <c r="CH6" s="160"/>
      <c r="CI6" s="160"/>
      <c r="CJ6" s="160"/>
      <c r="CK6" s="160"/>
      <c r="CL6" s="160"/>
      <c r="CM6" s="155"/>
    </row>
    <row r="7" spans="1:99" ht="15.45" x14ac:dyDescent="0.4">
      <c r="B7" s="55">
        <v>2021</v>
      </c>
      <c r="C7" s="31">
        <v>0.243621</v>
      </c>
      <c r="D7" s="31">
        <v>0.263403</v>
      </c>
      <c r="E7" s="31">
        <v>0.29213100000000003</v>
      </c>
      <c r="F7" s="31">
        <v>0.33056100000000005</v>
      </c>
      <c r="G7" s="31">
        <v>0.36754200000000004</v>
      </c>
      <c r="H7" s="31">
        <v>0.40168799999999999</v>
      </c>
      <c r="I7" s="58">
        <v>0.423234</v>
      </c>
      <c r="K7" s="55">
        <v>2021</v>
      </c>
      <c r="L7" s="31">
        <v>0.24330599999999999</v>
      </c>
      <c r="M7" s="31">
        <v>0.263403</v>
      </c>
      <c r="N7" s="31">
        <v>0.29175299999999998</v>
      </c>
      <c r="O7" s="31">
        <v>0.33043499999999998</v>
      </c>
      <c r="P7" s="31">
        <v>0.36754200000000004</v>
      </c>
      <c r="Q7" s="31">
        <v>0.40156199999999997</v>
      </c>
      <c r="R7" s="58">
        <v>0.42354900000000001</v>
      </c>
      <c r="T7" s="55">
        <v>2021</v>
      </c>
      <c r="U7" s="31">
        <v>0.24374700000000002</v>
      </c>
      <c r="V7" s="31">
        <v>0.26346600000000003</v>
      </c>
      <c r="W7" s="31">
        <v>0.29200500000000001</v>
      </c>
      <c r="X7" s="31">
        <v>0.33075000000000004</v>
      </c>
      <c r="Y7" s="31">
        <v>0.36747900000000006</v>
      </c>
      <c r="Z7" s="31">
        <v>0.40143600000000002</v>
      </c>
      <c r="AA7" s="58">
        <v>0.42386399999999996</v>
      </c>
      <c r="AC7" s="160"/>
      <c r="AD7" s="31"/>
      <c r="AE7" s="31"/>
      <c r="AF7" s="31"/>
      <c r="AG7" s="31"/>
      <c r="AH7" s="31"/>
      <c r="AI7" s="31"/>
      <c r="AJ7" s="31"/>
      <c r="AL7" s="160"/>
      <c r="AM7" s="31"/>
      <c r="AN7" s="31"/>
      <c r="AO7" s="31"/>
      <c r="AP7" s="31"/>
      <c r="AQ7" s="31"/>
      <c r="AR7" s="31"/>
      <c r="AS7" s="31"/>
      <c r="AU7" s="160"/>
      <c r="AV7" s="31"/>
      <c r="AW7" s="31"/>
      <c r="AX7" s="31"/>
      <c r="AY7" s="31"/>
      <c r="AZ7" s="31"/>
      <c r="BA7" s="31"/>
      <c r="BB7" s="31"/>
      <c r="BC7" s="44"/>
      <c r="BD7" s="160"/>
      <c r="BE7" s="31"/>
      <c r="BF7" s="31"/>
      <c r="BG7" s="31"/>
      <c r="BH7" s="31"/>
      <c r="BI7" s="31"/>
      <c r="BJ7" s="31"/>
      <c r="BK7" s="31"/>
      <c r="BL7" s="44"/>
      <c r="BM7" s="160"/>
      <c r="BN7" s="31"/>
      <c r="BO7" s="31"/>
      <c r="BP7" s="31"/>
      <c r="BQ7" s="31"/>
      <c r="BR7" s="31"/>
      <c r="BS7" s="31"/>
      <c r="BT7" s="31"/>
      <c r="BU7" s="44"/>
      <c r="BV7" s="160"/>
      <c r="BW7" s="31"/>
      <c r="BX7" s="31"/>
      <c r="BY7" s="31"/>
      <c r="BZ7" s="31"/>
      <c r="CA7" s="31"/>
      <c r="CB7" s="31"/>
      <c r="CC7" s="31"/>
      <c r="CD7" s="44"/>
      <c r="CE7" s="160"/>
      <c r="CF7" s="138"/>
      <c r="CG7" s="31"/>
      <c r="CH7" s="31"/>
      <c r="CI7" s="31"/>
      <c r="CJ7" s="31"/>
      <c r="CK7" s="31"/>
      <c r="CL7" s="31"/>
    </row>
    <row r="8" spans="1:99" ht="15.45" x14ac:dyDescent="0.4">
      <c r="B8" s="55">
        <v>2022</v>
      </c>
      <c r="C8" s="31">
        <v>0.16417799999999999</v>
      </c>
      <c r="D8" s="31">
        <v>0.17671500000000001</v>
      </c>
      <c r="E8" s="31">
        <v>0.204813</v>
      </c>
      <c r="F8" s="31">
        <v>0.22919400000000001</v>
      </c>
      <c r="G8" s="31">
        <v>0.26107199999999997</v>
      </c>
      <c r="H8" s="31">
        <v>0.29805300000000001</v>
      </c>
      <c r="I8" s="58">
        <v>0.32130000000000003</v>
      </c>
      <c r="K8" s="55">
        <v>2022</v>
      </c>
      <c r="L8" s="31">
        <v>0.164052</v>
      </c>
      <c r="M8" s="31">
        <v>0.17646300000000001</v>
      </c>
      <c r="N8" s="31">
        <v>0.20468700000000001</v>
      </c>
      <c r="O8" s="31">
        <v>0.22919400000000001</v>
      </c>
      <c r="P8" s="31">
        <v>0.26138699999999998</v>
      </c>
      <c r="Q8" s="31">
        <v>0.29767499999999997</v>
      </c>
      <c r="R8" s="58">
        <v>0.32111100000000004</v>
      </c>
      <c r="T8" s="55">
        <v>2022</v>
      </c>
      <c r="U8" s="31">
        <v>0.16417799999999999</v>
      </c>
      <c r="V8" s="31">
        <v>0.17690400000000001</v>
      </c>
      <c r="W8" s="31">
        <v>0.20475000000000002</v>
      </c>
      <c r="X8" s="31">
        <v>0.22913100000000003</v>
      </c>
      <c r="Y8" s="31">
        <v>0.26138699999999998</v>
      </c>
      <c r="Z8" s="31">
        <v>0.29798999999999998</v>
      </c>
      <c r="AA8" s="58">
        <v>0.32192999999999999</v>
      </c>
      <c r="AC8" s="160"/>
      <c r="AD8" s="31"/>
      <c r="AE8" s="31"/>
      <c r="AF8" s="31"/>
      <c r="AG8" s="31"/>
      <c r="AH8" s="31"/>
      <c r="AI8" s="31"/>
      <c r="AJ8" s="31"/>
      <c r="AL8" s="160"/>
      <c r="AM8" s="31"/>
      <c r="AN8" s="31"/>
      <c r="AO8" s="31"/>
      <c r="AP8" s="31"/>
      <c r="AQ8" s="31"/>
      <c r="AR8" s="31"/>
      <c r="AS8" s="31"/>
      <c r="AU8" s="160"/>
      <c r="AV8" s="31"/>
      <c r="AW8" s="31"/>
      <c r="AX8" s="31"/>
      <c r="AY8" s="31"/>
      <c r="AZ8" s="31"/>
      <c r="BA8" s="31"/>
      <c r="BB8" s="31"/>
      <c r="BD8" s="160"/>
      <c r="BE8" s="31"/>
      <c r="BF8" s="31"/>
      <c r="BG8" s="31"/>
      <c r="BH8" s="31"/>
      <c r="BI8" s="31"/>
      <c r="BJ8" s="31"/>
      <c r="BK8" s="31"/>
      <c r="BM8" s="160"/>
      <c r="BN8" s="31"/>
      <c r="BO8" s="31"/>
      <c r="BP8" s="31"/>
      <c r="BQ8" s="31"/>
      <c r="BR8" s="31"/>
      <c r="BS8" s="31"/>
      <c r="BT8" s="31"/>
      <c r="BV8" s="160"/>
      <c r="BW8" s="31"/>
      <c r="BX8" s="31"/>
      <c r="BY8" s="31"/>
      <c r="BZ8" s="31"/>
      <c r="CA8" s="31"/>
      <c r="CB8" s="31"/>
      <c r="CC8" s="31"/>
      <c r="CE8" s="160"/>
      <c r="CF8" s="31"/>
      <c r="CG8" s="31"/>
      <c r="CH8" s="31"/>
      <c r="CI8" s="31"/>
      <c r="CJ8" s="31"/>
      <c r="CK8" s="31"/>
      <c r="CL8" s="31"/>
    </row>
    <row r="9" spans="1:99" ht="15.45" x14ac:dyDescent="0.4">
      <c r="B9" s="55">
        <v>2023</v>
      </c>
      <c r="C9" s="31">
        <v>0.160776</v>
      </c>
      <c r="D9" s="31">
        <v>0.174258</v>
      </c>
      <c r="E9" s="31">
        <v>0.20027700000000001</v>
      </c>
      <c r="F9" s="31">
        <v>0.23247000000000001</v>
      </c>
      <c r="G9" s="31">
        <v>0.27216000000000001</v>
      </c>
      <c r="H9" s="31">
        <v>0.317079</v>
      </c>
      <c r="I9" s="58">
        <v>0.34612199999999999</v>
      </c>
      <c r="K9" s="55">
        <v>2023</v>
      </c>
      <c r="L9" s="31">
        <v>0.16083900000000001</v>
      </c>
      <c r="M9" s="31">
        <v>0.17419500000000002</v>
      </c>
      <c r="N9" s="31">
        <v>0.200151</v>
      </c>
      <c r="O9" s="31">
        <v>0.23272200000000001</v>
      </c>
      <c r="P9" s="31">
        <v>0.271845</v>
      </c>
      <c r="Q9" s="31">
        <v>0.31676400000000005</v>
      </c>
      <c r="R9" s="58">
        <v>0.34706699999999996</v>
      </c>
      <c r="T9" s="55">
        <v>2023</v>
      </c>
      <c r="U9" s="31">
        <v>0.160965</v>
      </c>
      <c r="V9" s="31">
        <v>0.174258</v>
      </c>
      <c r="W9" s="31">
        <v>0.20008799999999999</v>
      </c>
      <c r="X9" s="31">
        <v>0.232596</v>
      </c>
      <c r="Y9" s="31">
        <v>0.27190799999999998</v>
      </c>
      <c r="Z9" s="31">
        <v>0.31714199999999998</v>
      </c>
      <c r="AA9" s="58">
        <v>0.34731899999999999</v>
      </c>
      <c r="AC9" s="160"/>
      <c r="AD9" s="31"/>
      <c r="AE9" s="31"/>
      <c r="AF9" s="31"/>
      <c r="AG9" s="31"/>
      <c r="AH9" s="31"/>
      <c r="AI9" s="31"/>
      <c r="AJ9" s="31"/>
      <c r="AL9" s="160"/>
      <c r="AM9" s="31"/>
      <c r="AN9" s="31"/>
      <c r="AO9" s="31"/>
      <c r="AP9" s="31"/>
      <c r="AQ9" s="31"/>
      <c r="AR9" s="31"/>
      <c r="AS9" s="31"/>
      <c r="AU9" s="160"/>
      <c r="AV9" s="31"/>
      <c r="AW9" s="31"/>
      <c r="AX9" s="31"/>
      <c r="AY9" s="31"/>
      <c r="AZ9" s="31"/>
      <c r="BA9" s="31"/>
      <c r="BB9" s="31"/>
      <c r="BD9" s="160"/>
      <c r="BE9" s="31"/>
      <c r="BF9" s="31"/>
      <c r="BG9" s="31"/>
      <c r="BH9" s="31"/>
      <c r="BI9" s="31"/>
      <c r="BJ9" s="31"/>
      <c r="BK9" s="31"/>
      <c r="BM9" s="160"/>
      <c r="BN9" s="31"/>
      <c r="BO9" s="31"/>
      <c r="BP9" s="31"/>
      <c r="BQ9" s="31"/>
      <c r="BR9" s="31"/>
      <c r="BS9" s="31"/>
      <c r="BT9" s="31"/>
      <c r="BV9" s="160"/>
      <c r="BW9" s="31"/>
      <c r="BX9" s="31"/>
      <c r="BY9" s="31"/>
      <c r="BZ9" s="31"/>
      <c r="CA9" s="31"/>
      <c r="CB9" s="31"/>
      <c r="CC9" s="31"/>
      <c r="CE9" s="160"/>
      <c r="CF9" s="31"/>
      <c r="CG9" s="31"/>
      <c r="CH9" s="31"/>
      <c r="CI9" s="31"/>
      <c r="CJ9" s="31"/>
      <c r="CK9" s="31"/>
      <c r="CL9" s="31"/>
    </row>
    <row r="10" spans="1:99" ht="15.45" x14ac:dyDescent="0.4">
      <c r="B10" s="55">
        <v>2024</v>
      </c>
      <c r="C10" s="31">
        <v>0.17085600000000001</v>
      </c>
      <c r="D10" s="31">
        <v>0.18534600000000001</v>
      </c>
      <c r="E10" s="31">
        <v>0.21407399999999999</v>
      </c>
      <c r="F10" s="31">
        <v>0.25395299999999998</v>
      </c>
      <c r="G10" s="31">
        <v>0.305676</v>
      </c>
      <c r="H10" s="31">
        <v>0.36508499999999999</v>
      </c>
      <c r="I10" s="58">
        <v>0.40805100000000005</v>
      </c>
      <c r="K10" s="55">
        <v>2024</v>
      </c>
      <c r="L10" s="31">
        <v>0.17073000000000002</v>
      </c>
      <c r="M10" s="31">
        <v>0.18553499999999998</v>
      </c>
      <c r="N10" s="31">
        <v>0.21401100000000001</v>
      </c>
      <c r="O10" s="31">
        <v>0.25376399999999999</v>
      </c>
      <c r="P10" s="31">
        <v>0.30510900000000002</v>
      </c>
      <c r="Q10" s="31">
        <v>0.36527399999999999</v>
      </c>
      <c r="R10" s="58">
        <v>0.40874400000000005</v>
      </c>
      <c r="T10" s="55">
        <v>2024</v>
      </c>
      <c r="U10" s="31">
        <v>0.17060400000000001</v>
      </c>
      <c r="V10" s="31">
        <v>0.18528299999999998</v>
      </c>
      <c r="W10" s="31">
        <v>0.213759</v>
      </c>
      <c r="X10" s="31">
        <v>0.25389</v>
      </c>
      <c r="Y10" s="31">
        <v>0.30599100000000001</v>
      </c>
      <c r="Z10" s="31">
        <v>0.36615600000000004</v>
      </c>
      <c r="AA10" s="58">
        <v>0.41012999999999999</v>
      </c>
      <c r="AC10" s="160"/>
      <c r="AD10" s="31"/>
      <c r="AE10" s="31"/>
      <c r="AF10" s="31"/>
      <c r="AG10" s="31"/>
      <c r="AH10" s="31"/>
      <c r="AI10" s="31"/>
      <c r="AJ10" s="31"/>
      <c r="AL10" s="160"/>
      <c r="AM10" s="31"/>
      <c r="AN10" s="31"/>
      <c r="AO10" s="31"/>
      <c r="AP10" s="31"/>
      <c r="AQ10" s="31"/>
      <c r="AR10" s="31"/>
      <c r="AS10" s="31"/>
      <c r="AU10" s="160"/>
      <c r="AV10" s="31"/>
      <c r="AW10" s="31"/>
      <c r="AX10" s="31"/>
      <c r="AY10" s="31"/>
      <c r="AZ10" s="31"/>
      <c r="BA10" s="31"/>
      <c r="BB10" s="31"/>
      <c r="BD10" s="160"/>
      <c r="BE10" s="31"/>
      <c r="BF10" s="31"/>
      <c r="BG10" s="31"/>
      <c r="BH10" s="31"/>
      <c r="BI10" s="31"/>
      <c r="BJ10" s="31"/>
      <c r="BK10" s="31"/>
      <c r="BM10" s="160"/>
      <c r="BN10" s="31"/>
      <c r="BO10" s="31"/>
      <c r="BP10" s="31"/>
      <c r="BQ10" s="31"/>
      <c r="BR10" s="31"/>
      <c r="BS10" s="31"/>
      <c r="BT10" s="31"/>
      <c r="BV10" s="160"/>
      <c r="BW10" s="31"/>
      <c r="BX10" s="31"/>
      <c r="BY10" s="31"/>
      <c r="BZ10" s="31"/>
      <c r="CA10" s="31"/>
      <c r="CB10" s="31"/>
      <c r="CC10" s="31"/>
      <c r="CE10" s="160"/>
      <c r="CF10" s="31"/>
      <c r="CG10" s="31"/>
      <c r="CH10" s="31"/>
      <c r="CI10" s="31"/>
      <c r="CJ10" s="31"/>
      <c r="CK10" s="31"/>
      <c r="CL10" s="31"/>
    </row>
    <row r="11" spans="1:99" ht="15.45" x14ac:dyDescent="0.4">
      <c r="B11" s="55">
        <v>2025</v>
      </c>
      <c r="C11" s="31">
        <v>0.181062</v>
      </c>
      <c r="D11" s="31">
        <v>0.19838700000000001</v>
      </c>
      <c r="E11" s="31">
        <v>0.232659</v>
      </c>
      <c r="F11" s="31">
        <v>0.28312200000000004</v>
      </c>
      <c r="G11" s="31">
        <v>0.35235900000000003</v>
      </c>
      <c r="H11" s="31">
        <v>0.43860600000000005</v>
      </c>
      <c r="I11" s="58">
        <v>0.50526000000000004</v>
      </c>
      <c r="K11" s="55">
        <v>2025</v>
      </c>
      <c r="L11" s="31">
        <v>0.25326000000000004</v>
      </c>
      <c r="M11" s="31">
        <v>0.278082</v>
      </c>
      <c r="N11" s="31">
        <v>0.327789</v>
      </c>
      <c r="O11" s="31">
        <v>0.40156199999999997</v>
      </c>
      <c r="P11" s="31">
        <v>0.50664600000000004</v>
      </c>
      <c r="Q11" s="31">
        <v>0.64322999999999997</v>
      </c>
      <c r="R11" s="58">
        <v>0.75203100000000001</v>
      </c>
      <c r="T11" s="55">
        <v>2025</v>
      </c>
      <c r="U11" s="31">
        <v>0.25300800000000001</v>
      </c>
      <c r="V11" s="31">
        <v>0.277389</v>
      </c>
      <c r="W11" s="31">
        <v>0.32741100000000001</v>
      </c>
      <c r="X11" s="31">
        <v>0.40194000000000002</v>
      </c>
      <c r="Y11" s="31">
        <v>0.50847300000000006</v>
      </c>
      <c r="Z11" s="31">
        <v>0.64455299999999993</v>
      </c>
      <c r="AA11" s="58">
        <v>0.75663000000000002</v>
      </c>
      <c r="AC11" s="160"/>
      <c r="AD11" s="28"/>
      <c r="AE11" s="28"/>
      <c r="AF11" s="28"/>
      <c r="AG11" s="28"/>
      <c r="AH11" s="28"/>
      <c r="AI11" s="28"/>
      <c r="AJ11" s="28"/>
      <c r="AL11" s="160"/>
      <c r="AM11" s="28"/>
      <c r="AN11" s="28"/>
      <c r="AO11" s="28"/>
      <c r="AP11" s="28"/>
      <c r="AQ11" s="28"/>
      <c r="AR11" s="28"/>
      <c r="AS11" s="28"/>
      <c r="AU11" s="160"/>
      <c r="AV11" s="28"/>
      <c r="AW11" s="28"/>
      <c r="AX11" s="28"/>
      <c r="AY11" s="28"/>
      <c r="AZ11" s="28"/>
      <c r="BA11" s="28"/>
      <c r="BB11" s="28"/>
      <c r="BD11" s="160"/>
      <c r="BE11" s="28"/>
      <c r="BF11" s="28"/>
      <c r="BG11" s="28"/>
      <c r="BH11" s="28"/>
      <c r="BI11" s="28"/>
      <c r="BJ11" s="28"/>
      <c r="BK11" s="28"/>
      <c r="BM11" s="160"/>
      <c r="BN11" s="28"/>
      <c r="BO11" s="28"/>
      <c r="BP11" s="28"/>
      <c r="BQ11" s="28"/>
      <c r="BR11" s="28"/>
      <c r="BS11" s="28"/>
      <c r="BT11" s="28"/>
      <c r="BV11" s="160"/>
      <c r="BW11" s="31"/>
      <c r="BX11" s="31"/>
      <c r="BY11" s="31"/>
      <c r="BZ11" s="31"/>
      <c r="CA11" s="31"/>
      <c r="CB11" s="31"/>
      <c r="CC11" s="31"/>
      <c r="CE11" s="160"/>
      <c r="CF11" s="31"/>
      <c r="CG11" s="31"/>
      <c r="CH11" s="31"/>
      <c r="CI11" s="31"/>
      <c r="CJ11" s="31"/>
      <c r="CK11" s="31"/>
      <c r="CL11" s="31"/>
    </row>
    <row r="12" spans="1:99" ht="15.45" x14ac:dyDescent="0.4">
      <c r="B12" s="55">
        <v>2026</v>
      </c>
      <c r="C12" s="31">
        <v>0.18522</v>
      </c>
      <c r="D12" s="31">
        <v>0.20456099999999999</v>
      </c>
      <c r="E12" s="31">
        <v>0.24406200000000003</v>
      </c>
      <c r="F12" s="31">
        <v>0.30233700000000002</v>
      </c>
      <c r="G12" s="31">
        <v>0.387513</v>
      </c>
      <c r="H12" s="31">
        <v>0.501606</v>
      </c>
      <c r="I12" s="58">
        <v>0.598437</v>
      </c>
      <c r="K12" s="55">
        <v>2026</v>
      </c>
      <c r="L12" s="31">
        <v>0.19775700000000002</v>
      </c>
      <c r="M12" s="31">
        <v>0.21986999999999998</v>
      </c>
      <c r="N12" s="31">
        <v>0.26447399999999999</v>
      </c>
      <c r="O12" s="31">
        <v>0.33459300000000003</v>
      </c>
      <c r="P12" s="31">
        <v>0.44106299999999998</v>
      </c>
      <c r="Q12" s="31">
        <v>0.59031</v>
      </c>
      <c r="R12" s="58">
        <v>0.72279899999999997</v>
      </c>
      <c r="T12" s="55">
        <v>2026</v>
      </c>
      <c r="U12" s="31">
        <v>0.27568799999999999</v>
      </c>
      <c r="V12" s="31">
        <v>0.30781799999999998</v>
      </c>
      <c r="W12" s="31">
        <v>0.37447200000000003</v>
      </c>
      <c r="X12" s="31">
        <v>0.479682</v>
      </c>
      <c r="Y12" s="31">
        <v>0.64556099999999994</v>
      </c>
      <c r="Z12" s="31">
        <v>0.89504100000000009</v>
      </c>
      <c r="AA12" s="58">
        <v>1.1280779999999999</v>
      </c>
      <c r="AC12" s="160"/>
      <c r="AD12" s="28"/>
      <c r="AE12" s="28"/>
      <c r="AF12" s="28"/>
      <c r="AG12" s="28"/>
      <c r="AH12" s="28"/>
      <c r="AI12" s="28"/>
      <c r="AJ12" s="28"/>
      <c r="AL12" s="160"/>
      <c r="AM12" s="28"/>
      <c r="AN12" s="28"/>
      <c r="AO12" s="28"/>
      <c r="AP12" s="28"/>
      <c r="AQ12" s="28"/>
      <c r="AR12" s="28"/>
      <c r="AS12" s="28"/>
      <c r="AU12" s="160"/>
      <c r="AV12" s="28"/>
      <c r="AW12" s="28"/>
      <c r="AX12" s="28"/>
      <c r="AY12" s="28"/>
      <c r="AZ12" s="28"/>
      <c r="BA12" s="28"/>
      <c r="BB12" s="28"/>
      <c r="BD12" s="160"/>
      <c r="BE12" s="28"/>
      <c r="BF12" s="28"/>
      <c r="BG12" s="28"/>
      <c r="BH12" s="28"/>
      <c r="BI12" s="28"/>
      <c r="BJ12" s="28"/>
      <c r="BK12" s="28"/>
      <c r="BM12" s="160"/>
      <c r="BN12" s="28"/>
      <c r="BO12" s="28"/>
      <c r="BP12" s="28"/>
      <c r="BQ12" s="28"/>
      <c r="BR12" s="28"/>
      <c r="BS12" s="28"/>
      <c r="BT12" s="28"/>
      <c r="BV12" s="160"/>
      <c r="BW12" s="31"/>
      <c r="BX12" s="31"/>
      <c r="BY12" s="31"/>
      <c r="BZ12" s="31"/>
      <c r="CA12" s="31"/>
      <c r="CB12" s="31"/>
      <c r="CC12" s="31"/>
      <c r="CE12" s="160"/>
      <c r="CF12" s="31"/>
      <c r="CG12" s="31"/>
      <c r="CH12" s="31"/>
      <c r="CI12" s="31"/>
      <c r="CJ12" s="31"/>
      <c r="CK12" s="31"/>
      <c r="CL12" s="31"/>
    </row>
    <row r="13" spans="1:99" ht="15.45" x14ac:dyDescent="0.4">
      <c r="B13" s="55">
        <v>2027</v>
      </c>
      <c r="C13" s="31">
        <v>0.189</v>
      </c>
      <c r="D13" s="31">
        <v>0.21079800000000001</v>
      </c>
      <c r="E13" s="31">
        <v>0.25395299999999998</v>
      </c>
      <c r="F13" s="31">
        <v>0.32022899999999999</v>
      </c>
      <c r="G13" s="31">
        <v>0.41983199999999998</v>
      </c>
      <c r="H13" s="31">
        <v>0.561141</v>
      </c>
      <c r="I13" s="58">
        <v>0.69060600000000005</v>
      </c>
      <c r="K13" s="55">
        <v>2027</v>
      </c>
      <c r="L13" s="31">
        <v>0.20034000000000002</v>
      </c>
      <c r="M13" s="31">
        <v>0.223965</v>
      </c>
      <c r="N13" s="31">
        <v>0.27278999999999998</v>
      </c>
      <c r="O13" s="31">
        <v>0.35021699999999995</v>
      </c>
      <c r="P13" s="31">
        <v>0.47079899999999997</v>
      </c>
      <c r="Q13" s="31">
        <v>0.65249100000000004</v>
      </c>
      <c r="R13" s="58">
        <v>0.82246500000000011</v>
      </c>
      <c r="T13" s="55">
        <v>2027</v>
      </c>
      <c r="U13" s="31">
        <v>0.213759</v>
      </c>
      <c r="V13" s="31">
        <v>0.24122700000000002</v>
      </c>
      <c r="W13" s="31">
        <v>0.299124</v>
      </c>
      <c r="X13" s="31">
        <v>0.39349800000000001</v>
      </c>
      <c r="Y13" s="31">
        <v>0.55024200000000001</v>
      </c>
      <c r="Z13" s="31">
        <v>0.81162900000000004</v>
      </c>
      <c r="AA13" s="58">
        <v>1.0689840000000002</v>
      </c>
      <c r="AC13" s="160"/>
      <c r="AD13" s="28"/>
      <c r="AE13" s="28"/>
      <c r="AF13" s="28"/>
      <c r="AG13" s="28"/>
      <c r="AH13" s="28"/>
      <c r="AI13" s="28"/>
      <c r="AJ13" s="28"/>
      <c r="AL13" s="160"/>
      <c r="AM13" s="28"/>
      <c r="AN13" s="28"/>
      <c r="AO13" s="28"/>
      <c r="AP13" s="28"/>
      <c r="AQ13" s="28"/>
      <c r="AR13" s="28"/>
      <c r="AS13" s="28"/>
      <c r="AU13" s="160"/>
      <c r="AV13" s="28"/>
      <c r="AW13" s="28"/>
      <c r="AX13" s="28"/>
      <c r="AY13" s="28"/>
      <c r="AZ13" s="28"/>
      <c r="BA13" s="28"/>
      <c r="BB13" s="28"/>
      <c r="BD13" s="160"/>
      <c r="BE13" s="28"/>
      <c r="BF13" s="28"/>
      <c r="BG13" s="28"/>
      <c r="BH13" s="28"/>
      <c r="BI13" s="28"/>
      <c r="BJ13" s="28"/>
      <c r="BK13" s="28"/>
      <c r="BM13" s="160"/>
      <c r="BN13" s="28"/>
      <c r="BO13" s="28"/>
      <c r="BP13" s="28"/>
      <c r="BQ13" s="28"/>
      <c r="BR13" s="28"/>
      <c r="BS13" s="28"/>
      <c r="BT13" s="28"/>
      <c r="BV13" s="160"/>
      <c r="BW13" s="31"/>
      <c r="BX13" s="31"/>
      <c r="BY13" s="31"/>
      <c r="BZ13" s="31"/>
      <c r="CA13" s="31"/>
      <c r="CB13" s="31"/>
      <c r="CC13" s="31"/>
      <c r="CE13" s="160"/>
      <c r="CF13" s="31"/>
      <c r="CG13" s="31"/>
      <c r="CH13" s="31"/>
      <c r="CI13" s="31"/>
      <c r="CJ13" s="31"/>
      <c r="CK13" s="31"/>
      <c r="CL13" s="31"/>
    </row>
    <row r="14" spans="1:99" ht="15.45" x14ac:dyDescent="0.4">
      <c r="B14" s="55">
        <v>2028</v>
      </c>
      <c r="C14" s="31">
        <v>0.182952</v>
      </c>
      <c r="D14" s="31">
        <v>0.20493899999999998</v>
      </c>
      <c r="E14" s="31">
        <v>0.248031</v>
      </c>
      <c r="F14" s="31">
        <v>0.31550400000000001</v>
      </c>
      <c r="G14" s="31">
        <v>0.41920200000000002</v>
      </c>
      <c r="H14" s="31">
        <v>0.57203999999999999</v>
      </c>
      <c r="I14" s="58">
        <v>0.71259300000000003</v>
      </c>
      <c r="K14" s="55">
        <v>2028</v>
      </c>
      <c r="L14" s="31">
        <v>0.18244800000000003</v>
      </c>
      <c r="M14" s="31">
        <v>0.20456099999999999</v>
      </c>
      <c r="N14" s="31">
        <v>0.25017300000000003</v>
      </c>
      <c r="O14" s="31">
        <v>0.32224499999999995</v>
      </c>
      <c r="P14" s="31">
        <v>0.43640099999999998</v>
      </c>
      <c r="Q14" s="31">
        <v>0.61418700000000004</v>
      </c>
      <c r="R14" s="58">
        <v>0.77956200000000009</v>
      </c>
      <c r="T14" s="55">
        <v>2028</v>
      </c>
      <c r="U14" s="31">
        <v>0.18799199999999999</v>
      </c>
      <c r="V14" s="31">
        <v>0.212121</v>
      </c>
      <c r="W14" s="31">
        <v>0.26315100000000002</v>
      </c>
      <c r="X14" s="31">
        <v>0.34618500000000002</v>
      </c>
      <c r="Y14" s="31">
        <v>0.48598199999999997</v>
      </c>
      <c r="Z14" s="31">
        <v>0.71164799999999995</v>
      </c>
      <c r="AA14" s="58">
        <v>0.94544099999999998</v>
      </c>
      <c r="AC14" s="160"/>
      <c r="AD14" s="28"/>
      <c r="AE14" s="28"/>
      <c r="AF14" s="28"/>
      <c r="AG14" s="28"/>
      <c r="AH14" s="28"/>
      <c r="AI14" s="28"/>
      <c r="AJ14" s="28"/>
      <c r="AL14" s="160"/>
      <c r="AM14" s="28"/>
      <c r="AN14" s="28"/>
      <c r="AO14" s="28"/>
      <c r="AP14" s="28"/>
      <c r="AQ14" s="28"/>
      <c r="AR14" s="28"/>
      <c r="AS14" s="28"/>
      <c r="AU14" s="160"/>
      <c r="AV14" s="28"/>
      <c r="AW14" s="28"/>
      <c r="AX14" s="28"/>
      <c r="AY14" s="28"/>
      <c r="AZ14" s="28"/>
      <c r="BA14" s="28"/>
      <c r="BB14" s="28"/>
      <c r="BD14" s="160"/>
      <c r="BE14" s="28"/>
      <c r="BF14" s="28"/>
      <c r="BG14" s="28"/>
      <c r="BH14" s="28"/>
      <c r="BI14" s="28"/>
      <c r="BJ14" s="28"/>
      <c r="BK14" s="28"/>
      <c r="BM14" s="160"/>
      <c r="BN14" s="28"/>
      <c r="BO14" s="28"/>
      <c r="BP14" s="28"/>
      <c r="BQ14" s="28"/>
      <c r="BR14" s="28"/>
      <c r="BS14" s="28"/>
      <c r="BT14" s="28"/>
      <c r="BV14" s="160"/>
      <c r="BW14" s="31"/>
      <c r="BX14" s="31"/>
      <c r="BY14" s="31"/>
      <c r="BZ14" s="31"/>
      <c r="CA14" s="31"/>
      <c r="CB14" s="31"/>
      <c r="CC14" s="31"/>
      <c r="CE14" s="160"/>
      <c r="CF14" s="31"/>
      <c r="CG14" s="31"/>
      <c r="CH14" s="31"/>
      <c r="CI14" s="31"/>
      <c r="CJ14" s="31"/>
      <c r="CK14" s="31"/>
      <c r="CL14" s="31"/>
    </row>
    <row r="15" spans="1:99" ht="15.45" x14ac:dyDescent="0.4">
      <c r="B15" s="55">
        <v>2029</v>
      </c>
      <c r="C15" s="31">
        <v>0.185472</v>
      </c>
      <c r="D15" s="31">
        <v>0.20733300000000002</v>
      </c>
      <c r="E15" s="31">
        <v>0.25250400000000001</v>
      </c>
      <c r="F15" s="31">
        <v>0.32400899999999999</v>
      </c>
      <c r="G15" s="31">
        <v>0.43577099999999996</v>
      </c>
      <c r="H15" s="31">
        <v>0.59988600000000003</v>
      </c>
      <c r="I15" s="58">
        <v>0.75833099999999998</v>
      </c>
      <c r="K15" s="55">
        <v>2029</v>
      </c>
      <c r="L15" s="31">
        <v>0.18099899999999999</v>
      </c>
      <c r="M15" s="31">
        <v>0.202986</v>
      </c>
      <c r="N15" s="31">
        <v>0.248913</v>
      </c>
      <c r="O15" s="31">
        <v>0.32111100000000004</v>
      </c>
      <c r="P15" s="31">
        <v>0.43671600000000005</v>
      </c>
      <c r="Q15" s="31">
        <v>0.61437599999999992</v>
      </c>
      <c r="R15" s="58">
        <v>0.78806699999999996</v>
      </c>
      <c r="T15" s="55">
        <v>2029</v>
      </c>
      <c r="U15" s="31">
        <v>0.18377100000000002</v>
      </c>
      <c r="V15" s="31">
        <v>0.206955</v>
      </c>
      <c r="W15" s="31">
        <v>0.255969</v>
      </c>
      <c r="X15" s="31">
        <v>0.33522299999999999</v>
      </c>
      <c r="Y15" s="31">
        <v>0.46802700000000003</v>
      </c>
      <c r="Z15" s="31">
        <v>0.67699799999999999</v>
      </c>
      <c r="AA15" s="58">
        <v>0.89541899999999996</v>
      </c>
      <c r="AC15" s="160"/>
      <c r="AD15" s="28"/>
      <c r="AE15" s="28"/>
      <c r="AF15" s="28"/>
      <c r="AG15" s="28"/>
      <c r="AH15" s="28"/>
      <c r="AI15" s="28"/>
      <c r="AJ15" s="28"/>
      <c r="AL15" s="160"/>
      <c r="AM15" s="28"/>
      <c r="AN15" s="28"/>
      <c r="AO15" s="28"/>
      <c r="AP15" s="28"/>
      <c r="AQ15" s="28"/>
      <c r="AR15" s="28"/>
      <c r="AS15" s="28"/>
      <c r="AU15" s="160"/>
      <c r="AV15" s="28"/>
      <c r="AW15" s="28"/>
      <c r="AX15" s="28"/>
      <c r="AY15" s="28"/>
      <c r="AZ15" s="28"/>
      <c r="BA15" s="28"/>
      <c r="BB15" s="28"/>
      <c r="BD15" s="160"/>
      <c r="BE15" s="28"/>
      <c r="BF15" s="28"/>
      <c r="BG15" s="28"/>
      <c r="BH15" s="28"/>
      <c r="BI15" s="28"/>
      <c r="BJ15" s="28"/>
      <c r="BK15" s="28"/>
      <c r="BM15" s="160"/>
      <c r="BN15" s="28"/>
      <c r="BO15" s="28"/>
      <c r="BP15" s="28"/>
      <c r="BQ15" s="28"/>
      <c r="BR15" s="28"/>
      <c r="BS15" s="28"/>
      <c r="BT15" s="28"/>
      <c r="BV15" s="160"/>
      <c r="BW15" s="31"/>
      <c r="BX15" s="31"/>
      <c r="BY15" s="31"/>
      <c r="BZ15" s="31"/>
      <c r="CA15" s="31"/>
      <c r="CB15" s="31"/>
      <c r="CC15" s="31"/>
      <c r="CE15" s="160"/>
      <c r="CF15" s="31"/>
      <c r="CG15" s="31"/>
      <c r="CH15" s="31"/>
      <c r="CI15" s="31"/>
      <c r="CJ15" s="31"/>
      <c r="CK15" s="31"/>
      <c r="CL15" s="31"/>
    </row>
    <row r="16" spans="1:99" ht="15.45" x14ac:dyDescent="0.4">
      <c r="B16" s="55">
        <v>2030</v>
      </c>
      <c r="C16" s="31">
        <v>0.187362</v>
      </c>
      <c r="D16" s="31">
        <v>0.20991599999999999</v>
      </c>
      <c r="E16" s="31">
        <v>0.25628400000000001</v>
      </c>
      <c r="F16" s="31">
        <v>0.330876</v>
      </c>
      <c r="G16" s="31">
        <v>0.44944200000000001</v>
      </c>
      <c r="H16" s="31">
        <v>0.63100800000000001</v>
      </c>
      <c r="I16" s="58">
        <v>0.80079299999999998</v>
      </c>
      <c r="K16" s="55">
        <v>2030</v>
      </c>
      <c r="L16" s="31">
        <v>0.18024300000000001</v>
      </c>
      <c r="M16" s="31">
        <v>0.20191500000000001</v>
      </c>
      <c r="N16" s="31">
        <v>0.247779</v>
      </c>
      <c r="O16" s="31">
        <v>0.32010300000000003</v>
      </c>
      <c r="P16" s="31">
        <v>0.436338</v>
      </c>
      <c r="Q16" s="31">
        <v>0.61620299999999995</v>
      </c>
      <c r="R16" s="58">
        <v>0.793485</v>
      </c>
      <c r="T16" s="55">
        <v>2030</v>
      </c>
      <c r="U16" s="31">
        <v>0.180117</v>
      </c>
      <c r="V16" s="31">
        <v>0.202734</v>
      </c>
      <c r="W16" s="31">
        <v>0.25023600000000001</v>
      </c>
      <c r="X16" s="31">
        <v>0.326907</v>
      </c>
      <c r="Y16" s="31">
        <v>0.45208799999999999</v>
      </c>
      <c r="Z16" s="31">
        <v>0.65110500000000004</v>
      </c>
      <c r="AA16" s="58">
        <v>0.8554139999999999</v>
      </c>
      <c r="AC16" s="160"/>
      <c r="AD16" s="28"/>
      <c r="AE16" s="28"/>
      <c r="AF16" s="28"/>
      <c r="AG16" s="28"/>
      <c r="AH16" s="28"/>
      <c r="AI16" s="28"/>
      <c r="AJ16" s="28"/>
      <c r="AL16" s="160"/>
      <c r="AM16" s="28"/>
      <c r="AN16" s="28"/>
      <c r="AO16" s="28"/>
      <c r="AP16" s="28"/>
      <c r="AQ16" s="28"/>
      <c r="AR16" s="28"/>
      <c r="AS16" s="28"/>
      <c r="AU16" s="160"/>
      <c r="AV16" s="28"/>
      <c r="AW16" s="28"/>
      <c r="AX16" s="28"/>
      <c r="AY16" s="28"/>
      <c r="AZ16" s="28"/>
      <c r="BA16" s="28"/>
      <c r="BB16" s="28"/>
      <c r="BD16" s="160"/>
      <c r="BE16" s="28"/>
      <c r="BF16" s="28"/>
      <c r="BG16" s="28"/>
      <c r="BH16" s="28"/>
      <c r="BI16" s="28"/>
      <c r="BJ16" s="28"/>
      <c r="BK16" s="28"/>
      <c r="BM16" s="160"/>
      <c r="BN16" s="28"/>
      <c r="BO16" s="28"/>
      <c r="BP16" s="28"/>
      <c r="BQ16" s="28"/>
      <c r="BR16" s="28"/>
      <c r="BS16" s="28"/>
      <c r="BT16" s="28"/>
      <c r="BV16" s="160"/>
      <c r="BW16" s="31"/>
      <c r="BX16" s="31"/>
      <c r="BY16" s="31"/>
      <c r="BZ16" s="31"/>
      <c r="CA16" s="31"/>
      <c r="CB16" s="31"/>
      <c r="CC16" s="31"/>
      <c r="CE16" s="160"/>
      <c r="CF16" s="31"/>
      <c r="CG16" s="31"/>
      <c r="CH16" s="31"/>
      <c r="CI16" s="31"/>
      <c r="CJ16" s="31"/>
      <c r="CK16" s="31"/>
      <c r="CL16" s="31"/>
    </row>
    <row r="17" spans="2:90" ht="15.45" x14ac:dyDescent="0.4">
      <c r="B17" s="55">
        <v>2031</v>
      </c>
      <c r="C17" s="31">
        <v>0.18887400000000001</v>
      </c>
      <c r="D17" s="31">
        <v>0.21218399999999998</v>
      </c>
      <c r="E17" s="31">
        <v>0.25987499999999997</v>
      </c>
      <c r="F17" s="31">
        <v>0.33642</v>
      </c>
      <c r="G17" s="31">
        <v>0.46116000000000001</v>
      </c>
      <c r="H17" s="31">
        <v>0.65337299999999998</v>
      </c>
      <c r="I17" s="58">
        <v>0.84835800000000006</v>
      </c>
      <c r="K17" s="55">
        <v>2031</v>
      </c>
      <c r="L17" s="31">
        <v>0.17973900000000001</v>
      </c>
      <c r="M17" s="31">
        <v>0.20172599999999999</v>
      </c>
      <c r="N17" s="31">
        <v>0.24696000000000001</v>
      </c>
      <c r="O17" s="31">
        <v>0.31934699999999999</v>
      </c>
      <c r="P17" s="31">
        <v>0.43684200000000001</v>
      </c>
      <c r="Q17" s="31">
        <v>0.61847099999999999</v>
      </c>
      <c r="R17" s="58">
        <v>0.79789500000000002</v>
      </c>
      <c r="T17" s="55">
        <v>2031</v>
      </c>
      <c r="U17" s="31">
        <v>0.17810100000000001</v>
      </c>
      <c r="V17" s="31">
        <v>0.19989900000000002</v>
      </c>
      <c r="W17" s="31">
        <v>0.24576300000000001</v>
      </c>
      <c r="X17" s="31">
        <v>0.32035499999999995</v>
      </c>
      <c r="Y17" s="31">
        <v>0.43992900000000001</v>
      </c>
      <c r="Z17" s="31">
        <v>0.63</v>
      </c>
      <c r="AA17" s="58">
        <v>0.82624500000000012</v>
      </c>
      <c r="AC17" s="160"/>
      <c r="AD17" s="28"/>
      <c r="AE17" s="28"/>
      <c r="AF17" s="28"/>
      <c r="AG17" s="28"/>
      <c r="AH17" s="28"/>
      <c r="AI17" s="28"/>
      <c r="AJ17" s="28"/>
      <c r="AL17" s="160"/>
      <c r="AM17" s="28"/>
      <c r="AN17" s="28"/>
      <c r="AO17" s="28"/>
      <c r="AP17" s="28"/>
      <c r="AQ17" s="28"/>
      <c r="AR17" s="28"/>
      <c r="AS17" s="28"/>
      <c r="AU17" s="160"/>
      <c r="AV17" s="28"/>
      <c r="AW17" s="28"/>
      <c r="AX17" s="28"/>
      <c r="AY17" s="28"/>
      <c r="AZ17" s="28"/>
      <c r="BA17" s="28"/>
      <c r="BB17" s="28"/>
      <c r="BD17" s="160"/>
      <c r="BE17" s="28"/>
      <c r="BF17" s="28"/>
      <c r="BG17" s="28"/>
      <c r="BH17" s="28"/>
      <c r="BI17" s="28"/>
      <c r="BJ17" s="28"/>
      <c r="BK17" s="28"/>
      <c r="BM17" s="160"/>
      <c r="BN17" s="28"/>
      <c r="BO17" s="28"/>
      <c r="BP17" s="28"/>
      <c r="BQ17" s="28"/>
      <c r="BR17" s="28"/>
      <c r="BS17" s="28"/>
      <c r="BT17" s="28"/>
      <c r="BV17" s="160"/>
      <c r="BW17" s="31"/>
      <c r="BX17" s="31"/>
      <c r="BY17" s="31"/>
      <c r="BZ17" s="31"/>
      <c r="CA17" s="31"/>
      <c r="CB17" s="31"/>
      <c r="CC17" s="31"/>
      <c r="CE17" s="160"/>
      <c r="CF17" s="31"/>
      <c r="CG17" s="31"/>
      <c r="CH17" s="31"/>
      <c r="CI17" s="31"/>
      <c r="CJ17" s="31"/>
      <c r="CK17" s="31"/>
      <c r="CL17" s="31"/>
    </row>
    <row r="18" spans="2:90" ht="15.45" x14ac:dyDescent="0.4">
      <c r="B18" s="55">
        <v>2032</v>
      </c>
      <c r="C18" s="31">
        <v>0.18150300000000003</v>
      </c>
      <c r="D18" s="31">
        <v>0.20361599999999999</v>
      </c>
      <c r="E18" s="31">
        <v>0.24979500000000002</v>
      </c>
      <c r="F18" s="31">
        <v>0.32419799999999999</v>
      </c>
      <c r="G18" s="31">
        <v>0.444969</v>
      </c>
      <c r="H18" s="31">
        <v>0.63749699999999998</v>
      </c>
      <c r="I18" s="58">
        <v>0.82378800000000008</v>
      </c>
      <c r="K18" s="55">
        <v>2032</v>
      </c>
      <c r="L18" s="31">
        <v>0.17904600000000001</v>
      </c>
      <c r="M18" s="31">
        <v>0.20122200000000001</v>
      </c>
      <c r="N18" s="31">
        <v>0.24645600000000001</v>
      </c>
      <c r="O18" s="31">
        <v>0.31890599999999997</v>
      </c>
      <c r="P18" s="31">
        <v>0.437031</v>
      </c>
      <c r="Q18" s="31">
        <v>0.61960500000000007</v>
      </c>
      <c r="R18" s="58">
        <v>0.79991100000000004</v>
      </c>
      <c r="T18" s="55">
        <v>2032</v>
      </c>
      <c r="U18" s="31">
        <v>0.17696699999999999</v>
      </c>
      <c r="V18" s="31">
        <v>0.19800900000000002</v>
      </c>
      <c r="W18" s="31">
        <v>0.24248700000000001</v>
      </c>
      <c r="X18" s="31">
        <v>0.31468499999999999</v>
      </c>
      <c r="Y18" s="31">
        <v>0.432369</v>
      </c>
      <c r="Z18" s="31">
        <v>0.62017200000000006</v>
      </c>
      <c r="AA18" s="58">
        <v>0.80180099999999999</v>
      </c>
      <c r="AC18" s="160"/>
      <c r="AD18" s="28"/>
      <c r="AE18" s="28"/>
      <c r="AF18" s="28"/>
      <c r="AG18" s="28"/>
      <c r="AH18" s="28"/>
      <c r="AI18" s="28"/>
      <c r="AJ18" s="28"/>
      <c r="AL18" s="160"/>
      <c r="AM18" s="28"/>
      <c r="AN18" s="28"/>
      <c r="AO18" s="28"/>
      <c r="AP18" s="28"/>
      <c r="AQ18" s="28"/>
      <c r="AR18" s="28"/>
      <c r="AS18" s="28"/>
      <c r="AU18" s="160"/>
      <c r="AV18" s="28"/>
      <c r="AW18" s="28"/>
      <c r="AX18" s="28"/>
      <c r="AY18" s="28"/>
      <c r="AZ18" s="28"/>
      <c r="BA18" s="28"/>
      <c r="BB18" s="28"/>
      <c r="BD18" s="160"/>
      <c r="BE18" s="28"/>
      <c r="BF18" s="28"/>
      <c r="BG18" s="28"/>
      <c r="BH18" s="28"/>
      <c r="BI18" s="28"/>
      <c r="BJ18" s="28"/>
      <c r="BK18" s="28"/>
      <c r="BM18" s="160"/>
      <c r="BN18" s="28"/>
      <c r="BO18" s="28"/>
      <c r="BP18" s="28"/>
      <c r="BQ18" s="28"/>
      <c r="BR18" s="28"/>
      <c r="BS18" s="28"/>
      <c r="BT18" s="28"/>
      <c r="BV18" s="160"/>
      <c r="BW18" s="31"/>
      <c r="BX18" s="31"/>
      <c r="BY18" s="31"/>
      <c r="BZ18" s="31"/>
      <c r="CA18" s="31"/>
      <c r="CB18" s="31"/>
      <c r="CC18" s="31"/>
      <c r="CE18" s="160"/>
      <c r="CF18" s="31"/>
      <c r="CG18" s="31"/>
      <c r="CH18" s="31"/>
      <c r="CI18" s="31"/>
      <c r="CJ18" s="31"/>
      <c r="CK18" s="31"/>
      <c r="CL18" s="31"/>
    </row>
    <row r="19" spans="2:90" ht="15.45" x14ac:dyDescent="0.4">
      <c r="B19" s="55">
        <v>2033</v>
      </c>
      <c r="C19" s="31">
        <v>0.18093600000000001</v>
      </c>
      <c r="D19" s="31">
        <v>0.20311200000000001</v>
      </c>
      <c r="E19" s="31">
        <v>0.24922800000000001</v>
      </c>
      <c r="F19" s="31">
        <v>0.32337899999999997</v>
      </c>
      <c r="G19" s="31">
        <v>0.44452799999999998</v>
      </c>
      <c r="H19" s="31">
        <v>0.63522900000000004</v>
      </c>
      <c r="I19" s="58">
        <v>0.8248589999999999</v>
      </c>
      <c r="K19" s="55">
        <v>2033</v>
      </c>
      <c r="L19" s="31">
        <v>0.17860499999999999</v>
      </c>
      <c r="M19" s="31">
        <v>0.20078099999999999</v>
      </c>
      <c r="N19" s="31">
        <v>0.24601500000000001</v>
      </c>
      <c r="O19" s="31">
        <v>0.31871700000000003</v>
      </c>
      <c r="P19" s="31">
        <v>0.437031</v>
      </c>
      <c r="Q19" s="31">
        <v>0.62092800000000004</v>
      </c>
      <c r="R19" s="58">
        <v>0.80198999999999998</v>
      </c>
      <c r="T19" s="55">
        <v>2033</v>
      </c>
      <c r="U19" s="31">
        <v>0.17539199999999999</v>
      </c>
      <c r="V19" s="31">
        <v>0.196182</v>
      </c>
      <c r="W19" s="31">
        <v>0.23996700000000001</v>
      </c>
      <c r="X19" s="31">
        <v>0.31090499999999999</v>
      </c>
      <c r="Y19" s="31">
        <v>0.42525000000000002</v>
      </c>
      <c r="Z19" s="31">
        <v>0.60958800000000002</v>
      </c>
      <c r="AA19" s="58">
        <v>0.78290099999999996</v>
      </c>
      <c r="AC19" s="160"/>
      <c r="AD19" s="28"/>
      <c r="AE19" s="28"/>
      <c r="AF19" s="28"/>
      <c r="AG19" s="28"/>
      <c r="AH19" s="28"/>
      <c r="AI19" s="28"/>
      <c r="AJ19" s="28"/>
      <c r="AL19" s="160"/>
      <c r="AM19" s="28"/>
      <c r="AN19" s="28"/>
      <c r="AO19" s="28"/>
      <c r="AP19" s="28"/>
      <c r="AQ19" s="28"/>
      <c r="AR19" s="28"/>
      <c r="AS19" s="28"/>
      <c r="AU19" s="160"/>
      <c r="AV19" s="28"/>
      <c r="AW19" s="28"/>
      <c r="AX19" s="28"/>
      <c r="AY19" s="28"/>
      <c r="AZ19" s="28"/>
      <c r="BA19" s="28"/>
      <c r="BB19" s="28"/>
      <c r="BD19" s="160"/>
      <c r="BE19" s="28"/>
      <c r="BF19" s="28"/>
      <c r="BG19" s="28"/>
      <c r="BH19" s="28"/>
      <c r="BI19" s="28"/>
      <c r="BJ19" s="28"/>
      <c r="BK19" s="28"/>
      <c r="BM19" s="160"/>
      <c r="BN19" s="28"/>
      <c r="BO19" s="28"/>
      <c r="BP19" s="28"/>
      <c r="BQ19" s="28"/>
      <c r="BR19" s="28"/>
      <c r="BS19" s="28"/>
      <c r="BT19" s="28"/>
      <c r="BV19" s="160"/>
      <c r="BW19" s="31"/>
      <c r="BX19" s="31"/>
      <c r="BY19" s="31"/>
      <c r="BZ19" s="31"/>
      <c r="CA19" s="31"/>
      <c r="CB19" s="31"/>
      <c r="CC19" s="31"/>
      <c r="CE19" s="160"/>
      <c r="CF19" s="31"/>
      <c r="CG19" s="31"/>
      <c r="CH19" s="31"/>
      <c r="CI19" s="31"/>
      <c r="CJ19" s="31"/>
      <c r="CK19" s="31"/>
      <c r="CL19" s="31"/>
    </row>
    <row r="20" spans="2:90" ht="15.9" thickBot="1" x14ac:dyDescent="0.45">
      <c r="B20" s="53">
        <v>2034</v>
      </c>
      <c r="C20" s="27">
        <v>0.18024300000000001</v>
      </c>
      <c r="D20" s="27">
        <v>0.20210399999999998</v>
      </c>
      <c r="E20" s="27">
        <v>0.248472</v>
      </c>
      <c r="F20" s="27">
        <v>0.32256000000000001</v>
      </c>
      <c r="G20" s="27">
        <v>0.44320500000000002</v>
      </c>
      <c r="H20" s="27">
        <v>0.63188999999999995</v>
      </c>
      <c r="I20" s="59">
        <v>0.819693</v>
      </c>
      <c r="K20" s="53">
        <v>2034</v>
      </c>
      <c r="L20" s="27">
        <v>0.17879400000000001</v>
      </c>
      <c r="M20" s="27">
        <v>0.200655</v>
      </c>
      <c r="N20" s="27">
        <v>0.24576300000000001</v>
      </c>
      <c r="O20" s="27">
        <v>0.31840199999999996</v>
      </c>
      <c r="P20" s="27">
        <v>0.43545600000000001</v>
      </c>
      <c r="Q20" s="27">
        <v>0.62325900000000001</v>
      </c>
      <c r="R20" s="59">
        <v>0.80419499999999999</v>
      </c>
      <c r="T20" s="53">
        <v>2034</v>
      </c>
      <c r="U20" s="27">
        <v>0.174258</v>
      </c>
      <c r="V20" s="27">
        <v>0.19492200000000001</v>
      </c>
      <c r="W20" s="27">
        <v>0.23801400000000003</v>
      </c>
      <c r="X20" s="27">
        <v>0.30825900000000001</v>
      </c>
      <c r="Y20" s="27">
        <v>0.42147000000000001</v>
      </c>
      <c r="Z20" s="27">
        <v>0.60190200000000005</v>
      </c>
      <c r="AA20" s="59">
        <v>0.76715100000000003</v>
      </c>
      <c r="AC20" s="160"/>
      <c r="AD20" s="28"/>
      <c r="AE20" s="28"/>
      <c r="AF20" s="28"/>
      <c r="AG20" s="28"/>
      <c r="AH20" s="28"/>
      <c r="AI20" s="28"/>
      <c r="AJ20" s="28"/>
      <c r="AL20" s="160"/>
      <c r="AM20" s="28"/>
      <c r="AN20" s="28"/>
      <c r="AO20" s="28"/>
      <c r="AP20" s="28"/>
      <c r="AQ20" s="28"/>
      <c r="AR20" s="28"/>
      <c r="AS20" s="28"/>
      <c r="AU20" s="160"/>
      <c r="AV20" s="28"/>
      <c r="AW20" s="28"/>
      <c r="AX20" s="28"/>
      <c r="AY20" s="28"/>
      <c r="AZ20" s="28"/>
      <c r="BA20" s="28"/>
      <c r="BB20" s="28"/>
      <c r="BD20" s="160"/>
      <c r="BE20" s="28"/>
      <c r="BF20" s="28"/>
      <c r="BG20" s="28"/>
      <c r="BH20" s="28"/>
      <c r="BI20" s="28"/>
      <c r="BJ20" s="28"/>
      <c r="BK20" s="28"/>
      <c r="BM20" s="160"/>
      <c r="BN20" s="28"/>
      <c r="BO20" s="28"/>
      <c r="BP20" s="28"/>
      <c r="BQ20" s="28"/>
      <c r="BR20" s="28"/>
      <c r="BS20" s="28"/>
      <c r="BT20" s="28"/>
      <c r="BV20" s="160"/>
      <c r="BW20" s="31"/>
      <c r="BX20" s="31"/>
      <c r="BY20" s="31"/>
      <c r="BZ20" s="31"/>
      <c r="CA20" s="31"/>
      <c r="CB20" s="31"/>
      <c r="CC20" s="31"/>
      <c r="CE20" s="160"/>
      <c r="CF20" s="31"/>
      <c r="CG20" s="31"/>
      <c r="CH20" s="31"/>
      <c r="CI20" s="31"/>
      <c r="CJ20" s="31"/>
      <c r="CK20" s="31"/>
      <c r="CL20" s="31"/>
    </row>
    <row r="23" spans="2:90" x14ac:dyDescent="0.4">
      <c r="E23" t="s">
        <v>71</v>
      </c>
      <c r="F23" t="s">
        <v>70</v>
      </c>
      <c r="G23" t="s">
        <v>72</v>
      </c>
      <c r="N23" t="s">
        <v>71</v>
      </c>
      <c r="O23" t="s">
        <v>70</v>
      </c>
      <c r="P23" t="s">
        <v>72</v>
      </c>
      <c r="W23" t="s">
        <v>71</v>
      </c>
      <c r="X23" t="s">
        <v>70</v>
      </c>
      <c r="Y23" t="s">
        <v>72</v>
      </c>
    </row>
    <row r="24" spans="2:90" x14ac:dyDescent="0.4">
      <c r="E24" s="76">
        <f>D7</f>
        <v>0.263403</v>
      </c>
      <c r="F24" s="76">
        <f>F7</f>
        <v>0.33056100000000005</v>
      </c>
      <c r="G24" s="76">
        <f>H7</f>
        <v>0.40168799999999999</v>
      </c>
      <c r="N24" s="76">
        <f>M7</f>
        <v>0.263403</v>
      </c>
      <c r="O24" s="76">
        <f>O7</f>
        <v>0.33043499999999998</v>
      </c>
      <c r="P24" s="76">
        <f>Q7</f>
        <v>0.40156199999999997</v>
      </c>
      <c r="W24" s="76">
        <f>V7</f>
        <v>0.26346600000000003</v>
      </c>
      <c r="X24" s="76">
        <f>X7</f>
        <v>0.33075000000000004</v>
      </c>
      <c r="Y24" s="76">
        <f>Z7</f>
        <v>0.40143600000000002</v>
      </c>
      <c r="AF24" s="161"/>
      <c r="AG24" s="161"/>
      <c r="AH24" s="161"/>
      <c r="AO24" s="161"/>
      <c r="AP24" s="161"/>
      <c r="AQ24" s="161"/>
      <c r="AX24" s="161"/>
      <c r="AY24" s="161"/>
      <c r="AZ24" s="161"/>
      <c r="BG24" s="161"/>
      <c r="BH24" s="161"/>
      <c r="BI24" s="161"/>
      <c r="BP24" s="161"/>
      <c r="BQ24" s="161"/>
      <c r="BR24" s="161"/>
      <c r="BY24" s="161"/>
      <c r="BZ24" s="161"/>
      <c r="CA24" s="161"/>
      <c r="CH24" s="161"/>
      <c r="CI24" s="161"/>
      <c r="CJ24" s="161"/>
    </row>
    <row r="25" spans="2:90" x14ac:dyDescent="0.4">
      <c r="E25" s="76">
        <f t="shared" ref="E25:E37" si="0">D8</f>
        <v>0.17671500000000001</v>
      </c>
      <c r="F25" s="76">
        <f t="shared" ref="F25:F37" si="1">F8</f>
        <v>0.22919400000000001</v>
      </c>
      <c r="G25" s="76">
        <f t="shared" ref="G25:G37" si="2">H8</f>
        <v>0.29805300000000001</v>
      </c>
      <c r="N25" s="76">
        <f t="shared" ref="N25:N37" si="3">M8</f>
        <v>0.17646300000000001</v>
      </c>
      <c r="O25" s="76">
        <f t="shared" ref="O25:O37" si="4">O8</f>
        <v>0.22919400000000001</v>
      </c>
      <c r="P25" s="76">
        <f t="shared" ref="P25:P37" si="5">Q8</f>
        <v>0.29767499999999997</v>
      </c>
      <c r="W25" s="76">
        <f t="shared" ref="W25:W37" si="6">V8</f>
        <v>0.17690400000000001</v>
      </c>
      <c r="X25" s="76">
        <f t="shared" ref="X25:X37" si="7">X8</f>
        <v>0.22913100000000003</v>
      </c>
      <c r="Y25" s="76">
        <f t="shared" ref="Y25:Y37" si="8">Z8</f>
        <v>0.29798999999999998</v>
      </c>
      <c r="AF25" s="161"/>
      <c r="AG25" s="161"/>
      <c r="AH25" s="161"/>
      <c r="AO25" s="161"/>
      <c r="AP25" s="161"/>
      <c r="AQ25" s="161"/>
      <c r="AX25" s="161"/>
      <c r="AY25" s="161"/>
      <c r="AZ25" s="161"/>
      <c r="BG25" s="161"/>
      <c r="BH25" s="161"/>
      <c r="BI25" s="161"/>
      <c r="BP25" s="161"/>
      <c r="BQ25" s="161"/>
      <c r="BR25" s="161"/>
      <c r="BY25" s="161"/>
      <c r="BZ25" s="161"/>
      <c r="CA25" s="161"/>
      <c r="CH25" s="161"/>
      <c r="CI25" s="161"/>
      <c r="CJ25" s="161"/>
    </row>
    <row r="26" spans="2:90" x14ac:dyDescent="0.4">
      <c r="E26" s="76">
        <f t="shared" si="0"/>
        <v>0.174258</v>
      </c>
      <c r="F26" s="76">
        <f t="shared" si="1"/>
        <v>0.23247000000000001</v>
      </c>
      <c r="G26" s="76">
        <f t="shared" si="2"/>
        <v>0.317079</v>
      </c>
      <c r="N26" s="76">
        <f t="shared" si="3"/>
        <v>0.17419500000000002</v>
      </c>
      <c r="O26" s="76">
        <f t="shared" si="4"/>
        <v>0.23272200000000001</v>
      </c>
      <c r="P26" s="76">
        <f t="shared" si="5"/>
        <v>0.31676400000000005</v>
      </c>
      <c r="W26" s="76">
        <f t="shared" si="6"/>
        <v>0.174258</v>
      </c>
      <c r="X26" s="76">
        <f t="shared" si="7"/>
        <v>0.232596</v>
      </c>
      <c r="Y26" s="76">
        <f t="shared" si="8"/>
        <v>0.31714199999999998</v>
      </c>
      <c r="AF26" s="161"/>
      <c r="AG26" s="161"/>
      <c r="AH26" s="161"/>
      <c r="AO26" s="161"/>
      <c r="AP26" s="161"/>
      <c r="AQ26" s="161"/>
      <c r="AX26" s="161"/>
      <c r="AY26" s="161"/>
      <c r="AZ26" s="161"/>
      <c r="BG26" s="161"/>
      <c r="BH26" s="161"/>
      <c r="BI26" s="161"/>
      <c r="BP26" s="161"/>
      <c r="BQ26" s="161"/>
      <c r="BR26" s="161"/>
      <c r="BY26" s="161"/>
      <c r="BZ26" s="161"/>
      <c r="CA26" s="161"/>
      <c r="CH26" s="161"/>
      <c r="CI26" s="161"/>
      <c r="CJ26" s="161"/>
    </row>
    <row r="27" spans="2:90" x14ac:dyDescent="0.4">
      <c r="E27" s="76">
        <f t="shared" si="0"/>
        <v>0.18534600000000001</v>
      </c>
      <c r="F27" s="76">
        <f t="shared" si="1"/>
        <v>0.25395299999999998</v>
      </c>
      <c r="G27" s="76">
        <f t="shared" si="2"/>
        <v>0.36508499999999999</v>
      </c>
      <c r="N27" s="76">
        <f t="shared" si="3"/>
        <v>0.18553499999999998</v>
      </c>
      <c r="O27" s="76">
        <f t="shared" si="4"/>
        <v>0.25376399999999999</v>
      </c>
      <c r="P27" s="76">
        <f t="shared" si="5"/>
        <v>0.36527399999999999</v>
      </c>
      <c r="W27" s="76">
        <f t="shared" si="6"/>
        <v>0.18528299999999998</v>
      </c>
      <c r="X27" s="76">
        <f t="shared" si="7"/>
        <v>0.25389</v>
      </c>
      <c r="Y27" s="76">
        <f t="shared" si="8"/>
        <v>0.36615600000000004</v>
      </c>
      <c r="AF27" s="161"/>
      <c r="AG27" s="161"/>
      <c r="AH27" s="161"/>
      <c r="AO27" s="161"/>
      <c r="AP27" s="161"/>
      <c r="AQ27" s="161"/>
      <c r="AX27" s="161"/>
      <c r="AY27" s="161"/>
      <c r="AZ27" s="161"/>
      <c r="BG27" s="161"/>
      <c r="BH27" s="161"/>
      <c r="BI27" s="161"/>
      <c r="BP27" s="161"/>
      <c r="BQ27" s="161"/>
      <c r="BR27" s="161"/>
      <c r="BY27" s="161"/>
      <c r="BZ27" s="161"/>
      <c r="CA27" s="161"/>
      <c r="CH27" s="161"/>
      <c r="CI27" s="161"/>
      <c r="CJ27" s="161"/>
    </row>
    <row r="28" spans="2:90" x14ac:dyDescent="0.4">
      <c r="E28" s="76">
        <f t="shared" si="0"/>
        <v>0.19838700000000001</v>
      </c>
      <c r="F28" s="76">
        <f t="shared" si="1"/>
        <v>0.28312200000000004</v>
      </c>
      <c r="G28" s="76">
        <f t="shared" si="2"/>
        <v>0.43860600000000005</v>
      </c>
      <c r="N28" s="76">
        <f t="shared" si="3"/>
        <v>0.278082</v>
      </c>
      <c r="O28" s="76">
        <f t="shared" si="4"/>
        <v>0.40156199999999997</v>
      </c>
      <c r="P28" s="76">
        <f t="shared" si="5"/>
        <v>0.64322999999999997</v>
      </c>
      <c r="W28" s="76">
        <f t="shared" si="6"/>
        <v>0.277389</v>
      </c>
      <c r="X28" s="76">
        <f t="shared" si="7"/>
        <v>0.40194000000000002</v>
      </c>
      <c r="Y28" s="76">
        <f t="shared" si="8"/>
        <v>0.64455299999999993</v>
      </c>
      <c r="AF28" s="161"/>
      <c r="AG28" s="161"/>
      <c r="AH28" s="161"/>
      <c r="AO28" s="161"/>
      <c r="AP28" s="161"/>
      <c r="AQ28" s="161"/>
      <c r="AX28" s="161"/>
      <c r="AY28" s="161"/>
      <c r="AZ28" s="161"/>
      <c r="BG28" s="161"/>
      <c r="BH28" s="161"/>
      <c r="BI28" s="161"/>
      <c r="BP28" s="161"/>
      <c r="BQ28" s="161"/>
      <c r="BR28" s="161"/>
      <c r="BY28" s="161"/>
      <c r="BZ28" s="161"/>
      <c r="CA28" s="161"/>
      <c r="CH28" s="161"/>
      <c r="CI28" s="161"/>
      <c r="CJ28" s="161"/>
    </row>
    <row r="29" spans="2:90" x14ac:dyDescent="0.4">
      <c r="E29" s="76">
        <f t="shared" si="0"/>
        <v>0.20456099999999999</v>
      </c>
      <c r="F29" s="76">
        <f t="shared" si="1"/>
        <v>0.30233700000000002</v>
      </c>
      <c r="G29" s="76">
        <f t="shared" si="2"/>
        <v>0.501606</v>
      </c>
      <c r="N29" s="76">
        <f t="shared" si="3"/>
        <v>0.21986999999999998</v>
      </c>
      <c r="O29" s="76">
        <f t="shared" si="4"/>
        <v>0.33459300000000003</v>
      </c>
      <c r="P29" s="76">
        <f t="shared" si="5"/>
        <v>0.59031</v>
      </c>
      <c r="W29" s="76">
        <f t="shared" si="6"/>
        <v>0.30781799999999998</v>
      </c>
      <c r="X29" s="76">
        <f t="shared" si="7"/>
        <v>0.479682</v>
      </c>
      <c r="Y29" s="76">
        <f t="shared" si="8"/>
        <v>0.89504100000000009</v>
      </c>
      <c r="AF29" s="161"/>
      <c r="AG29" s="161"/>
      <c r="AH29" s="161"/>
      <c r="AO29" s="161"/>
      <c r="AP29" s="161"/>
      <c r="AQ29" s="161"/>
      <c r="AX29" s="161"/>
      <c r="AY29" s="161"/>
      <c r="AZ29" s="161"/>
      <c r="BG29" s="161"/>
      <c r="BH29" s="161"/>
      <c r="BI29" s="161"/>
      <c r="BP29" s="161"/>
      <c r="BQ29" s="161"/>
      <c r="BR29" s="161"/>
      <c r="BY29" s="161"/>
      <c r="BZ29" s="161"/>
      <c r="CA29" s="161"/>
      <c r="CH29" s="161"/>
      <c r="CI29" s="161"/>
      <c r="CJ29" s="161"/>
    </row>
    <row r="30" spans="2:90" x14ac:dyDescent="0.4">
      <c r="E30" s="76">
        <f t="shared" si="0"/>
        <v>0.21079800000000001</v>
      </c>
      <c r="F30" s="76">
        <f t="shared" si="1"/>
        <v>0.32022899999999999</v>
      </c>
      <c r="G30" s="76">
        <f t="shared" si="2"/>
        <v>0.561141</v>
      </c>
      <c r="N30" s="76">
        <f t="shared" si="3"/>
        <v>0.223965</v>
      </c>
      <c r="O30" s="76">
        <f t="shared" si="4"/>
        <v>0.35021699999999995</v>
      </c>
      <c r="P30" s="76">
        <f t="shared" si="5"/>
        <v>0.65249100000000004</v>
      </c>
      <c r="W30" s="76">
        <f t="shared" si="6"/>
        <v>0.24122700000000002</v>
      </c>
      <c r="X30" s="76">
        <f t="shared" si="7"/>
        <v>0.39349800000000001</v>
      </c>
      <c r="Y30" s="76">
        <f t="shared" si="8"/>
        <v>0.81162900000000004</v>
      </c>
      <c r="AF30" s="161"/>
      <c r="AG30" s="161"/>
      <c r="AH30" s="161"/>
      <c r="AO30" s="161"/>
      <c r="AP30" s="161"/>
      <c r="AQ30" s="161"/>
      <c r="AX30" s="161"/>
      <c r="AY30" s="161"/>
      <c r="AZ30" s="161"/>
      <c r="BG30" s="161"/>
      <c r="BH30" s="161"/>
      <c r="BI30" s="161"/>
      <c r="BP30" s="161"/>
      <c r="BQ30" s="161"/>
      <c r="BR30" s="161"/>
      <c r="BY30" s="161"/>
      <c r="BZ30" s="161"/>
      <c r="CA30" s="161"/>
      <c r="CH30" s="161"/>
      <c r="CI30" s="161"/>
      <c r="CJ30" s="161"/>
    </row>
    <row r="31" spans="2:90" x14ac:dyDescent="0.4">
      <c r="E31" s="76">
        <f t="shared" si="0"/>
        <v>0.20493899999999998</v>
      </c>
      <c r="F31" s="76">
        <f t="shared" si="1"/>
        <v>0.31550400000000001</v>
      </c>
      <c r="G31" s="76">
        <f t="shared" si="2"/>
        <v>0.57203999999999999</v>
      </c>
      <c r="N31" s="76">
        <f t="shared" si="3"/>
        <v>0.20456099999999999</v>
      </c>
      <c r="O31" s="76">
        <f t="shared" si="4"/>
        <v>0.32224499999999995</v>
      </c>
      <c r="P31" s="76">
        <f t="shared" si="5"/>
        <v>0.61418700000000004</v>
      </c>
      <c r="W31" s="76">
        <f t="shared" si="6"/>
        <v>0.212121</v>
      </c>
      <c r="X31" s="76">
        <f t="shared" si="7"/>
        <v>0.34618500000000002</v>
      </c>
      <c r="Y31" s="76">
        <f t="shared" si="8"/>
        <v>0.71164799999999995</v>
      </c>
      <c r="AF31" s="161"/>
      <c r="AG31" s="161"/>
      <c r="AH31" s="161"/>
      <c r="AO31" s="161"/>
      <c r="AP31" s="161"/>
      <c r="AQ31" s="161"/>
      <c r="AX31" s="161"/>
      <c r="AY31" s="161"/>
      <c r="AZ31" s="161"/>
      <c r="BG31" s="161"/>
      <c r="BH31" s="161"/>
      <c r="BI31" s="161"/>
      <c r="BP31" s="161"/>
      <c r="BQ31" s="161"/>
      <c r="BR31" s="161"/>
      <c r="BY31" s="161"/>
      <c r="BZ31" s="161"/>
      <c r="CA31" s="161"/>
      <c r="CH31" s="161"/>
      <c r="CI31" s="161"/>
      <c r="CJ31" s="161"/>
    </row>
    <row r="32" spans="2:90" x14ac:dyDescent="0.4">
      <c r="E32" s="76">
        <f t="shared" si="0"/>
        <v>0.20733300000000002</v>
      </c>
      <c r="F32" s="76">
        <f t="shared" si="1"/>
        <v>0.32400899999999999</v>
      </c>
      <c r="G32" s="76">
        <f t="shared" si="2"/>
        <v>0.59988600000000003</v>
      </c>
      <c r="N32" s="76">
        <f t="shared" si="3"/>
        <v>0.202986</v>
      </c>
      <c r="O32" s="76">
        <f t="shared" si="4"/>
        <v>0.32111100000000004</v>
      </c>
      <c r="P32" s="76">
        <f t="shared" si="5"/>
        <v>0.61437599999999992</v>
      </c>
      <c r="W32" s="76">
        <f t="shared" si="6"/>
        <v>0.206955</v>
      </c>
      <c r="X32" s="76">
        <f t="shared" si="7"/>
        <v>0.33522299999999999</v>
      </c>
      <c r="Y32" s="76">
        <f t="shared" si="8"/>
        <v>0.67699799999999999</v>
      </c>
      <c r="AF32" s="161"/>
      <c r="AG32" s="161"/>
      <c r="AH32" s="161"/>
      <c r="AO32" s="161"/>
      <c r="AP32" s="161"/>
      <c r="AQ32" s="161"/>
      <c r="AX32" s="161"/>
      <c r="AY32" s="161"/>
      <c r="AZ32" s="161"/>
      <c r="BG32" s="161"/>
      <c r="BH32" s="161"/>
      <c r="BI32" s="161"/>
      <c r="BP32" s="161"/>
      <c r="BQ32" s="161"/>
      <c r="BR32" s="161"/>
      <c r="BY32" s="161"/>
      <c r="BZ32" s="161"/>
      <c r="CA32" s="161"/>
      <c r="CH32" s="161"/>
      <c r="CI32" s="161"/>
      <c r="CJ32" s="161"/>
    </row>
    <row r="33" spans="5:88" x14ac:dyDescent="0.4">
      <c r="E33" s="76">
        <f t="shared" si="0"/>
        <v>0.20991599999999999</v>
      </c>
      <c r="F33" s="76">
        <f t="shared" si="1"/>
        <v>0.330876</v>
      </c>
      <c r="G33" s="76">
        <f t="shared" si="2"/>
        <v>0.63100800000000001</v>
      </c>
      <c r="N33" s="76">
        <f t="shared" si="3"/>
        <v>0.20191500000000001</v>
      </c>
      <c r="O33" s="76">
        <f t="shared" si="4"/>
        <v>0.32010300000000003</v>
      </c>
      <c r="P33" s="76">
        <f t="shared" si="5"/>
        <v>0.61620299999999995</v>
      </c>
      <c r="W33" s="76">
        <f t="shared" si="6"/>
        <v>0.202734</v>
      </c>
      <c r="X33" s="76">
        <f t="shared" si="7"/>
        <v>0.326907</v>
      </c>
      <c r="Y33" s="76">
        <f t="shared" si="8"/>
        <v>0.65110500000000004</v>
      </c>
      <c r="AF33" s="161"/>
      <c r="AG33" s="161"/>
      <c r="AH33" s="161"/>
      <c r="AO33" s="161"/>
      <c r="AP33" s="161"/>
      <c r="AQ33" s="161"/>
      <c r="AX33" s="161"/>
      <c r="AY33" s="161"/>
      <c r="AZ33" s="161"/>
      <c r="BG33" s="161"/>
      <c r="BH33" s="161"/>
      <c r="BI33" s="161"/>
      <c r="BP33" s="161"/>
      <c r="BQ33" s="161"/>
      <c r="BR33" s="161"/>
      <c r="BY33" s="161"/>
      <c r="BZ33" s="161"/>
      <c r="CA33" s="161"/>
      <c r="CH33" s="161"/>
      <c r="CI33" s="161"/>
      <c r="CJ33" s="161"/>
    </row>
    <row r="34" spans="5:88" x14ac:dyDescent="0.4">
      <c r="E34" s="76">
        <f t="shared" si="0"/>
        <v>0.21218399999999998</v>
      </c>
      <c r="F34" s="76">
        <f t="shared" si="1"/>
        <v>0.33642</v>
      </c>
      <c r="G34" s="76">
        <f t="shared" si="2"/>
        <v>0.65337299999999998</v>
      </c>
      <c r="N34" s="76">
        <f t="shared" si="3"/>
        <v>0.20172599999999999</v>
      </c>
      <c r="O34" s="76">
        <f t="shared" si="4"/>
        <v>0.31934699999999999</v>
      </c>
      <c r="P34" s="76">
        <f t="shared" si="5"/>
        <v>0.61847099999999999</v>
      </c>
      <c r="W34" s="76">
        <f t="shared" si="6"/>
        <v>0.19989900000000002</v>
      </c>
      <c r="X34" s="76">
        <f t="shared" si="7"/>
        <v>0.32035499999999995</v>
      </c>
      <c r="Y34" s="76">
        <f t="shared" si="8"/>
        <v>0.63</v>
      </c>
      <c r="AF34" s="161"/>
      <c r="AG34" s="161"/>
      <c r="AH34" s="161"/>
      <c r="AO34" s="161"/>
      <c r="AP34" s="161"/>
      <c r="AQ34" s="161"/>
      <c r="AX34" s="161"/>
      <c r="AY34" s="161"/>
      <c r="AZ34" s="161"/>
      <c r="BG34" s="161"/>
      <c r="BH34" s="161"/>
      <c r="BI34" s="161"/>
      <c r="BP34" s="161"/>
      <c r="BQ34" s="161"/>
      <c r="BR34" s="161"/>
      <c r="BY34" s="161"/>
      <c r="BZ34" s="161"/>
      <c r="CA34" s="161"/>
      <c r="CH34" s="161"/>
      <c r="CI34" s="161"/>
      <c r="CJ34" s="161"/>
    </row>
    <row r="35" spans="5:88" x14ac:dyDescent="0.4">
      <c r="E35" s="76">
        <f t="shared" si="0"/>
        <v>0.20361599999999999</v>
      </c>
      <c r="F35" s="76">
        <f t="shared" si="1"/>
        <v>0.32419799999999999</v>
      </c>
      <c r="G35" s="76">
        <f t="shared" si="2"/>
        <v>0.63749699999999998</v>
      </c>
      <c r="N35" s="76">
        <f t="shared" si="3"/>
        <v>0.20122200000000001</v>
      </c>
      <c r="O35" s="76">
        <f t="shared" si="4"/>
        <v>0.31890599999999997</v>
      </c>
      <c r="P35" s="76">
        <f t="shared" si="5"/>
        <v>0.61960500000000007</v>
      </c>
      <c r="W35" s="76">
        <f t="shared" si="6"/>
        <v>0.19800900000000002</v>
      </c>
      <c r="X35" s="76">
        <f t="shared" si="7"/>
        <v>0.31468499999999999</v>
      </c>
      <c r="Y35" s="76">
        <f t="shared" si="8"/>
        <v>0.62017200000000006</v>
      </c>
      <c r="AF35" s="161"/>
      <c r="AG35" s="161"/>
      <c r="AH35" s="161"/>
      <c r="AO35" s="161"/>
      <c r="AP35" s="161"/>
      <c r="AQ35" s="161"/>
      <c r="AX35" s="161"/>
      <c r="AY35" s="161"/>
      <c r="AZ35" s="161"/>
      <c r="BG35" s="161"/>
      <c r="BH35" s="161"/>
      <c r="BI35" s="161"/>
      <c r="BP35" s="161"/>
      <c r="BQ35" s="161"/>
      <c r="BR35" s="161"/>
      <c r="BY35" s="161"/>
      <c r="BZ35" s="161"/>
      <c r="CA35" s="161"/>
      <c r="CH35" s="161"/>
      <c r="CI35" s="161"/>
      <c r="CJ35" s="161"/>
    </row>
    <row r="36" spans="5:88" x14ac:dyDescent="0.4">
      <c r="E36" s="76">
        <f t="shared" si="0"/>
        <v>0.20311200000000001</v>
      </c>
      <c r="F36" s="76">
        <f t="shared" si="1"/>
        <v>0.32337899999999997</v>
      </c>
      <c r="G36" s="76">
        <f t="shared" si="2"/>
        <v>0.63522900000000004</v>
      </c>
      <c r="N36" s="76">
        <f t="shared" si="3"/>
        <v>0.20078099999999999</v>
      </c>
      <c r="O36" s="76">
        <f t="shared" si="4"/>
        <v>0.31871700000000003</v>
      </c>
      <c r="P36" s="76">
        <f t="shared" si="5"/>
        <v>0.62092800000000004</v>
      </c>
      <c r="W36" s="76">
        <f t="shared" si="6"/>
        <v>0.196182</v>
      </c>
      <c r="X36" s="76">
        <f t="shared" si="7"/>
        <v>0.31090499999999999</v>
      </c>
      <c r="Y36" s="76">
        <f t="shared" si="8"/>
        <v>0.60958800000000002</v>
      </c>
      <c r="AF36" s="161"/>
      <c r="AG36" s="161"/>
      <c r="AH36" s="161"/>
      <c r="AO36" s="161"/>
      <c r="AP36" s="161"/>
      <c r="AQ36" s="161"/>
      <c r="AX36" s="161"/>
      <c r="AY36" s="161"/>
      <c r="AZ36" s="161"/>
      <c r="BG36" s="161"/>
      <c r="BH36" s="161"/>
      <c r="BI36" s="161"/>
      <c r="BP36" s="161"/>
      <c r="BQ36" s="161"/>
      <c r="BR36" s="161"/>
      <c r="BY36" s="161"/>
      <c r="BZ36" s="161"/>
      <c r="CA36" s="161"/>
      <c r="CH36" s="161"/>
      <c r="CI36" s="161"/>
      <c r="CJ36" s="161"/>
    </row>
    <row r="37" spans="5:88" x14ac:dyDescent="0.4">
      <c r="E37" s="76">
        <f t="shared" si="0"/>
        <v>0.20210399999999998</v>
      </c>
      <c r="F37" s="76">
        <f t="shared" si="1"/>
        <v>0.32256000000000001</v>
      </c>
      <c r="G37" s="76">
        <f t="shared" si="2"/>
        <v>0.63188999999999995</v>
      </c>
      <c r="N37" s="76">
        <f t="shared" si="3"/>
        <v>0.200655</v>
      </c>
      <c r="O37" s="76">
        <f t="shared" si="4"/>
        <v>0.31840199999999996</v>
      </c>
      <c r="P37" s="76">
        <f t="shared" si="5"/>
        <v>0.62325900000000001</v>
      </c>
      <c r="W37" s="76">
        <f t="shared" si="6"/>
        <v>0.19492200000000001</v>
      </c>
      <c r="X37" s="76">
        <f t="shared" si="7"/>
        <v>0.30825900000000001</v>
      </c>
      <c r="Y37" s="76">
        <f t="shared" si="8"/>
        <v>0.60190200000000005</v>
      </c>
      <c r="AF37" s="161"/>
      <c r="AG37" s="161"/>
      <c r="AH37" s="161"/>
      <c r="AO37" s="161"/>
      <c r="AP37" s="161"/>
      <c r="AQ37" s="161"/>
      <c r="AX37" s="161"/>
      <c r="AY37" s="161"/>
      <c r="AZ37" s="161"/>
      <c r="BG37" s="161"/>
      <c r="BH37" s="161"/>
      <c r="BI37" s="161"/>
      <c r="BP37" s="161"/>
      <c r="BQ37" s="161"/>
      <c r="BR37" s="161"/>
      <c r="BY37" s="161"/>
      <c r="BZ37" s="161"/>
      <c r="CA37" s="161"/>
      <c r="CH37" s="161"/>
      <c r="CI37" s="161"/>
      <c r="CJ37" s="161"/>
    </row>
    <row r="41" spans="5:88" x14ac:dyDescent="0.4">
      <c r="AO41" s="161"/>
      <c r="AP41" s="161"/>
      <c r="AQ41" s="161"/>
      <c r="AX41" s="161"/>
      <c r="AY41" s="161"/>
      <c r="AZ41" s="161"/>
      <c r="BG41" s="161"/>
      <c r="BH41" s="161"/>
      <c r="BI41" s="161"/>
    </row>
    <row r="42" spans="5:88" x14ac:dyDescent="0.4">
      <c r="AO42" s="161"/>
      <c r="AP42" s="161"/>
      <c r="AQ42" s="161"/>
      <c r="AX42" s="161"/>
      <c r="AY42" s="161"/>
      <c r="AZ42" s="161"/>
      <c r="BG42" s="161"/>
      <c r="BH42" s="161"/>
      <c r="BI42" s="161"/>
    </row>
    <row r="43" spans="5:88" x14ac:dyDescent="0.4">
      <c r="AO43" s="161"/>
      <c r="AP43" s="161"/>
      <c r="AQ43" s="161"/>
      <c r="AX43" s="161"/>
      <c r="AY43" s="161"/>
      <c r="AZ43" s="161"/>
      <c r="BG43" s="161"/>
      <c r="BH43" s="161"/>
      <c r="BI43" s="161"/>
    </row>
    <row r="44" spans="5:88" x14ac:dyDescent="0.4">
      <c r="AO44" s="161"/>
      <c r="AP44" s="161"/>
      <c r="AQ44" s="161"/>
      <c r="AX44" s="161"/>
      <c r="AY44" s="161"/>
      <c r="AZ44" s="161"/>
      <c r="BG44" s="161"/>
      <c r="BH44" s="161"/>
      <c r="BI44" s="161"/>
    </row>
    <row r="45" spans="5:88" x14ac:dyDescent="0.4">
      <c r="AO45" s="161"/>
      <c r="AP45" s="161"/>
      <c r="AQ45" s="161"/>
      <c r="AX45" s="161"/>
      <c r="AY45" s="161"/>
      <c r="AZ45" s="161"/>
      <c r="BG45" s="161"/>
      <c r="BH45" s="161"/>
      <c r="BI45" s="161"/>
    </row>
    <row r="46" spans="5:88" x14ac:dyDescent="0.4">
      <c r="AO46" s="161"/>
      <c r="AP46" s="161"/>
      <c r="AQ46" s="161"/>
      <c r="AX46" s="161"/>
      <c r="AY46" s="161"/>
      <c r="AZ46" s="161"/>
      <c r="BG46" s="161"/>
      <c r="BH46" s="161"/>
      <c r="BI46" s="161"/>
    </row>
    <row r="47" spans="5:88" x14ac:dyDescent="0.4">
      <c r="AO47" s="161"/>
      <c r="AP47" s="161"/>
      <c r="AQ47" s="161"/>
      <c r="AX47" s="161"/>
      <c r="AY47" s="161"/>
      <c r="AZ47" s="161"/>
      <c r="BG47" s="161"/>
      <c r="BH47" s="161"/>
      <c r="BI47" s="161"/>
    </row>
    <row r="48" spans="5:88" x14ac:dyDescent="0.4">
      <c r="AO48" s="161"/>
      <c r="AP48" s="161"/>
      <c r="AQ48" s="161"/>
      <c r="AX48" s="161"/>
      <c r="AY48" s="161"/>
      <c r="AZ48" s="161"/>
      <c r="BG48" s="161"/>
      <c r="BH48" s="161"/>
      <c r="BI48" s="161"/>
    </row>
    <row r="49" spans="41:61" x14ac:dyDescent="0.4">
      <c r="AO49" s="161"/>
      <c r="AP49" s="161"/>
      <c r="AQ49" s="161"/>
      <c r="AX49" s="161"/>
      <c r="AY49" s="161"/>
      <c r="AZ49" s="161"/>
      <c r="BG49" s="161"/>
      <c r="BH49" s="161"/>
      <c r="BI49" s="161"/>
    </row>
    <row r="50" spans="41:61" x14ac:dyDescent="0.4">
      <c r="AO50" s="161"/>
      <c r="AP50" s="161"/>
      <c r="AQ50" s="161"/>
      <c r="AX50" s="161"/>
      <c r="AY50" s="161"/>
      <c r="AZ50" s="161"/>
      <c r="BG50" s="161"/>
      <c r="BH50" s="161"/>
      <c r="BI50" s="161"/>
    </row>
    <row r="51" spans="41:61" x14ac:dyDescent="0.4">
      <c r="AO51" s="161"/>
      <c r="AP51" s="161"/>
      <c r="AQ51" s="161"/>
      <c r="AX51" s="161"/>
      <c r="AY51" s="161"/>
      <c r="AZ51" s="161"/>
      <c r="BG51" s="161"/>
      <c r="BH51" s="161"/>
      <c r="BI51" s="161"/>
    </row>
    <row r="52" spans="41:61" x14ac:dyDescent="0.4">
      <c r="AO52" s="161"/>
      <c r="AP52" s="161"/>
      <c r="AQ52" s="161"/>
      <c r="AX52" s="161"/>
      <c r="AY52" s="161"/>
      <c r="AZ52" s="161"/>
      <c r="BG52" s="161"/>
      <c r="BH52" s="161"/>
      <c r="BI52" s="161"/>
    </row>
    <row r="53" spans="41:61" x14ac:dyDescent="0.4">
      <c r="AO53" s="161"/>
      <c r="AP53" s="161"/>
      <c r="AQ53" s="161"/>
      <c r="AX53" s="161"/>
      <c r="AY53" s="161"/>
      <c r="AZ53" s="161"/>
      <c r="BG53" s="161"/>
      <c r="BH53" s="161"/>
      <c r="BI53" s="161"/>
    </row>
    <row r="54" spans="41:61" x14ac:dyDescent="0.4">
      <c r="AO54" s="161"/>
      <c r="AP54" s="161"/>
      <c r="AQ54" s="161"/>
      <c r="AX54" s="161"/>
      <c r="AY54" s="161"/>
      <c r="AZ54" s="161"/>
      <c r="BG54" s="161"/>
      <c r="BH54" s="161"/>
      <c r="BI54" s="161"/>
    </row>
  </sheetData>
  <mergeCells count="21">
    <mergeCell ref="CN5:CU5"/>
    <mergeCell ref="AL4:AS4"/>
    <mergeCell ref="AL5:AS5"/>
    <mergeCell ref="BM4:BT4"/>
    <mergeCell ref="BM5:BT5"/>
    <mergeCell ref="BV4:CC4"/>
    <mergeCell ref="BV5:CC5"/>
    <mergeCell ref="AU4:BB4"/>
    <mergeCell ref="AU5:BB5"/>
    <mergeCell ref="BD4:BK4"/>
    <mergeCell ref="BD5:BK5"/>
    <mergeCell ref="B4:I4"/>
    <mergeCell ref="B5:I5"/>
    <mergeCell ref="K4:R4"/>
    <mergeCell ref="CE4:CL4"/>
    <mergeCell ref="CE5:CL5"/>
    <mergeCell ref="K5:R5"/>
    <mergeCell ref="T4:AA4"/>
    <mergeCell ref="T5:AA5"/>
    <mergeCell ref="AC4:AJ4"/>
    <mergeCell ref="AC5:AJ5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"/>
  <sheetViews>
    <sheetView showGridLines="0" topLeftCell="C3" zoomScale="60" zoomScaleNormal="60" workbookViewId="0">
      <selection activeCell="H4" sqref="H4:J4"/>
    </sheetView>
  </sheetViews>
  <sheetFormatPr defaultRowHeight="18" x14ac:dyDescent="0.45"/>
  <cols>
    <col min="2" max="2" width="11.921875" style="8" customWidth="1"/>
    <col min="3" max="4" width="13.61328125" style="8" customWidth="1"/>
    <col min="5" max="5" width="13.07421875" style="8" customWidth="1"/>
    <col min="6" max="6" width="10.61328125" style="8" customWidth="1"/>
    <col min="7" max="7" width="11.69140625" style="8" customWidth="1"/>
    <col min="8" max="10" width="13.07421875" style="8" customWidth="1"/>
    <col min="12" max="12" width="11.921875" style="181" customWidth="1"/>
    <col min="13" max="14" width="13.61328125" style="181" customWidth="1"/>
    <col min="15" max="15" width="13.07421875" style="181" customWidth="1"/>
    <col min="16" max="16" width="10.61328125" style="181" customWidth="1"/>
    <col min="17" max="17" width="11.69140625" style="181" customWidth="1"/>
    <col min="18" max="20" width="13.07421875" style="181" customWidth="1"/>
  </cols>
  <sheetData>
    <row r="1" spans="1:20" ht="26.15" x14ac:dyDescent="0.7">
      <c r="A1" s="4"/>
      <c r="B1" s="4" t="s">
        <v>106</v>
      </c>
      <c r="G1" s="4" t="s">
        <v>107</v>
      </c>
      <c r="L1" s="180" t="s">
        <v>106</v>
      </c>
      <c r="Q1" s="180" t="s">
        <v>107</v>
      </c>
    </row>
    <row r="2" spans="1:20" ht="18.45" thickBot="1" x14ac:dyDescent="0.5"/>
    <row r="3" spans="1:20" ht="30.45" customHeight="1" thickBot="1" x14ac:dyDescent="0.5">
      <c r="B3" s="208" t="s">
        <v>95</v>
      </c>
      <c r="C3" s="209"/>
      <c r="D3" s="209"/>
      <c r="E3" s="210"/>
      <c r="G3" s="208" t="s">
        <v>96</v>
      </c>
      <c r="H3" s="209"/>
      <c r="I3" s="209"/>
      <c r="J3" s="210"/>
      <c r="L3" s="211" t="s">
        <v>95</v>
      </c>
      <c r="M3" s="212"/>
      <c r="N3" s="212"/>
      <c r="O3" s="213"/>
      <c r="Q3" s="211" t="s">
        <v>96</v>
      </c>
      <c r="R3" s="212"/>
      <c r="S3" s="212"/>
      <c r="T3" s="213"/>
    </row>
    <row r="4" spans="1:20" s="128" customFormat="1" ht="69" customHeight="1" thickBot="1" x14ac:dyDescent="0.45">
      <c r="B4" s="162" t="s">
        <v>22</v>
      </c>
      <c r="C4" s="163" t="s">
        <v>166</v>
      </c>
      <c r="D4" s="165" t="s">
        <v>167</v>
      </c>
      <c r="E4" s="164" t="s">
        <v>168</v>
      </c>
      <c r="F4" s="132"/>
      <c r="G4" s="162" t="s">
        <v>22</v>
      </c>
      <c r="H4" s="163" t="s">
        <v>166</v>
      </c>
      <c r="I4" s="165" t="s">
        <v>167</v>
      </c>
      <c r="J4" s="164" t="s">
        <v>168</v>
      </c>
      <c r="L4" s="182" t="s">
        <v>22</v>
      </c>
      <c r="M4" s="183" t="s">
        <v>166</v>
      </c>
      <c r="N4" s="184" t="s">
        <v>167</v>
      </c>
      <c r="O4" s="185" t="s">
        <v>168</v>
      </c>
      <c r="P4" s="186"/>
      <c r="Q4" s="182" t="s">
        <v>22</v>
      </c>
      <c r="R4" s="183" t="s">
        <v>166</v>
      </c>
      <c r="S4" s="184" t="s">
        <v>167</v>
      </c>
      <c r="T4" s="185" t="s">
        <v>168</v>
      </c>
    </row>
    <row r="5" spans="1:20" x14ac:dyDescent="0.4">
      <c r="B5" s="55">
        <v>2021</v>
      </c>
      <c r="C5" s="118">
        <v>5.8209999999999998E-2</v>
      </c>
      <c r="D5" s="166">
        <v>5.851E-2</v>
      </c>
      <c r="E5" s="120">
        <v>5.8110000000000002E-2</v>
      </c>
      <c r="F5" s="11"/>
      <c r="G5" s="55">
        <v>2021</v>
      </c>
      <c r="H5" s="176">
        <v>7.1500000000000001E-3</v>
      </c>
      <c r="I5" s="177">
        <v>7.4700000000000001E-3</v>
      </c>
      <c r="J5" s="178">
        <v>7.4700000000000001E-3</v>
      </c>
      <c r="L5" s="198">
        <v>2021</v>
      </c>
      <c r="M5" s="188">
        <v>5.8209999999999998E-2</v>
      </c>
      <c r="N5" s="189">
        <v>5.851E-2</v>
      </c>
      <c r="O5" s="190">
        <v>5.8110000000000002E-2</v>
      </c>
      <c r="P5" s="186"/>
      <c r="Q5" s="198">
        <v>2021</v>
      </c>
      <c r="R5" s="188">
        <v>7.1500000000000001E-3</v>
      </c>
      <c r="S5" s="189">
        <v>7.4700000000000001E-3</v>
      </c>
      <c r="T5" s="190">
        <v>7.4700000000000001E-3</v>
      </c>
    </row>
    <row r="6" spans="1:20" x14ac:dyDescent="0.4">
      <c r="B6" s="55">
        <v>2022</v>
      </c>
      <c r="C6" s="123">
        <v>0.66879999999999995</v>
      </c>
      <c r="D6" s="168">
        <v>0.66893000000000002</v>
      </c>
      <c r="E6" s="125">
        <v>0.66713999999999996</v>
      </c>
      <c r="F6" s="11"/>
      <c r="G6" s="55">
        <v>2022</v>
      </c>
      <c r="H6" s="123">
        <v>0</v>
      </c>
      <c r="I6" s="168">
        <v>0</v>
      </c>
      <c r="J6" s="125">
        <v>0</v>
      </c>
      <c r="L6" s="187">
        <v>2022</v>
      </c>
      <c r="M6" s="170">
        <v>0.66879999999999995</v>
      </c>
      <c r="N6" s="171">
        <v>0.66893000000000002</v>
      </c>
      <c r="O6" s="172">
        <v>0.66713999999999996</v>
      </c>
      <c r="P6" s="186"/>
      <c r="Q6" s="187">
        <v>2022</v>
      </c>
      <c r="R6" s="170">
        <v>0</v>
      </c>
      <c r="S6" s="171">
        <v>0</v>
      </c>
      <c r="T6" s="172">
        <v>0</v>
      </c>
    </row>
    <row r="7" spans="1:20" x14ac:dyDescent="0.4">
      <c r="B7" s="55">
        <v>2023</v>
      </c>
      <c r="C7" s="123">
        <v>0.94228999999999996</v>
      </c>
      <c r="D7" s="168">
        <v>0.94199999999999995</v>
      </c>
      <c r="E7" s="125">
        <v>0.94130000000000003</v>
      </c>
      <c r="F7" s="11"/>
      <c r="G7" s="55">
        <v>2023</v>
      </c>
      <c r="H7" s="123">
        <v>1.4999999999999999E-4</v>
      </c>
      <c r="I7" s="168">
        <v>6.9999999999999994E-5</v>
      </c>
      <c r="J7" s="125">
        <v>6.9999999999999994E-5</v>
      </c>
      <c r="L7" s="187">
        <v>2023</v>
      </c>
      <c r="M7" s="170">
        <v>0.94228999999999996</v>
      </c>
      <c r="N7" s="171">
        <v>0.94199999999999995</v>
      </c>
      <c r="O7" s="172">
        <v>0.94130000000000003</v>
      </c>
      <c r="P7" s="186"/>
      <c r="Q7" s="187">
        <v>2023</v>
      </c>
      <c r="R7" s="170">
        <v>1.4999999999999999E-4</v>
      </c>
      <c r="S7" s="171">
        <v>6.9999999999999994E-5</v>
      </c>
      <c r="T7" s="172">
        <v>6.9999999999999994E-5</v>
      </c>
    </row>
    <row r="8" spans="1:20" x14ac:dyDescent="0.4">
      <c r="B8" s="55">
        <v>2024</v>
      </c>
      <c r="C8" s="123">
        <v>0.91768000000000005</v>
      </c>
      <c r="D8" s="168">
        <v>0.91698000000000002</v>
      </c>
      <c r="E8" s="125">
        <v>0.91490000000000005</v>
      </c>
      <c r="F8" s="11"/>
      <c r="G8" s="55">
        <v>2024</v>
      </c>
      <c r="H8" s="123">
        <v>6.3499999999999997E-3</v>
      </c>
      <c r="I8" s="168">
        <v>7.0400000000000003E-3</v>
      </c>
      <c r="J8" s="125">
        <v>6.7499999999999999E-3</v>
      </c>
      <c r="L8" s="187">
        <v>2024</v>
      </c>
      <c r="M8" s="170">
        <v>0.91768000000000005</v>
      </c>
      <c r="N8" s="171">
        <v>0.91698000000000002</v>
      </c>
      <c r="O8" s="172">
        <v>0.91490000000000005</v>
      </c>
      <c r="P8" s="186"/>
      <c r="Q8" s="187">
        <v>2024</v>
      </c>
      <c r="R8" s="170">
        <v>6.3499999999999997E-3</v>
      </c>
      <c r="S8" s="171">
        <v>7.0400000000000003E-3</v>
      </c>
      <c r="T8" s="172">
        <v>6.7499999999999999E-3</v>
      </c>
    </row>
    <row r="9" spans="1:20" x14ac:dyDescent="0.4">
      <c r="B9" s="55">
        <v>2025</v>
      </c>
      <c r="C9" s="123">
        <v>0.84860999999999998</v>
      </c>
      <c r="D9" s="168">
        <v>0.79227000000000003</v>
      </c>
      <c r="E9" s="125">
        <v>0.78861999999999999</v>
      </c>
      <c r="F9" s="11"/>
      <c r="G9" s="55">
        <v>2025</v>
      </c>
      <c r="H9" s="123">
        <v>3.8699999999999998E-2</v>
      </c>
      <c r="I9" s="168">
        <v>0.21357000000000001</v>
      </c>
      <c r="J9" s="125">
        <v>0.216</v>
      </c>
      <c r="L9" s="187">
        <v>2025</v>
      </c>
      <c r="M9" s="170">
        <v>0.84860999999999998</v>
      </c>
      <c r="N9" s="171">
        <v>0.79227000000000003</v>
      </c>
      <c r="O9" s="172">
        <v>0.78861999999999999</v>
      </c>
      <c r="P9" s="186"/>
      <c r="Q9" s="187">
        <v>2025</v>
      </c>
      <c r="R9" s="170">
        <v>3.8699999999999998E-2</v>
      </c>
      <c r="S9" s="171">
        <v>0.21357000000000001</v>
      </c>
      <c r="T9" s="172">
        <v>0.216</v>
      </c>
    </row>
    <row r="10" spans="1:20" x14ac:dyDescent="0.4">
      <c r="B10" s="55">
        <v>2026</v>
      </c>
      <c r="C10" s="123">
        <v>0.77056999999999998</v>
      </c>
      <c r="D10" s="168">
        <v>0.66759999999999997</v>
      </c>
      <c r="E10" s="125">
        <v>0.59623000000000004</v>
      </c>
      <c r="F10" s="11"/>
      <c r="G10" s="55">
        <v>2026</v>
      </c>
      <c r="H10" s="123">
        <v>8.1500000000000003E-2</v>
      </c>
      <c r="I10" s="168">
        <v>0.14202000000000001</v>
      </c>
      <c r="J10" s="125">
        <v>0.40375</v>
      </c>
      <c r="L10" s="187">
        <v>2026</v>
      </c>
      <c r="M10" s="170">
        <v>0.77056999999999998</v>
      </c>
      <c r="N10" s="171">
        <v>0.66759999999999997</v>
      </c>
      <c r="O10" s="172">
        <v>0.59623000000000004</v>
      </c>
      <c r="P10" s="186"/>
      <c r="Q10" s="187">
        <v>2026</v>
      </c>
      <c r="R10" s="170">
        <v>8.1500000000000003E-2</v>
      </c>
      <c r="S10" s="171">
        <v>0.14202000000000001</v>
      </c>
      <c r="T10" s="172">
        <v>0.40375</v>
      </c>
    </row>
    <row r="11" spans="1:20" x14ac:dyDescent="0.4">
      <c r="B11" s="55">
        <v>2027</v>
      </c>
      <c r="C11" s="123">
        <v>0.70940000000000003</v>
      </c>
      <c r="D11" s="168">
        <v>0.61895999999999995</v>
      </c>
      <c r="E11" s="172">
        <v>0.50592000000000004</v>
      </c>
      <c r="F11" s="11"/>
      <c r="G11" s="55">
        <v>2027</v>
      </c>
      <c r="H11" s="123">
        <v>0.12095</v>
      </c>
      <c r="I11" s="168">
        <v>0.18246000000000001</v>
      </c>
      <c r="J11" s="125">
        <v>0.27187</v>
      </c>
      <c r="L11" s="187">
        <v>2027</v>
      </c>
      <c r="M11" s="170">
        <v>0.70940000000000003</v>
      </c>
      <c r="N11" s="171">
        <v>0.61895999999999995</v>
      </c>
      <c r="O11" s="172">
        <v>0.50592000000000004</v>
      </c>
      <c r="P11" s="186"/>
      <c r="Q11" s="187">
        <v>2027</v>
      </c>
      <c r="R11" s="170">
        <v>0.12095</v>
      </c>
      <c r="S11" s="171">
        <v>0.18246000000000001</v>
      </c>
      <c r="T11" s="172">
        <v>0.27187</v>
      </c>
    </row>
    <row r="12" spans="1:20" x14ac:dyDescent="0.4">
      <c r="B12" s="55">
        <v>2028</v>
      </c>
      <c r="C12" s="123">
        <v>0.67095000000000005</v>
      </c>
      <c r="D12" s="168">
        <v>0.60682999999999998</v>
      </c>
      <c r="E12" s="172">
        <v>0.51709000000000005</v>
      </c>
      <c r="F12" s="11"/>
      <c r="G12" s="55">
        <v>2028</v>
      </c>
      <c r="H12" s="123">
        <v>0.12548000000000001</v>
      </c>
      <c r="I12" s="168">
        <v>0.15026</v>
      </c>
      <c r="J12" s="125">
        <v>0.20463000000000001</v>
      </c>
      <c r="L12" s="187">
        <v>2028</v>
      </c>
      <c r="M12" s="170">
        <v>0.67095000000000005</v>
      </c>
      <c r="N12" s="171">
        <v>0.60682999999999998</v>
      </c>
      <c r="O12" s="172">
        <v>0.51709000000000005</v>
      </c>
      <c r="P12" s="186"/>
      <c r="Q12" s="187">
        <v>2028</v>
      </c>
      <c r="R12" s="170">
        <v>0.12548000000000001</v>
      </c>
      <c r="S12" s="171">
        <v>0.15026</v>
      </c>
      <c r="T12" s="172">
        <v>0.20463000000000001</v>
      </c>
    </row>
    <row r="13" spans="1:20" x14ac:dyDescent="0.4">
      <c r="B13" s="55">
        <v>2029</v>
      </c>
      <c r="C13" s="123">
        <v>0.64449999999999996</v>
      </c>
      <c r="D13" s="168">
        <v>0.61040000000000005</v>
      </c>
      <c r="E13" s="172">
        <v>0.54659999999999997</v>
      </c>
      <c r="F13" s="11"/>
      <c r="G13" s="55">
        <v>2029</v>
      </c>
      <c r="H13" s="123">
        <v>0.14484</v>
      </c>
      <c r="I13" s="168">
        <v>0.15053</v>
      </c>
      <c r="J13" s="125">
        <v>0.1855</v>
      </c>
      <c r="L13" s="187">
        <v>2029</v>
      </c>
      <c r="M13" s="170">
        <v>0.64449999999999996</v>
      </c>
      <c r="N13" s="171">
        <v>0.61040000000000005</v>
      </c>
      <c r="O13" s="172">
        <v>0.54659999999999997</v>
      </c>
      <c r="P13" s="186"/>
      <c r="Q13" s="187">
        <v>2029</v>
      </c>
      <c r="R13" s="170">
        <v>0.14484</v>
      </c>
      <c r="S13" s="171">
        <v>0.15053</v>
      </c>
      <c r="T13" s="172">
        <v>0.1855</v>
      </c>
    </row>
    <row r="14" spans="1:20" x14ac:dyDescent="0.4">
      <c r="B14" s="55">
        <v>2030</v>
      </c>
      <c r="C14" s="123">
        <v>0.62251999999999996</v>
      </c>
      <c r="D14" s="168">
        <v>0.61304999999999998</v>
      </c>
      <c r="E14" s="172">
        <v>0.57064000000000004</v>
      </c>
      <c r="F14" s="11"/>
      <c r="G14" s="55">
        <v>2030</v>
      </c>
      <c r="H14" s="123">
        <v>0.16106999999999999</v>
      </c>
      <c r="I14" s="168">
        <v>0.15084</v>
      </c>
      <c r="J14" s="125">
        <v>0.16825000000000001</v>
      </c>
      <c r="L14" s="187">
        <v>2030</v>
      </c>
      <c r="M14" s="170">
        <v>0.62251999999999996</v>
      </c>
      <c r="N14" s="171">
        <v>0.61304999999999998</v>
      </c>
      <c r="O14" s="172">
        <v>0.57064000000000004</v>
      </c>
      <c r="P14" s="186"/>
      <c r="Q14" s="187">
        <v>2030</v>
      </c>
      <c r="R14" s="170">
        <v>0.16106999999999999</v>
      </c>
      <c r="S14" s="171">
        <v>0.15084</v>
      </c>
      <c r="T14" s="172">
        <v>0.16825000000000001</v>
      </c>
    </row>
    <row r="15" spans="1:20" x14ac:dyDescent="0.4">
      <c r="B15" s="55">
        <v>2031</v>
      </c>
      <c r="C15" s="123">
        <v>0.60619999999999996</v>
      </c>
      <c r="D15" s="168">
        <v>0.61309999999999998</v>
      </c>
      <c r="E15" s="172">
        <v>0.59136999999999995</v>
      </c>
      <c r="F15" s="11"/>
      <c r="G15" s="55">
        <v>2031</v>
      </c>
      <c r="H15" s="123">
        <v>0.17505000000000001</v>
      </c>
      <c r="I15" s="168">
        <v>0.15065000000000001</v>
      </c>
      <c r="J15" s="125">
        <v>0.15683</v>
      </c>
      <c r="L15" s="187">
        <v>2031</v>
      </c>
      <c r="M15" s="170">
        <v>0.60619999999999996</v>
      </c>
      <c r="N15" s="171">
        <v>0.61309999999999998</v>
      </c>
      <c r="O15" s="172">
        <v>0.59136999999999995</v>
      </c>
      <c r="P15" s="186"/>
      <c r="Q15" s="187">
        <v>2031</v>
      </c>
      <c r="R15" s="170">
        <v>0.17505000000000001</v>
      </c>
      <c r="S15" s="171">
        <v>0.15065000000000001</v>
      </c>
      <c r="T15" s="172">
        <v>0.15683</v>
      </c>
    </row>
    <row r="16" spans="1:20" x14ac:dyDescent="0.4">
      <c r="B16" s="55">
        <v>2032</v>
      </c>
      <c r="C16" s="123">
        <v>0.59907999999999995</v>
      </c>
      <c r="D16" s="168">
        <v>0.61336999999999997</v>
      </c>
      <c r="E16" s="125">
        <v>0.60546999999999995</v>
      </c>
      <c r="F16" s="11"/>
      <c r="G16" s="55">
        <v>2032</v>
      </c>
      <c r="H16" s="123">
        <v>0.16178999999999999</v>
      </c>
      <c r="I16" s="168">
        <v>0.15198</v>
      </c>
      <c r="J16" s="125">
        <v>0.14743000000000001</v>
      </c>
      <c r="L16" s="187">
        <v>2032</v>
      </c>
      <c r="M16" s="170">
        <v>0.59907999999999995</v>
      </c>
      <c r="N16" s="171">
        <v>0.61336999999999997</v>
      </c>
      <c r="O16" s="172">
        <v>0.60546999999999995</v>
      </c>
      <c r="P16" s="186"/>
      <c r="Q16" s="187">
        <v>2032</v>
      </c>
      <c r="R16" s="170">
        <v>0.16178999999999999</v>
      </c>
      <c r="S16" s="171">
        <v>0.15198</v>
      </c>
      <c r="T16" s="172">
        <v>0.14743000000000001</v>
      </c>
    </row>
    <row r="17" spans="2:20" x14ac:dyDescent="0.4">
      <c r="B17" s="55">
        <v>2033</v>
      </c>
      <c r="C17" s="123">
        <v>0.60043000000000002</v>
      </c>
      <c r="D17" s="168">
        <v>0.61560999999999999</v>
      </c>
      <c r="E17" s="125">
        <v>0.61667000000000005</v>
      </c>
      <c r="F17" s="11"/>
      <c r="G17" s="55">
        <v>2033</v>
      </c>
      <c r="H17" s="123">
        <v>0.15976000000000001</v>
      </c>
      <c r="I17" s="168">
        <v>0.15206</v>
      </c>
      <c r="J17" s="125">
        <v>0.14224999999999999</v>
      </c>
      <c r="L17" s="187">
        <v>2033</v>
      </c>
      <c r="M17" s="170">
        <v>0.60043000000000002</v>
      </c>
      <c r="N17" s="171">
        <v>0.61560999999999999</v>
      </c>
      <c r="O17" s="172">
        <v>0.61667000000000005</v>
      </c>
      <c r="P17" s="186"/>
      <c r="Q17" s="187">
        <v>2033</v>
      </c>
      <c r="R17" s="170">
        <v>0.15976000000000001</v>
      </c>
      <c r="S17" s="171">
        <v>0.15206</v>
      </c>
      <c r="T17" s="172">
        <v>0.14224999999999999</v>
      </c>
    </row>
    <row r="18" spans="2:20" ht="18.45" thickBot="1" x14ac:dyDescent="0.45">
      <c r="B18" s="53">
        <v>2034</v>
      </c>
      <c r="C18" s="169">
        <v>0.60440000000000005</v>
      </c>
      <c r="D18" s="167">
        <v>0.61490999999999996</v>
      </c>
      <c r="E18" s="124">
        <v>0.62544</v>
      </c>
      <c r="F18" s="11"/>
      <c r="G18" s="53">
        <v>2034</v>
      </c>
      <c r="H18" s="169">
        <v>0.15856999999999999</v>
      </c>
      <c r="I18" s="167">
        <v>0.15117</v>
      </c>
      <c r="J18" s="124">
        <v>0.13666</v>
      </c>
      <c r="L18" s="191">
        <v>2034</v>
      </c>
      <c r="M18" s="173">
        <v>0.60440000000000005</v>
      </c>
      <c r="N18" s="174">
        <v>0.61490999999999996</v>
      </c>
      <c r="O18" s="175">
        <v>0.62544</v>
      </c>
      <c r="P18" s="186"/>
      <c r="Q18" s="191">
        <v>2034</v>
      </c>
      <c r="R18" s="173">
        <v>0.15856999999999999</v>
      </c>
      <c r="S18" s="174">
        <v>0.15117</v>
      </c>
      <c r="T18" s="175">
        <v>0.13666</v>
      </c>
    </row>
    <row r="19" spans="2:20" ht="18.45" thickBot="1" x14ac:dyDescent="0.5">
      <c r="B19" s="179"/>
      <c r="C19" s="157" t="s">
        <v>158</v>
      </c>
      <c r="D19" s="158"/>
      <c r="E19" s="159"/>
      <c r="G19" s="179"/>
      <c r="H19" s="157" t="s">
        <v>169</v>
      </c>
      <c r="I19" s="158"/>
      <c r="J19" s="159"/>
      <c r="L19" s="195"/>
      <c r="M19" s="196"/>
      <c r="N19" s="197"/>
      <c r="O19" s="197"/>
      <c r="P19" s="195"/>
      <c r="Q19" s="195"/>
      <c r="R19" s="196"/>
      <c r="S19" s="197"/>
      <c r="T19" s="197"/>
    </row>
    <row r="20" spans="2:20" x14ac:dyDescent="0.45">
      <c r="B20" s="52"/>
      <c r="C20" s="13"/>
      <c r="D20" s="13"/>
      <c r="E20" s="13"/>
      <c r="G20" s="12"/>
      <c r="H20" s="13"/>
      <c r="I20" s="13"/>
      <c r="J20" s="13"/>
      <c r="L20" s="192"/>
      <c r="M20" s="193"/>
      <c r="N20" s="193"/>
      <c r="O20" s="193"/>
      <c r="Q20" s="194"/>
      <c r="R20" s="193"/>
      <c r="S20" s="193"/>
      <c r="T20" s="193"/>
    </row>
    <row r="21" spans="2:20" x14ac:dyDescent="0.45">
      <c r="B21" s="12"/>
      <c r="C21" s="13"/>
      <c r="D21" s="13"/>
      <c r="E21" s="13"/>
      <c r="G21" s="12"/>
      <c r="H21" s="13"/>
      <c r="I21" s="13"/>
      <c r="J21" s="13"/>
      <c r="L21" s="194"/>
      <c r="M21" s="193"/>
      <c r="N21" s="193"/>
      <c r="O21" s="193"/>
      <c r="Q21" s="194"/>
      <c r="R21" s="193"/>
      <c r="S21" s="193"/>
      <c r="T21" s="193"/>
    </row>
  </sheetData>
  <mergeCells count="4">
    <mergeCell ref="B3:E3"/>
    <mergeCell ref="G3:J3"/>
    <mergeCell ref="L3:O3"/>
    <mergeCell ref="Q3:T3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5ED1-699B-49D9-A2DD-E7128E5B3F41}">
  <dimension ref="A1:U651"/>
  <sheetViews>
    <sheetView topLeftCell="F259" workbookViewId="0">
      <selection activeCell="M260" sqref="M260:S273"/>
    </sheetView>
  </sheetViews>
  <sheetFormatPr defaultRowHeight="14.6" x14ac:dyDescent="0.4"/>
  <sheetData>
    <row r="1" spans="1:9" x14ac:dyDescent="0.4">
      <c r="A1" t="s">
        <v>69</v>
      </c>
      <c r="B1" t="s">
        <v>68</v>
      </c>
      <c r="C1">
        <v>4.2</v>
      </c>
    </row>
    <row r="3" spans="1:9" x14ac:dyDescent="0.4">
      <c r="A3" t="s">
        <v>161</v>
      </c>
    </row>
    <row r="5" spans="1:9" x14ac:dyDescent="0.4">
      <c r="A5" t="s">
        <v>67</v>
      </c>
      <c r="B5" t="s">
        <v>66</v>
      </c>
      <c r="C5" t="s">
        <v>65</v>
      </c>
      <c r="D5" t="s">
        <v>47</v>
      </c>
      <c r="E5" t="s">
        <v>64</v>
      </c>
      <c r="F5">
        <v>10</v>
      </c>
      <c r="G5" t="s">
        <v>160</v>
      </c>
      <c r="H5">
        <v>2025</v>
      </c>
      <c r="I5" s="3">
        <v>0.52638888888888891</v>
      </c>
    </row>
    <row r="7" spans="1:9" x14ac:dyDescent="0.4">
      <c r="A7" t="s">
        <v>45</v>
      </c>
      <c r="B7" t="s">
        <v>52</v>
      </c>
      <c r="C7" t="s">
        <v>51</v>
      </c>
      <c r="D7" t="s">
        <v>159</v>
      </c>
    </row>
    <row r="9" spans="1:9" x14ac:dyDescent="0.4">
      <c r="A9" t="s">
        <v>63</v>
      </c>
      <c r="B9" t="s">
        <v>0</v>
      </c>
      <c r="C9" t="s">
        <v>62</v>
      </c>
      <c r="D9">
        <v>1</v>
      </c>
    </row>
    <row r="10" spans="1:9" x14ac:dyDescent="0.4">
      <c r="A10" t="s">
        <v>50</v>
      </c>
      <c r="B10" t="s">
        <v>47</v>
      </c>
      <c r="C10" t="s">
        <v>0</v>
      </c>
      <c r="D10" t="s">
        <v>61</v>
      </c>
      <c r="E10">
        <v>15</v>
      </c>
    </row>
    <row r="11" spans="1:9" x14ac:dyDescent="0.4">
      <c r="A11" t="s">
        <v>50</v>
      </c>
      <c r="B11" t="s">
        <v>47</v>
      </c>
      <c r="C11" t="s">
        <v>60</v>
      </c>
      <c r="D11" t="s">
        <v>59</v>
      </c>
      <c r="E11" t="s">
        <v>58</v>
      </c>
      <c r="F11">
        <v>14</v>
      </c>
    </row>
    <row r="12" spans="1:9" x14ac:dyDescent="0.4">
      <c r="A12" t="s">
        <v>50</v>
      </c>
      <c r="B12" t="s">
        <v>47</v>
      </c>
      <c r="C12" t="s">
        <v>57</v>
      </c>
      <c r="D12">
        <v>9</v>
      </c>
    </row>
    <row r="13" spans="1:9" x14ac:dyDescent="0.4">
      <c r="A13" t="s">
        <v>50</v>
      </c>
      <c r="B13" t="s">
        <v>47</v>
      </c>
      <c r="C13" t="s">
        <v>41</v>
      </c>
      <c r="D13" t="s">
        <v>56</v>
      </c>
      <c r="E13">
        <v>3</v>
      </c>
    </row>
    <row r="14" spans="1:9" x14ac:dyDescent="0.4">
      <c r="A14" t="s">
        <v>50</v>
      </c>
      <c r="B14" t="s">
        <v>47</v>
      </c>
      <c r="C14" t="s">
        <v>55</v>
      </c>
      <c r="D14">
        <v>100</v>
      </c>
    </row>
    <row r="15" spans="1:9" x14ac:dyDescent="0.4">
      <c r="A15" t="s">
        <v>50</v>
      </c>
      <c r="B15" t="s">
        <v>47</v>
      </c>
      <c r="C15" t="s">
        <v>54</v>
      </c>
      <c r="D15">
        <v>1000</v>
      </c>
    </row>
    <row r="17" spans="1:11" x14ac:dyDescent="0.4">
      <c r="A17" t="s">
        <v>53</v>
      </c>
      <c r="B17" t="s">
        <v>52</v>
      </c>
      <c r="C17" t="s">
        <v>51</v>
      </c>
      <c r="D17" t="s">
        <v>75</v>
      </c>
      <c r="E17" t="s">
        <v>76</v>
      </c>
      <c r="F17" t="s">
        <v>77</v>
      </c>
      <c r="G17" t="s">
        <v>78</v>
      </c>
    </row>
    <row r="19" spans="1:11" x14ac:dyDescent="0.4">
      <c r="A19" t="s">
        <v>50</v>
      </c>
      <c r="B19" t="s">
        <v>47</v>
      </c>
      <c r="C19" t="s">
        <v>49</v>
      </c>
      <c r="D19" t="s">
        <v>48</v>
      </c>
      <c r="E19">
        <v>99844</v>
      </c>
      <c r="F19" t="s">
        <v>47</v>
      </c>
      <c r="G19">
        <v>100000</v>
      </c>
      <c r="H19" t="s">
        <v>46</v>
      </c>
    </row>
    <row r="21" spans="1:11" x14ac:dyDescent="0.4">
      <c r="A21" t="s">
        <v>45</v>
      </c>
      <c r="B21" t="s">
        <v>44</v>
      </c>
      <c r="C21" t="s">
        <v>43</v>
      </c>
    </row>
    <row r="23" spans="1:11" x14ac:dyDescent="0.4">
      <c r="A23" t="s">
        <v>22</v>
      </c>
      <c r="B23" t="s">
        <v>42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</row>
    <row r="25" spans="1:11" x14ac:dyDescent="0.4">
      <c r="A25">
        <v>2021</v>
      </c>
      <c r="B25" t="s">
        <v>5</v>
      </c>
      <c r="C25">
        <v>118</v>
      </c>
      <c r="D25">
        <v>100</v>
      </c>
      <c r="E25">
        <v>551</v>
      </c>
      <c r="F25">
        <v>72</v>
      </c>
      <c r="G25">
        <v>89</v>
      </c>
      <c r="H25">
        <v>37</v>
      </c>
      <c r="I25">
        <v>58</v>
      </c>
      <c r="J25">
        <v>265</v>
      </c>
      <c r="K25">
        <v>249</v>
      </c>
    </row>
    <row r="26" spans="1:11" x14ac:dyDescent="0.4">
      <c r="A26">
        <v>2022</v>
      </c>
      <c r="B26" t="s">
        <v>5</v>
      </c>
      <c r="C26">
        <v>75</v>
      </c>
      <c r="D26">
        <v>99</v>
      </c>
      <c r="E26">
        <v>464</v>
      </c>
      <c r="F26">
        <v>36</v>
      </c>
      <c r="G26">
        <v>80</v>
      </c>
      <c r="H26">
        <v>54</v>
      </c>
      <c r="I26">
        <v>84</v>
      </c>
      <c r="J26">
        <v>298</v>
      </c>
      <c r="K26">
        <v>284</v>
      </c>
    </row>
    <row r="27" spans="1:11" x14ac:dyDescent="0.4">
      <c r="A27">
        <v>2023</v>
      </c>
      <c r="B27" t="s">
        <v>5</v>
      </c>
      <c r="C27">
        <v>129</v>
      </c>
      <c r="D27">
        <v>80</v>
      </c>
      <c r="E27">
        <v>526</v>
      </c>
      <c r="F27">
        <v>28</v>
      </c>
      <c r="G27">
        <v>110</v>
      </c>
      <c r="H27">
        <v>54</v>
      </c>
      <c r="I27">
        <v>84</v>
      </c>
      <c r="J27">
        <v>214</v>
      </c>
      <c r="K27">
        <v>461</v>
      </c>
    </row>
    <row r="28" spans="1:11" x14ac:dyDescent="0.4">
      <c r="A28">
        <v>2024</v>
      </c>
      <c r="B28" t="s">
        <v>5</v>
      </c>
      <c r="C28">
        <v>83</v>
      </c>
      <c r="D28">
        <v>176</v>
      </c>
      <c r="E28">
        <v>578</v>
      </c>
      <c r="F28">
        <v>27</v>
      </c>
      <c r="G28">
        <v>110</v>
      </c>
      <c r="H28">
        <v>54</v>
      </c>
      <c r="I28">
        <v>84</v>
      </c>
      <c r="J28">
        <v>584</v>
      </c>
      <c r="K28">
        <v>461</v>
      </c>
    </row>
    <row r="29" spans="1:11" x14ac:dyDescent="0.4">
      <c r="A29">
        <v>2025</v>
      </c>
      <c r="B29" t="s">
        <v>5</v>
      </c>
      <c r="C29">
        <v>316</v>
      </c>
      <c r="D29">
        <v>125</v>
      </c>
      <c r="E29">
        <v>904</v>
      </c>
      <c r="F29">
        <v>58</v>
      </c>
      <c r="G29">
        <v>191</v>
      </c>
      <c r="H29">
        <v>85</v>
      </c>
      <c r="I29">
        <v>166</v>
      </c>
      <c r="J29">
        <v>228</v>
      </c>
      <c r="K29">
        <v>326</v>
      </c>
    </row>
    <row r="30" spans="1:11" x14ac:dyDescent="0.4">
      <c r="A30">
        <v>2026</v>
      </c>
      <c r="B30" t="s">
        <v>5</v>
      </c>
      <c r="C30">
        <v>316</v>
      </c>
      <c r="D30">
        <v>125</v>
      </c>
      <c r="E30">
        <v>904</v>
      </c>
      <c r="F30">
        <v>58</v>
      </c>
      <c r="G30">
        <v>191</v>
      </c>
      <c r="H30">
        <v>85</v>
      </c>
      <c r="I30">
        <v>166</v>
      </c>
      <c r="J30">
        <v>228</v>
      </c>
      <c r="K30">
        <v>326</v>
      </c>
    </row>
    <row r="31" spans="1:11" x14ac:dyDescent="0.4">
      <c r="A31">
        <v>2027</v>
      </c>
      <c r="B31" t="s">
        <v>5</v>
      </c>
      <c r="C31">
        <v>316</v>
      </c>
      <c r="D31">
        <v>125</v>
      </c>
      <c r="E31">
        <v>904</v>
      </c>
      <c r="F31">
        <v>58</v>
      </c>
      <c r="G31">
        <v>191</v>
      </c>
      <c r="H31">
        <v>85</v>
      </c>
      <c r="I31">
        <v>166</v>
      </c>
      <c r="J31">
        <v>228</v>
      </c>
      <c r="K31">
        <v>326</v>
      </c>
    </row>
    <row r="32" spans="1:11" x14ac:dyDescent="0.4">
      <c r="A32">
        <v>2028</v>
      </c>
      <c r="B32" t="s">
        <v>5</v>
      </c>
      <c r="C32">
        <v>198</v>
      </c>
      <c r="D32">
        <v>130</v>
      </c>
      <c r="E32">
        <v>740</v>
      </c>
      <c r="F32">
        <v>71</v>
      </c>
      <c r="G32">
        <v>169</v>
      </c>
      <c r="H32">
        <v>94</v>
      </c>
      <c r="I32">
        <v>180</v>
      </c>
      <c r="J32">
        <v>399</v>
      </c>
      <c r="K32">
        <v>318</v>
      </c>
    </row>
    <row r="33" spans="1:11" x14ac:dyDescent="0.4">
      <c r="A33">
        <v>2029</v>
      </c>
      <c r="B33" t="s">
        <v>5</v>
      </c>
      <c r="C33">
        <v>198</v>
      </c>
      <c r="D33">
        <v>130</v>
      </c>
      <c r="E33">
        <v>740</v>
      </c>
      <c r="F33">
        <v>71</v>
      </c>
      <c r="G33">
        <v>169</v>
      </c>
      <c r="H33">
        <v>94</v>
      </c>
      <c r="I33">
        <v>180</v>
      </c>
      <c r="J33">
        <v>399</v>
      </c>
      <c r="K33">
        <v>318</v>
      </c>
    </row>
    <row r="34" spans="1:11" x14ac:dyDescent="0.4">
      <c r="A34">
        <v>2030</v>
      </c>
      <c r="B34" t="s">
        <v>5</v>
      </c>
      <c r="C34">
        <v>198</v>
      </c>
      <c r="D34">
        <v>130</v>
      </c>
      <c r="E34">
        <v>740</v>
      </c>
      <c r="F34">
        <v>71</v>
      </c>
      <c r="G34">
        <v>169</v>
      </c>
      <c r="H34">
        <v>94</v>
      </c>
      <c r="I34">
        <v>180</v>
      </c>
      <c r="J34">
        <v>399</v>
      </c>
      <c r="K34">
        <v>318</v>
      </c>
    </row>
    <row r="35" spans="1:11" x14ac:dyDescent="0.4">
      <c r="A35">
        <v>2031</v>
      </c>
      <c r="B35" t="s">
        <v>5</v>
      </c>
      <c r="C35">
        <v>198</v>
      </c>
      <c r="D35">
        <v>130</v>
      </c>
      <c r="E35">
        <v>740</v>
      </c>
      <c r="F35">
        <v>71</v>
      </c>
      <c r="G35">
        <v>169</v>
      </c>
      <c r="H35">
        <v>94</v>
      </c>
      <c r="I35">
        <v>180</v>
      </c>
      <c r="J35">
        <v>399</v>
      </c>
      <c r="K35">
        <v>318</v>
      </c>
    </row>
    <row r="36" spans="1:11" x14ac:dyDescent="0.4">
      <c r="A36">
        <v>2032</v>
      </c>
      <c r="B36" t="s">
        <v>5</v>
      </c>
      <c r="C36">
        <v>189</v>
      </c>
      <c r="D36">
        <v>125</v>
      </c>
      <c r="E36">
        <v>708</v>
      </c>
      <c r="F36">
        <v>68</v>
      </c>
      <c r="G36">
        <v>162</v>
      </c>
      <c r="H36">
        <v>90</v>
      </c>
      <c r="I36">
        <v>173</v>
      </c>
      <c r="J36">
        <v>381</v>
      </c>
      <c r="K36">
        <v>304</v>
      </c>
    </row>
    <row r="37" spans="1:11" x14ac:dyDescent="0.4">
      <c r="A37">
        <v>2033</v>
      </c>
      <c r="B37" t="s">
        <v>5</v>
      </c>
      <c r="C37">
        <v>189</v>
      </c>
      <c r="D37">
        <v>125</v>
      </c>
      <c r="E37">
        <v>708</v>
      </c>
      <c r="F37">
        <v>68</v>
      </c>
      <c r="G37">
        <v>162</v>
      </c>
      <c r="H37">
        <v>90</v>
      </c>
      <c r="I37">
        <v>173</v>
      </c>
      <c r="J37">
        <v>381</v>
      </c>
      <c r="K37">
        <v>304</v>
      </c>
    </row>
    <row r="38" spans="1:11" x14ac:dyDescent="0.4">
      <c r="A38">
        <v>2034</v>
      </c>
      <c r="B38" t="s">
        <v>5</v>
      </c>
      <c r="C38">
        <v>189</v>
      </c>
      <c r="D38">
        <v>125</v>
      </c>
      <c r="E38">
        <v>708</v>
      </c>
      <c r="F38">
        <v>68</v>
      </c>
      <c r="G38">
        <v>162</v>
      </c>
      <c r="H38">
        <v>90</v>
      </c>
      <c r="I38">
        <v>173</v>
      </c>
      <c r="J38">
        <v>381</v>
      </c>
      <c r="K38">
        <v>304</v>
      </c>
    </row>
    <row r="40" spans="1:11" x14ac:dyDescent="0.4">
      <c r="A40" t="s">
        <v>41</v>
      </c>
      <c r="B40" t="s">
        <v>40</v>
      </c>
      <c r="C40" t="s">
        <v>32</v>
      </c>
    </row>
    <row r="42" spans="1:11" x14ac:dyDescent="0.4">
      <c r="A42" t="s">
        <v>22</v>
      </c>
      <c r="B42" t="s">
        <v>39</v>
      </c>
      <c r="C42" t="s">
        <v>38</v>
      </c>
      <c r="D42" t="s">
        <v>88</v>
      </c>
    </row>
    <row r="44" spans="1:11" x14ac:dyDescent="0.4">
      <c r="A44">
        <v>2021</v>
      </c>
      <c r="B44">
        <v>0.121</v>
      </c>
      <c r="C44">
        <v>0.83909999999999996</v>
      </c>
      <c r="D44">
        <v>0.04</v>
      </c>
    </row>
    <row r="45" spans="1:11" x14ac:dyDescent="0.4">
      <c r="A45">
        <v>2022</v>
      </c>
      <c r="B45">
        <v>0.12089999999999999</v>
      </c>
      <c r="C45">
        <v>0.83779999999999999</v>
      </c>
      <c r="D45">
        <v>4.1200000000000001E-2</v>
      </c>
    </row>
    <row r="46" spans="1:11" x14ac:dyDescent="0.4">
      <c r="A46">
        <v>2023</v>
      </c>
      <c r="B46">
        <v>0.1192</v>
      </c>
      <c r="C46">
        <v>0.84</v>
      </c>
      <c r="D46">
        <v>4.0800000000000003E-2</v>
      </c>
    </row>
    <row r="47" spans="1:11" x14ac:dyDescent="0.4">
      <c r="A47">
        <v>2024</v>
      </c>
      <c r="B47">
        <v>0.1196</v>
      </c>
      <c r="C47">
        <v>0.84130000000000005</v>
      </c>
      <c r="D47">
        <v>3.9100000000000003E-2</v>
      </c>
    </row>
    <row r="48" spans="1:11" x14ac:dyDescent="0.4">
      <c r="A48">
        <v>2025</v>
      </c>
      <c r="B48">
        <v>0.1211</v>
      </c>
      <c r="C48">
        <v>0.83809999999999996</v>
      </c>
      <c r="D48">
        <v>4.0800000000000003E-2</v>
      </c>
    </row>
    <row r="49" spans="1:4" x14ac:dyDescent="0.4">
      <c r="A49">
        <v>2026</v>
      </c>
      <c r="B49">
        <v>0.1191</v>
      </c>
      <c r="C49">
        <v>0.84099999999999997</v>
      </c>
      <c r="D49">
        <v>3.9899999999999998E-2</v>
      </c>
    </row>
    <row r="50" spans="1:4" x14ac:dyDescent="0.4">
      <c r="A50">
        <v>2027</v>
      </c>
      <c r="B50">
        <v>0.11840000000000001</v>
      </c>
      <c r="C50">
        <v>0.8417</v>
      </c>
      <c r="D50">
        <v>3.9899999999999998E-2</v>
      </c>
    </row>
    <row r="51" spans="1:4" x14ac:dyDescent="0.4">
      <c r="A51">
        <v>2028</v>
      </c>
      <c r="B51">
        <v>0.11990000000000001</v>
      </c>
      <c r="C51">
        <v>0.84019999999999995</v>
      </c>
      <c r="D51">
        <v>3.9899999999999998E-2</v>
      </c>
    </row>
    <row r="52" spans="1:4" x14ac:dyDescent="0.4">
      <c r="A52">
        <v>2029</v>
      </c>
      <c r="B52">
        <v>0.12130000000000001</v>
      </c>
      <c r="C52">
        <v>0.83760000000000001</v>
      </c>
      <c r="D52">
        <v>4.1200000000000001E-2</v>
      </c>
    </row>
    <row r="53" spans="1:4" x14ac:dyDescent="0.4">
      <c r="A53">
        <v>2030</v>
      </c>
      <c r="B53">
        <v>0.1217</v>
      </c>
      <c r="C53">
        <v>0.83909999999999996</v>
      </c>
      <c r="D53">
        <v>3.9199999999999999E-2</v>
      </c>
    </row>
    <row r="54" spans="1:4" x14ac:dyDescent="0.4">
      <c r="A54">
        <v>2031</v>
      </c>
      <c r="B54">
        <v>0.12039999999999999</v>
      </c>
      <c r="C54">
        <v>0.83989999999999998</v>
      </c>
      <c r="D54">
        <v>3.9600000000000003E-2</v>
      </c>
    </row>
    <row r="55" spans="1:4" x14ac:dyDescent="0.4">
      <c r="A55">
        <v>2032</v>
      </c>
      <c r="B55">
        <v>0.1203</v>
      </c>
      <c r="C55">
        <v>0.84</v>
      </c>
      <c r="D55">
        <v>3.9699999999999999E-2</v>
      </c>
    </row>
    <row r="56" spans="1:4" x14ac:dyDescent="0.4">
      <c r="A56">
        <v>2033</v>
      </c>
      <c r="B56">
        <v>0.1217</v>
      </c>
      <c r="C56">
        <v>0.83830000000000005</v>
      </c>
      <c r="D56">
        <v>0.04</v>
      </c>
    </row>
    <row r="57" spans="1:4" x14ac:dyDescent="0.4">
      <c r="A57">
        <v>2034</v>
      </c>
      <c r="B57">
        <v>0.1207</v>
      </c>
      <c r="C57">
        <v>0.83860000000000001</v>
      </c>
      <c r="D57">
        <v>4.0599999999999997E-2</v>
      </c>
    </row>
    <row r="59" spans="1:4" x14ac:dyDescent="0.4">
      <c r="A59" t="s">
        <v>11</v>
      </c>
      <c r="B59">
        <v>1000</v>
      </c>
      <c r="C59" t="s">
        <v>30</v>
      </c>
    </row>
    <row r="61" spans="1:4" x14ac:dyDescent="0.4">
      <c r="A61" t="s">
        <v>22</v>
      </c>
      <c r="B61" t="s">
        <v>37</v>
      </c>
      <c r="C61" t="s">
        <v>34</v>
      </c>
      <c r="D61" t="s">
        <v>33</v>
      </c>
    </row>
    <row r="62" spans="1:4" x14ac:dyDescent="0.4">
      <c r="A62">
        <v>2021</v>
      </c>
      <c r="B62">
        <v>173.7373</v>
      </c>
      <c r="C62">
        <v>82.001300000000001</v>
      </c>
    </row>
    <row r="63" spans="1:4" x14ac:dyDescent="0.4">
      <c r="A63">
        <v>2022</v>
      </c>
      <c r="B63">
        <v>174.44040000000001</v>
      </c>
      <c r="C63">
        <v>83.611699999999999</v>
      </c>
    </row>
    <row r="64" spans="1:4" x14ac:dyDescent="0.4">
      <c r="A64">
        <v>2023</v>
      </c>
      <c r="B64">
        <v>174.64949999999999</v>
      </c>
      <c r="C64">
        <v>84.580399999999997</v>
      </c>
    </row>
    <row r="65" spans="1:11" x14ac:dyDescent="0.4">
      <c r="A65">
        <v>2024</v>
      </c>
      <c r="B65">
        <v>174.67599999999999</v>
      </c>
      <c r="C65">
        <v>84.492099999999994</v>
      </c>
    </row>
    <row r="66" spans="1:11" x14ac:dyDescent="0.4">
      <c r="A66">
        <v>2025</v>
      </c>
      <c r="B66">
        <v>174.97460000000001</v>
      </c>
      <c r="C66">
        <v>84.378200000000007</v>
      </c>
    </row>
    <row r="67" spans="1:11" x14ac:dyDescent="0.4">
      <c r="A67">
        <v>2026</v>
      </c>
      <c r="B67">
        <v>174.3015</v>
      </c>
      <c r="C67">
        <v>83.667500000000004</v>
      </c>
    </row>
    <row r="68" spans="1:11" x14ac:dyDescent="0.4">
      <c r="A68">
        <v>2027</v>
      </c>
      <c r="B68">
        <v>174.2389</v>
      </c>
      <c r="C68">
        <v>82.314099999999996</v>
      </c>
    </row>
    <row r="69" spans="1:11" x14ac:dyDescent="0.4">
      <c r="A69">
        <v>2028</v>
      </c>
      <c r="B69">
        <v>174.02600000000001</v>
      </c>
      <c r="C69">
        <v>83.348699999999994</v>
      </c>
    </row>
    <row r="70" spans="1:11" x14ac:dyDescent="0.4">
      <c r="A70">
        <v>2029</v>
      </c>
      <c r="B70">
        <v>173.8192</v>
      </c>
      <c r="C70">
        <v>81.855599999999995</v>
      </c>
    </row>
    <row r="71" spans="1:11" x14ac:dyDescent="0.4">
      <c r="A71">
        <v>2030</v>
      </c>
      <c r="B71">
        <v>173.72219999999999</v>
      </c>
      <c r="C71">
        <v>82.0137</v>
      </c>
    </row>
    <row r="72" spans="1:11" x14ac:dyDescent="0.4">
      <c r="A72">
        <v>2031</v>
      </c>
      <c r="B72">
        <v>173.9778</v>
      </c>
      <c r="C72">
        <v>82.776899999999998</v>
      </c>
    </row>
    <row r="73" spans="1:11" x14ac:dyDescent="0.4">
      <c r="A73">
        <v>2032</v>
      </c>
      <c r="B73">
        <v>173.9571</v>
      </c>
      <c r="C73">
        <v>82.825100000000006</v>
      </c>
    </row>
    <row r="74" spans="1:11" x14ac:dyDescent="0.4">
      <c r="A74">
        <v>2033</v>
      </c>
      <c r="B74">
        <v>173.7696</v>
      </c>
      <c r="C74">
        <v>83.130300000000005</v>
      </c>
    </row>
    <row r="75" spans="1:11" x14ac:dyDescent="0.4">
      <c r="A75">
        <v>2034</v>
      </c>
      <c r="B75">
        <v>173.89240000000001</v>
      </c>
      <c r="C75">
        <v>82.652600000000007</v>
      </c>
    </row>
    <row r="77" spans="1:11" x14ac:dyDescent="0.4">
      <c r="A77" t="s">
        <v>11</v>
      </c>
      <c r="B77" t="s">
        <v>32</v>
      </c>
    </row>
    <row r="79" spans="1:11" x14ac:dyDescent="0.4">
      <c r="A79" t="s">
        <v>22</v>
      </c>
      <c r="B79" t="s">
        <v>37</v>
      </c>
      <c r="C79" s="2">
        <v>0.01</v>
      </c>
      <c r="D79" s="2">
        <v>0.05</v>
      </c>
      <c r="E79" s="2">
        <v>0.1</v>
      </c>
      <c r="F79" s="2">
        <v>0.25</v>
      </c>
      <c r="G79" s="2">
        <v>0.5</v>
      </c>
      <c r="H79" s="2">
        <v>0.75</v>
      </c>
      <c r="I79" s="2">
        <v>0.9</v>
      </c>
      <c r="J79" s="2">
        <v>0.95</v>
      </c>
      <c r="K79" s="2">
        <v>0.99</v>
      </c>
    </row>
    <row r="80" spans="1:11" x14ac:dyDescent="0.4">
      <c r="A80">
        <v>2021</v>
      </c>
      <c r="B80">
        <v>68.662899999999993</v>
      </c>
      <c r="C80">
        <v>70.8964</v>
      </c>
      <c r="D80">
        <v>79.197000000000003</v>
      </c>
      <c r="E80">
        <v>105.1951</v>
      </c>
      <c r="F80">
        <v>168.54089999999999</v>
      </c>
      <c r="G80">
        <v>236.69839999999999</v>
      </c>
      <c r="H80">
        <v>279.37040000000002</v>
      </c>
      <c r="I80">
        <v>306.25749999999999</v>
      </c>
      <c r="J80">
        <v>325.45209999999997</v>
      </c>
    </row>
    <row r="81" spans="1:10" x14ac:dyDescent="0.4">
      <c r="A81">
        <v>2022</v>
      </c>
      <c r="B81">
        <v>68.669700000000006</v>
      </c>
      <c r="C81">
        <v>70.903400000000005</v>
      </c>
      <c r="D81">
        <v>79.215000000000003</v>
      </c>
      <c r="E81">
        <v>105.13209999999999</v>
      </c>
      <c r="F81">
        <v>168.56700000000001</v>
      </c>
      <c r="G81">
        <v>236.8441</v>
      </c>
      <c r="H81">
        <v>280.07740000000001</v>
      </c>
      <c r="I81">
        <v>306.95890000000003</v>
      </c>
      <c r="J81">
        <v>342.47890000000001</v>
      </c>
    </row>
    <row r="82" spans="1:10" x14ac:dyDescent="0.4">
      <c r="A82">
        <v>2023</v>
      </c>
      <c r="B82">
        <v>68.643600000000006</v>
      </c>
      <c r="C82">
        <v>70.575199999999995</v>
      </c>
      <c r="D82">
        <v>79.055199999999999</v>
      </c>
      <c r="E82">
        <v>104.75879999999999</v>
      </c>
      <c r="F82">
        <v>168.5874</v>
      </c>
      <c r="G82">
        <v>236.69640000000001</v>
      </c>
      <c r="H82">
        <v>280.78579999999999</v>
      </c>
      <c r="I82">
        <v>307.37439999999998</v>
      </c>
      <c r="J82">
        <v>354.7226</v>
      </c>
    </row>
    <row r="83" spans="1:10" x14ac:dyDescent="0.4">
      <c r="A83">
        <v>2024</v>
      </c>
      <c r="B83">
        <v>68.657899999999998</v>
      </c>
      <c r="C83">
        <v>70.639399999999995</v>
      </c>
      <c r="D83">
        <v>79.060599999999994</v>
      </c>
      <c r="E83">
        <v>104.7533</v>
      </c>
      <c r="F83">
        <v>168.5908</v>
      </c>
      <c r="G83">
        <v>237.011</v>
      </c>
      <c r="H83">
        <v>280.95389999999998</v>
      </c>
      <c r="I83">
        <v>307.8879</v>
      </c>
      <c r="J83">
        <v>352.36709999999999</v>
      </c>
    </row>
    <row r="84" spans="1:10" x14ac:dyDescent="0.4">
      <c r="A84">
        <v>2025</v>
      </c>
      <c r="B84">
        <v>68.658000000000001</v>
      </c>
      <c r="C84">
        <v>70.751000000000005</v>
      </c>
      <c r="D84">
        <v>79.139399999999995</v>
      </c>
      <c r="E84">
        <v>105.07089999999999</v>
      </c>
      <c r="F84">
        <v>168.6232</v>
      </c>
      <c r="G84">
        <v>237.17949999999999</v>
      </c>
      <c r="H84">
        <v>281.26940000000002</v>
      </c>
      <c r="I84">
        <v>307.93700000000001</v>
      </c>
      <c r="J84">
        <v>358.07530000000003</v>
      </c>
    </row>
    <row r="85" spans="1:10" x14ac:dyDescent="0.4">
      <c r="A85">
        <v>2026</v>
      </c>
      <c r="B85">
        <v>68.662000000000006</v>
      </c>
      <c r="C85">
        <v>70.922300000000007</v>
      </c>
      <c r="D85">
        <v>79.182599999999994</v>
      </c>
      <c r="E85">
        <v>105.0825</v>
      </c>
      <c r="F85">
        <v>168.5309</v>
      </c>
      <c r="G85">
        <v>236.48609999999999</v>
      </c>
      <c r="H85">
        <v>280.61700000000002</v>
      </c>
      <c r="I85">
        <v>307.55040000000002</v>
      </c>
      <c r="J85">
        <v>341.44389999999999</v>
      </c>
    </row>
    <row r="86" spans="1:10" x14ac:dyDescent="0.4">
      <c r="A86">
        <v>2027</v>
      </c>
      <c r="B86">
        <v>68.661799999999999</v>
      </c>
      <c r="C86">
        <v>70.799499999999995</v>
      </c>
      <c r="D86">
        <v>79.167900000000003</v>
      </c>
      <c r="E86">
        <v>105.3074</v>
      </c>
      <c r="F86">
        <v>168.58940000000001</v>
      </c>
      <c r="G86">
        <v>236.7003</v>
      </c>
      <c r="H86">
        <v>279.14179999999999</v>
      </c>
      <c r="I86">
        <v>306.45569999999998</v>
      </c>
      <c r="J86">
        <v>337.28429999999997</v>
      </c>
    </row>
    <row r="87" spans="1:10" x14ac:dyDescent="0.4">
      <c r="A87">
        <v>2028</v>
      </c>
      <c r="B87">
        <v>68.654300000000006</v>
      </c>
      <c r="C87">
        <v>70.874799999999993</v>
      </c>
      <c r="D87">
        <v>79.156099999999995</v>
      </c>
      <c r="E87">
        <v>105.0351</v>
      </c>
      <c r="F87">
        <v>168.46799999999999</v>
      </c>
      <c r="G87">
        <v>236.53380000000001</v>
      </c>
      <c r="H87">
        <v>279.88490000000002</v>
      </c>
      <c r="I87">
        <v>307.23739999999998</v>
      </c>
      <c r="J87">
        <v>341.71570000000003</v>
      </c>
    </row>
    <row r="88" spans="1:10" x14ac:dyDescent="0.4">
      <c r="A88">
        <v>2029</v>
      </c>
      <c r="B88">
        <v>68.665800000000004</v>
      </c>
      <c r="C88">
        <v>70.812399999999997</v>
      </c>
      <c r="D88">
        <v>79.1143</v>
      </c>
      <c r="E88">
        <v>104.8463</v>
      </c>
      <c r="F88">
        <v>168.5275</v>
      </c>
      <c r="G88">
        <v>236.56870000000001</v>
      </c>
      <c r="H88">
        <v>280.00130000000001</v>
      </c>
      <c r="I88">
        <v>306.67450000000002</v>
      </c>
      <c r="J88">
        <v>327.81569999999999</v>
      </c>
    </row>
    <row r="89" spans="1:10" x14ac:dyDescent="0.4">
      <c r="A89">
        <v>2030</v>
      </c>
      <c r="B89">
        <v>68.645600000000002</v>
      </c>
      <c r="C89">
        <v>70.723799999999997</v>
      </c>
      <c r="D89">
        <v>79.150499999999994</v>
      </c>
      <c r="E89">
        <v>104.8477</v>
      </c>
      <c r="F89">
        <v>168.542</v>
      </c>
      <c r="G89">
        <v>236.30459999999999</v>
      </c>
      <c r="H89">
        <v>279.40839999999997</v>
      </c>
      <c r="I89">
        <v>306.24430000000001</v>
      </c>
      <c r="J89">
        <v>327.5265</v>
      </c>
    </row>
    <row r="90" spans="1:10" x14ac:dyDescent="0.4">
      <c r="A90">
        <v>2031</v>
      </c>
      <c r="B90">
        <v>68.658000000000001</v>
      </c>
      <c r="C90">
        <v>70.573400000000007</v>
      </c>
      <c r="D90">
        <v>78.949100000000001</v>
      </c>
      <c r="E90">
        <v>104.94329999999999</v>
      </c>
      <c r="F90">
        <v>168.55869999999999</v>
      </c>
      <c r="G90">
        <v>236.68219999999999</v>
      </c>
      <c r="H90">
        <v>279.09449999999998</v>
      </c>
      <c r="I90">
        <v>306.78120000000001</v>
      </c>
      <c r="J90">
        <v>329.84519999999998</v>
      </c>
    </row>
    <row r="91" spans="1:10" x14ac:dyDescent="0.4">
      <c r="A91">
        <v>2032</v>
      </c>
      <c r="B91">
        <v>68.631600000000006</v>
      </c>
      <c r="C91">
        <v>70.505499999999998</v>
      </c>
      <c r="D91">
        <v>78.856300000000005</v>
      </c>
      <c r="E91">
        <v>104.7714</v>
      </c>
      <c r="F91">
        <v>168.5301</v>
      </c>
      <c r="G91">
        <v>236.93639999999999</v>
      </c>
      <c r="H91">
        <v>280.255</v>
      </c>
      <c r="I91">
        <v>307.17700000000002</v>
      </c>
      <c r="J91">
        <v>328.59620000000001</v>
      </c>
    </row>
    <row r="92" spans="1:10" x14ac:dyDescent="0.4">
      <c r="A92">
        <v>2033</v>
      </c>
      <c r="B92">
        <v>68.659300000000002</v>
      </c>
      <c r="C92">
        <v>70.656700000000001</v>
      </c>
      <c r="D92">
        <v>79.067599999999999</v>
      </c>
      <c r="E92">
        <v>104.85590000000001</v>
      </c>
      <c r="F92">
        <v>168.44229999999999</v>
      </c>
      <c r="G92">
        <v>236.7124</v>
      </c>
      <c r="H92">
        <v>280.27280000000002</v>
      </c>
      <c r="I92">
        <v>306.47280000000001</v>
      </c>
      <c r="J92">
        <v>327.53949999999998</v>
      </c>
    </row>
    <row r="93" spans="1:10" x14ac:dyDescent="0.4">
      <c r="A93">
        <v>2034</v>
      </c>
      <c r="B93">
        <v>68.649000000000001</v>
      </c>
      <c r="C93">
        <v>70.588899999999995</v>
      </c>
      <c r="D93">
        <v>78.908600000000007</v>
      </c>
      <c r="E93">
        <v>104.6806</v>
      </c>
      <c r="F93">
        <v>168.46090000000001</v>
      </c>
      <c r="G93">
        <v>236.80699999999999</v>
      </c>
      <c r="H93">
        <v>280.17439999999999</v>
      </c>
      <c r="I93">
        <v>306.7475</v>
      </c>
      <c r="J93">
        <v>336.74849999999998</v>
      </c>
    </row>
    <row r="95" spans="1:10" x14ac:dyDescent="0.4">
      <c r="A95" t="s">
        <v>10</v>
      </c>
      <c r="B95" t="s">
        <v>3</v>
      </c>
      <c r="C95" t="s">
        <v>6</v>
      </c>
      <c r="D95" t="s">
        <v>36</v>
      </c>
      <c r="E95">
        <v>1000</v>
      </c>
      <c r="F95" t="s">
        <v>35</v>
      </c>
    </row>
    <row r="97" spans="1:3" x14ac:dyDescent="0.4">
      <c r="A97" t="s">
        <v>22</v>
      </c>
      <c r="B97" t="s">
        <v>34</v>
      </c>
      <c r="C97" t="s">
        <v>33</v>
      </c>
    </row>
    <row r="98" spans="1:3" x14ac:dyDescent="0.4">
      <c r="A98">
        <v>2021</v>
      </c>
      <c r="B98">
        <v>2.7366999999999999</v>
      </c>
      <c r="C98">
        <v>0.62580000000000002</v>
      </c>
    </row>
    <row r="99" spans="1:3" x14ac:dyDescent="0.4">
      <c r="A99">
        <v>2022</v>
      </c>
      <c r="B99">
        <v>4.0561999999999996</v>
      </c>
      <c r="C99">
        <v>0.86240000000000006</v>
      </c>
    </row>
    <row r="100" spans="1:3" x14ac:dyDescent="0.4">
      <c r="A100">
        <v>2023</v>
      </c>
      <c r="B100">
        <v>5.6542000000000003</v>
      </c>
      <c r="C100">
        <v>1.4209000000000001</v>
      </c>
    </row>
    <row r="101" spans="1:3" x14ac:dyDescent="0.4">
      <c r="A101">
        <v>2024</v>
      </c>
      <c r="B101">
        <v>5.8766999999999996</v>
      </c>
      <c r="C101">
        <v>1.7236</v>
      </c>
    </row>
    <row r="102" spans="1:3" x14ac:dyDescent="0.4">
      <c r="A102">
        <v>2025</v>
      </c>
      <c r="B102">
        <v>5.5785999999999998</v>
      </c>
      <c r="C102">
        <v>1.9107000000000001</v>
      </c>
    </row>
    <row r="103" spans="1:3" x14ac:dyDescent="0.4">
      <c r="A103">
        <v>2026</v>
      </c>
      <c r="B103">
        <v>5.1942000000000004</v>
      </c>
      <c r="C103">
        <v>2.0213000000000001</v>
      </c>
    </row>
    <row r="104" spans="1:3" x14ac:dyDescent="0.4">
      <c r="A104">
        <v>2027</v>
      </c>
      <c r="B104">
        <v>4.8963999999999999</v>
      </c>
      <c r="C104">
        <v>2.0838000000000001</v>
      </c>
    </row>
    <row r="105" spans="1:3" x14ac:dyDescent="0.4">
      <c r="A105">
        <v>2028</v>
      </c>
      <c r="B105">
        <v>4.7191000000000001</v>
      </c>
      <c r="C105">
        <v>2.1122999999999998</v>
      </c>
    </row>
    <row r="106" spans="1:3" x14ac:dyDescent="0.4">
      <c r="A106">
        <v>2029</v>
      </c>
      <c r="B106">
        <v>4.5978000000000003</v>
      </c>
      <c r="C106">
        <v>2.1227999999999998</v>
      </c>
    </row>
    <row r="107" spans="1:3" x14ac:dyDescent="0.4">
      <c r="A107">
        <v>2030</v>
      </c>
      <c r="B107">
        <v>4.4889999999999999</v>
      </c>
      <c r="C107">
        <v>2.1229</v>
      </c>
    </row>
    <row r="108" spans="1:3" x14ac:dyDescent="0.4">
      <c r="A108">
        <v>2031</v>
      </c>
      <c r="B108">
        <v>4.4008000000000003</v>
      </c>
      <c r="C108">
        <v>2.1236999999999999</v>
      </c>
    </row>
    <row r="109" spans="1:3" x14ac:dyDescent="0.4">
      <c r="A109">
        <v>2032</v>
      </c>
      <c r="B109">
        <v>4.3682999999999996</v>
      </c>
      <c r="C109">
        <v>2.1208999999999998</v>
      </c>
    </row>
    <row r="110" spans="1:3" x14ac:dyDescent="0.4">
      <c r="A110">
        <v>2033</v>
      </c>
      <c r="B110">
        <v>4.3798000000000004</v>
      </c>
      <c r="C110">
        <v>2.1244000000000001</v>
      </c>
    </row>
    <row r="111" spans="1:3" x14ac:dyDescent="0.4">
      <c r="A111">
        <v>2034</v>
      </c>
      <c r="B111">
        <v>4.3958000000000004</v>
      </c>
      <c r="C111">
        <v>2.1351</v>
      </c>
    </row>
    <row r="113" spans="1:20" x14ac:dyDescent="0.4">
      <c r="A113" t="s">
        <v>10</v>
      </c>
      <c r="B113" t="s">
        <v>3</v>
      </c>
      <c r="C113" t="s">
        <v>6</v>
      </c>
      <c r="D113" t="s">
        <v>32</v>
      </c>
    </row>
    <row r="115" spans="1:20" x14ac:dyDescent="0.4">
      <c r="A115" t="s">
        <v>22</v>
      </c>
      <c r="B115" s="2">
        <v>0.01</v>
      </c>
      <c r="C115" s="2">
        <v>0.05</v>
      </c>
      <c r="D115" s="2">
        <v>0.1</v>
      </c>
      <c r="E115" s="2">
        <v>0.25</v>
      </c>
      <c r="F115" s="2">
        <v>0.5</v>
      </c>
      <c r="G115" s="2">
        <v>0.75</v>
      </c>
      <c r="H115" s="2">
        <v>0.9</v>
      </c>
      <c r="I115" s="2">
        <v>0.95</v>
      </c>
      <c r="J115" s="2">
        <v>0.99</v>
      </c>
      <c r="L115" s="2">
        <v>0.01</v>
      </c>
      <c r="M115" s="2">
        <v>0.05</v>
      </c>
      <c r="N115" s="2">
        <v>0.1</v>
      </c>
      <c r="O115" s="2">
        <v>0.25</v>
      </c>
      <c r="P115" s="2">
        <v>0.5</v>
      </c>
      <c r="Q115" s="2">
        <v>0.75</v>
      </c>
      <c r="R115" s="2">
        <v>0.9</v>
      </c>
      <c r="S115" s="2">
        <v>0.95</v>
      </c>
      <c r="T115" s="2">
        <v>0.99</v>
      </c>
    </row>
    <row r="116" spans="1:20" x14ac:dyDescent="0.4">
      <c r="A116">
        <v>2021</v>
      </c>
      <c r="B116">
        <v>1.6082000000000001</v>
      </c>
      <c r="C116">
        <v>1.9802999999999999</v>
      </c>
      <c r="D116">
        <v>2.1175999999999999</v>
      </c>
      <c r="E116">
        <v>2.3359000000000001</v>
      </c>
      <c r="F116">
        <v>2.6383999999999999</v>
      </c>
      <c r="G116">
        <v>3.0234999999999999</v>
      </c>
      <c r="H116">
        <v>3.4247000000000001</v>
      </c>
      <c r="I116">
        <v>3.7303999999999999</v>
      </c>
      <c r="J116">
        <v>5.3692000000000002</v>
      </c>
      <c r="L116">
        <f>B116*1000</f>
        <v>1608.2</v>
      </c>
      <c r="M116">
        <f t="shared" ref="M116:T129" si="0">C116*1000</f>
        <v>1980.3</v>
      </c>
      <c r="N116">
        <f t="shared" si="0"/>
        <v>2117.6</v>
      </c>
      <c r="O116">
        <f t="shared" si="0"/>
        <v>2335.9</v>
      </c>
      <c r="P116">
        <f t="shared" si="0"/>
        <v>2638.3999999999996</v>
      </c>
      <c r="Q116">
        <f t="shared" si="0"/>
        <v>3023.5</v>
      </c>
      <c r="R116">
        <f t="shared" si="0"/>
        <v>3424.7000000000003</v>
      </c>
      <c r="S116">
        <f t="shared" si="0"/>
        <v>3730.4</v>
      </c>
      <c r="T116">
        <f t="shared" si="0"/>
        <v>5369.2</v>
      </c>
    </row>
    <row r="117" spans="1:20" x14ac:dyDescent="0.4">
      <c r="A117">
        <v>2022</v>
      </c>
      <c r="B117">
        <v>2.3058000000000001</v>
      </c>
      <c r="C117">
        <v>2.8069999999999999</v>
      </c>
      <c r="D117">
        <v>3.0375000000000001</v>
      </c>
      <c r="E117">
        <v>3.4803999999999999</v>
      </c>
      <c r="F117">
        <v>3.9729000000000001</v>
      </c>
      <c r="G117">
        <v>4.5179999999999998</v>
      </c>
      <c r="H117">
        <v>5.1978</v>
      </c>
      <c r="I117">
        <v>5.6345999999999998</v>
      </c>
      <c r="J117">
        <v>6.6082999999999998</v>
      </c>
      <c r="L117">
        <f t="shared" ref="L117:L129" si="1">B117*1000</f>
        <v>2305.8000000000002</v>
      </c>
      <c r="M117">
        <f t="shared" si="0"/>
        <v>2807</v>
      </c>
      <c r="N117">
        <f t="shared" si="0"/>
        <v>3037.5</v>
      </c>
      <c r="O117">
        <f t="shared" si="0"/>
        <v>3480.4</v>
      </c>
      <c r="P117">
        <f t="shared" si="0"/>
        <v>3972.9</v>
      </c>
      <c r="Q117">
        <f t="shared" si="0"/>
        <v>4518</v>
      </c>
      <c r="R117">
        <f t="shared" si="0"/>
        <v>5197.8</v>
      </c>
      <c r="S117">
        <f t="shared" si="0"/>
        <v>5634.5999999999995</v>
      </c>
      <c r="T117">
        <f t="shared" si="0"/>
        <v>6608.3</v>
      </c>
    </row>
    <row r="118" spans="1:20" x14ac:dyDescent="0.4">
      <c r="A118">
        <v>2023</v>
      </c>
      <c r="B118">
        <v>3.0348000000000002</v>
      </c>
      <c r="C118">
        <v>3.5943999999999998</v>
      </c>
      <c r="D118">
        <v>3.9409000000000001</v>
      </c>
      <c r="E118">
        <v>4.6197999999999997</v>
      </c>
      <c r="F118">
        <v>5.5208000000000004</v>
      </c>
      <c r="G118">
        <v>6.4878999999999998</v>
      </c>
      <c r="H118">
        <v>7.5834000000000001</v>
      </c>
      <c r="I118">
        <v>8.3034999999999997</v>
      </c>
      <c r="J118">
        <v>9.5325000000000006</v>
      </c>
      <c r="L118">
        <f t="shared" si="1"/>
        <v>3034.8</v>
      </c>
      <c r="M118">
        <f t="shared" si="0"/>
        <v>3594.3999999999996</v>
      </c>
      <c r="N118">
        <f t="shared" si="0"/>
        <v>3940.9</v>
      </c>
      <c r="O118">
        <f t="shared" si="0"/>
        <v>4619.7999999999993</v>
      </c>
      <c r="P118">
        <f t="shared" si="0"/>
        <v>5520.8</v>
      </c>
      <c r="Q118">
        <f t="shared" si="0"/>
        <v>6487.9</v>
      </c>
      <c r="R118">
        <f t="shared" si="0"/>
        <v>7583.4000000000005</v>
      </c>
      <c r="S118">
        <f t="shared" si="0"/>
        <v>8303.5</v>
      </c>
      <c r="T118">
        <f t="shared" si="0"/>
        <v>9532.5</v>
      </c>
    </row>
    <row r="119" spans="1:20" x14ac:dyDescent="0.4">
      <c r="A119">
        <v>2024</v>
      </c>
      <c r="B119">
        <v>2.6484000000000001</v>
      </c>
      <c r="C119">
        <v>3.3616999999999999</v>
      </c>
      <c r="D119">
        <v>3.7947000000000002</v>
      </c>
      <c r="E119">
        <v>4.6376999999999997</v>
      </c>
      <c r="F119">
        <v>5.7159000000000004</v>
      </c>
      <c r="G119">
        <v>6.9470999999999998</v>
      </c>
      <c r="H119">
        <v>8.1353000000000009</v>
      </c>
      <c r="I119">
        <v>8.8902000000000001</v>
      </c>
      <c r="J119">
        <v>10.5245</v>
      </c>
      <c r="L119">
        <f t="shared" si="1"/>
        <v>2648.4</v>
      </c>
      <c r="M119">
        <f t="shared" si="0"/>
        <v>3361.7</v>
      </c>
      <c r="N119">
        <f t="shared" si="0"/>
        <v>3794.7000000000003</v>
      </c>
      <c r="O119">
        <f t="shared" si="0"/>
        <v>4637.7</v>
      </c>
      <c r="P119">
        <f t="shared" si="0"/>
        <v>5715.9000000000005</v>
      </c>
      <c r="Q119">
        <f t="shared" si="0"/>
        <v>6947.0999999999995</v>
      </c>
      <c r="R119">
        <f t="shared" si="0"/>
        <v>8135.3000000000011</v>
      </c>
      <c r="S119">
        <f t="shared" si="0"/>
        <v>8890.2000000000007</v>
      </c>
      <c r="T119">
        <f t="shared" si="0"/>
        <v>10524.5</v>
      </c>
    </row>
    <row r="120" spans="1:20" x14ac:dyDescent="0.4">
      <c r="A120">
        <v>2025</v>
      </c>
      <c r="B120">
        <v>1.9903</v>
      </c>
      <c r="C120">
        <v>2.7976000000000001</v>
      </c>
      <c r="D120">
        <v>3.2879999999999998</v>
      </c>
      <c r="E120">
        <v>4.2236000000000002</v>
      </c>
      <c r="F120">
        <v>5.4135</v>
      </c>
      <c r="G120">
        <v>6.7342000000000004</v>
      </c>
      <c r="H120">
        <v>8.0327999999999999</v>
      </c>
      <c r="I120">
        <v>8.8598999999999997</v>
      </c>
      <c r="J120">
        <v>10.751899999999999</v>
      </c>
      <c r="L120">
        <f t="shared" si="1"/>
        <v>1990.3</v>
      </c>
      <c r="M120">
        <f t="shared" si="0"/>
        <v>2797.6</v>
      </c>
      <c r="N120">
        <f t="shared" si="0"/>
        <v>3288</v>
      </c>
      <c r="O120">
        <f t="shared" si="0"/>
        <v>4223.6000000000004</v>
      </c>
      <c r="P120">
        <f t="shared" si="0"/>
        <v>5413.5</v>
      </c>
      <c r="Q120">
        <f t="shared" si="0"/>
        <v>6734.2000000000007</v>
      </c>
      <c r="R120">
        <f t="shared" si="0"/>
        <v>8032.8</v>
      </c>
      <c r="S120">
        <f t="shared" si="0"/>
        <v>8859.9</v>
      </c>
      <c r="T120">
        <f t="shared" si="0"/>
        <v>10751.9</v>
      </c>
    </row>
    <row r="121" spans="1:20" x14ac:dyDescent="0.4">
      <c r="A121">
        <v>2026</v>
      </c>
      <c r="B121">
        <v>1.4393</v>
      </c>
      <c r="C121">
        <v>2.2724000000000002</v>
      </c>
      <c r="D121">
        <v>2.7945000000000002</v>
      </c>
      <c r="E121">
        <v>3.7713000000000001</v>
      </c>
      <c r="F121">
        <v>5.0148999999999999</v>
      </c>
      <c r="G121">
        <v>6.3903999999999996</v>
      </c>
      <c r="H121">
        <v>7.7582000000000004</v>
      </c>
      <c r="I121">
        <v>8.6590000000000007</v>
      </c>
      <c r="J121">
        <v>10.8009</v>
      </c>
      <c r="L121">
        <f t="shared" si="1"/>
        <v>1439.3</v>
      </c>
      <c r="M121">
        <f t="shared" si="0"/>
        <v>2272.4</v>
      </c>
      <c r="N121">
        <f t="shared" si="0"/>
        <v>2794.5</v>
      </c>
      <c r="O121">
        <f t="shared" si="0"/>
        <v>3771.3</v>
      </c>
      <c r="P121">
        <f t="shared" si="0"/>
        <v>5014.8999999999996</v>
      </c>
      <c r="Q121">
        <f t="shared" si="0"/>
        <v>6390.4</v>
      </c>
      <c r="R121">
        <f t="shared" si="0"/>
        <v>7758.2000000000007</v>
      </c>
      <c r="S121">
        <f t="shared" si="0"/>
        <v>8659</v>
      </c>
      <c r="T121">
        <f t="shared" si="0"/>
        <v>10800.9</v>
      </c>
    </row>
    <row r="122" spans="1:20" x14ac:dyDescent="0.4">
      <c r="A122">
        <v>2027</v>
      </c>
      <c r="B122">
        <v>1.0670999999999999</v>
      </c>
      <c r="C122">
        <v>1.8978999999999999</v>
      </c>
      <c r="D122">
        <v>2.4411999999999998</v>
      </c>
      <c r="E122">
        <v>3.4390000000000001</v>
      </c>
      <c r="F122">
        <v>4.7072000000000003</v>
      </c>
      <c r="G122">
        <v>6.1166</v>
      </c>
      <c r="H122">
        <v>7.5109000000000004</v>
      </c>
      <c r="I122">
        <v>8.4654000000000007</v>
      </c>
      <c r="J122">
        <v>10.726900000000001</v>
      </c>
      <c r="L122">
        <f t="shared" si="1"/>
        <v>1067.0999999999999</v>
      </c>
      <c r="M122">
        <f t="shared" si="0"/>
        <v>1897.8999999999999</v>
      </c>
      <c r="N122">
        <f t="shared" si="0"/>
        <v>2441.1999999999998</v>
      </c>
      <c r="O122">
        <f t="shared" si="0"/>
        <v>3439</v>
      </c>
      <c r="P122">
        <f t="shared" si="0"/>
        <v>4707.2000000000007</v>
      </c>
      <c r="Q122">
        <f t="shared" si="0"/>
        <v>6116.6</v>
      </c>
      <c r="R122">
        <f t="shared" si="0"/>
        <v>7510.9000000000005</v>
      </c>
      <c r="S122">
        <f t="shared" si="0"/>
        <v>8465.4000000000015</v>
      </c>
      <c r="T122">
        <f t="shared" si="0"/>
        <v>10726.900000000001</v>
      </c>
    </row>
    <row r="123" spans="1:20" x14ac:dyDescent="0.4">
      <c r="A123">
        <v>2028</v>
      </c>
      <c r="B123">
        <v>0.86799999999999999</v>
      </c>
      <c r="C123">
        <v>1.6993</v>
      </c>
      <c r="D123">
        <v>2.2357999999999998</v>
      </c>
      <c r="E123">
        <v>3.2368999999999999</v>
      </c>
      <c r="F123">
        <v>4.5148000000000001</v>
      </c>
      <c r="G123">
        <v>5.9444999999999997</v>
      </c>
      <c r="H123">
        <v>7.3749000000000002</v>
      </c>
      <c r="I123">
        <v>8.3461999999999996</v>
      </c>
      <c r="J123">
        <v>10.719799999999999</v>
      </c>
      <c r="L123">
        <f t="shared" si="1"/>
        <v>868</v>
      </c>
      <c r="M123">
        <f t="shared" si="0"/>
        <v>1699.3</v>
      </c>
      <c r="N123">
        <f t="shared" si="0"/>
        <v>2235.7999999999997</v>
      </c>
      <c r="O123">
        <f t="shared" si="0"/>
        <v>3236.9</v>
      </c>
      <c r="P123">
        <f t="shared" si="0"/>
        <v>4514.8</v>
      </c>
      <c r="Q123">
        <f t="shared" si="0"/>
        <v>5944.5</v>
      </c>
      <c r="R123">
        <f t="shared" si="0"/>
        <v>7374.9000000000005</v>
      </c>
      <c r="S123">
        <f t="shared" si="0"/>
        <v>8346.1999999999989</v>
      </c>
      <c r="T123">
        <f t="shared" si="0"/>
        <v>10719.8</v>
      </c>
    </row>
    <row r="124" spans="1:20" x14ac:dyDescent="0.4">
      <c r="A124">
        <v>2029</v>
      </c>
      <c r="B124">
        <v>0.75990000000000002</v>
      </c>
      <c r="C124">
        <v>1.5770999999999999</v>
      </c>
      <c r="D124">
        <v>2.1122999999999998</v>
      </c>
      <c r="E124">
        <v>3.0987</v>
      </c>
      <c r="F124">
        <v>4.3899999999999997</v>
      </c>
      <c r="G124">
        <v>5.8295000000000003</v>
      </c>
      <c r="H124">
        <v>7.2762000000000002</v>
      </c>
      <c r="I124">
        <v>8.2440999999999995</v>
      </c>
      <c r="J124">
        <v>10.6557</v>
      </c>
      <c r="L124">
        <f t="shared" si="1"/>
        <v>759.9</v>
      </c>
      <c r="M124">
        <f t="shared" si="0"/>
        <v>1577.1</v>
      </c>
      <c r="N124">
        <f t="shared" si="0"/>
        <v>2112.2999999999997</v>
      </c>
      <c r="O124">
        <f t="shared" si="0"/>
        <v>3098.7</v>
      </c>
      <c r="P124">
        <f t="shared" si="0"/>
        <v>4390</v>
      </c>
      <c r="Q124">
        <f t="shared" si="0"/>
        <v>5829.5</v>
      </c>
      <c r="R124">
        <f t="shared" si="0"/>
        <v>7276.2</v>
      </c>
      <c r="S124">
        <f t="shared" si="0"/>
        <v>8244.1</v>
      </c>
      <c r="T124">
        <f t="shared" si="0"/>
        <v>10655.699999999999</v>
      </c>
    </row>
    <row r="125" spans="1:20" x14ac:dyDescent="0.4">
      <c r="A125">
        <v>2030</v>
      </c>
      <c r="B125">
        <v>0.66949999999999998</v>
      </c>
      <c r="C125">
        <v>1.4733000000000001</v>
      </c>
      <c r="D125">
        <v>1.9851000000000001</v>
      </c>
      <c r="E125">
        <v>2.9851000000000001</v>
      </c>
      <c r="F125">
        <v>4.2750000000000004</v>
      </c>
      <c r="G125">
        <v>5.7290999999999999</v>
      </c>
      <c r="H125">
        <v>7.1776999999999997</v>
      </c>
      <c r="I125">
        <v>8.1359999999999992</v>
      </c>
      <c r="J125">
        <v>10.5892</v>
      </c>
      <c r="L125">
        <f t="shared" si="1"/>
        <v>669.5</v>
      </c>
      <c r="M125">
        <f t="shared" si="0"/>
        <v>1473.3</v>
      </c>
      <c r="N125">
        <f t="shared" si="0"/>
        <v>1985.1000000000001</v>
      </c>
      <c r="O125">
        <f t="shared" si="0"/>
        <v>2985.1</v>
      </c>
      <c r="P125">
        <f t="shared" si="0"/>
        <v>4275</v>
      </c>
      <c r="Q125">
        <f t="shared" si="0"/>
        <v>5729.0999999999995</v>
      </c>
      <c r="R125">
        <f t="shared" si="0"/>
        <v>7177.7</v>
      </c>
      <c r="S125">
        <f t="shared" si="0"/>
        <v>8135.9999999999991</v>
      </c>
      <c r="T125">
        <f t="shared" si="0"/>
        <v>10589.2</v>
      </c>
    </row>
    <row r="126" spans="1:20" x14ac:dyDescent="0.4">
      <c r="A126">
        <v>2031</v>
      </c>
      <c r="B126">
        <v>0.58489999999999998</v>
      </c>
      <c r="C126">
        <v>1.3713</v>
      </c>
      <c r="D126">
        <v>1.8919999999999999</v>
      </c>
      <c r="E126">
        <v>2.8957000000000002</v>
      </c>
      <c r="F126">
        <v>4.1970000000000001</v>
      </c>
      <c r="G126">
        <v>5.6375999999999999</v>
      </c>
      <c r="H126">
        <v>7.0911</v>
      </c>
      <c r="I126">
        <v>8.0675000000000008</v>
      </c>
      <c r="J126">
        <v>10.359500000000001</v>
      </c>
      <c r="L126">
        <f t="shared" si="1"/>
        <v>584.9</v>
      </c>
      <c r="M126">
        <f t="shared" si="0"/>
        <v>1371.3</v>
      </c>
      <c r="N126">
        <f t="shared" si="0"/>
        <v>1892</v>
      </c>
      <c r="O126">
        <f t="shared" si="0"/>
        <v>2895.7000000000003</v>
      </c>
      <c r="P126">
        <f t="shared" si="0"/>
        <v>4197</v>
      </c>
      <c r="Q126">
        <f t="shared" si="0"/>
        <v>5637.6</v>
      </c>
      <c r="R126">
        <f t="shared" si="0"/>
        <v>7091.1</v>
      </c>
      <c r="S126">
        <f t="shared" si="0"/>
        <v>8067.5000000000009</v>
      </c>
      <c r="T126">
        <f t="shared" si="0"/>
        <v>10359.5</v>
      </c>
    </row>
    <row r="127" spans="1:20" x14ac:dyDescent="0.4">
      <c r="A127">
        <v>2032</v>
      </c>
      <c r="B127">
        <v>0.54459999999999997</v>
      </c>
      <c r="C127">
        <v>1.3344</v>
      </c>
      <c r="D127">
        <v>1.8540000000000001</v>
      </c>
      <c r="E127">
        <v>2.8633999999999999</v>
      </c>
      <c r="F127">
        <v>4.1673</v>
      </c>
      <c r="G127">
        <v>5.6143999999999998</v>
      </c>
      <c r="H127">
        <v>7.0606999999999998</v>
      </c>
      <c r="I127">
        <v>8.0348000000000006</v>
      </c>
      <c r="J127">
        <v>10.345499999999999</v>
      </c>
      <c r="L127">
        <f t="shared" si="1"/>
        <v>544.6</v>
      </c>
      <c r="M127">
        <f t="shared" si="0"/>
        <v>1334.4</v>
      </c>
      <c r="N127">
        <f t="shared" si="0"/>
        <v>1854</v>
      </c>
      <c r="O127">
        <f t="shared" si="0"/>
        <v>2863.4</v>
      </c>
      <c r="P127">
        <f t="shared" si="0"/>
        <v>4167.3</v>
      </c>
      <c r="Q127">
        <f t="shared" si="0"/>
        <v>5614.4</v>
      </c>
      <c r="R127">
        <f t="shared" si="0"/>
        <v>7060.7</v>
      </c>
      <c r="S127">
        <f t="shared" si="0"/>
        <v>8034.8</v>
      </c>
      <c r="T127">
        <f t="shared" si="0"/>
        <v>10345.5</v>
      </c>
    </row>
    <row r="128" spans="1:20" x14ac:dyDescent="0.4">
      <c r="A128">
        <v>2033</v>
      </c>
      <c r="B128">
        <v>0.53549999999999998</v>
      </c>
      <c r="C128">
        <v>1.3369</v>
      </c>
      <c r="D128">
        <v>1.8599000000000001</v>
      </c>
      <c r="E128">
        <v>2.8773</v>
      </c>
      <c r="F128">
        <v>4.1650999999999998</v>
      </c>
      <c r="G128">
        <v>5.6315999999999997</v>
      </c>
      <c r="H128">
        <v>7.0804999999999998</v>
      </c>
      <c r="I128">
        <v>8.0763999999999996</v>
      </c>
      <c r="J128">
        <v>10.3605</v>
      </c>
      <c r="L128">
        <f t="shared" si="1"/>
        <v>535.5</v>
      </c>
      <c r="M128">
        <f t="shared" si="0"/>
        <v>1336.9</v>
      </c>
      <c r="N128">
        <f t="shared" si="0"/>
        <v>1859.9</v>
      </c>
      <c r="O128">
        <f t="shared" si="0"/>
        <v>2877.3</v>
      </c>
      <c r="P128">
        <f t="shared" si="0"/>
        <v>4165.0999999999995</v>
      </c>
      <c r="Q128">
        <f t="shared" si="0"/>
        <v>5631.5999999999995</v>
      </c>
      <c r="R128">
        <f t="shared" si="0"/>
        <v>7080.5</v>
      </c>
      <c r="S128">
        <f t="shared" si="0"/>
        <v>8076.4</v>
      </c>
      <c r="T128">
        <f t="shared" si="0"/>
        <v>10360.5</v>
      </c>
    </row>
    <row r="129" spans="1:20" x14ac:dyDescent="0.4">
      <c r="A129">
        <v>2034</v>
      </c>
      <c r="B129">
        <v>0.52390000000000003</v>
      </c>
      <c r="C129">
        <v>1.3372999999999999</v>
      </c>
      <c r="D129">
        <v>1.8682000000000001</v>
      </c>
      <c r="E129">
        <v>2.8904999999999998</v>
      </c>
      <c r="F129">
        <v>4.1913999999999998</v>
      </c>
      <c r="G129">
        <v>5.6425000000000001</v>
      </c>
      <c r="H129">
        <v>7.1162000000000001</v>
      </c>
      <c r="I129">
        <v>8.0896000000000008</v>
      </c>
      <c r="J129">
        <v>10.383800000000001</v>
      </c>
      <c r="L129">
        <f t="shared" si="1"/>
        <v>523.9</v>
      </c>
      <c r="M129">
        <f t="shared" si="0"/>
        <v>1337.3</v>
      </c>
      <c r="N129">
        <f t="shared" si="0"/>
        <v>1868.2</v>
      </c>
      <c r="O129">
        <f t="shared" si="0"/>
        <v>2890.5</v>
      </c>
      <c r="P129">
        <f t="shared" si="0"/>
        <v>4191.3999999999996</v>
      </c>
      <c r="Q129">
        <f t="shared" si="0"/>
        <v>5642.5</v>
      </c>
      <c r="R129">
        <f t="shared" si="0"/>
        <v>7116.2</v>
      </c>
      <c r="S129">
        <f t="shared" si="0"/>
        <v>8089.6</v>
      </c>
      <c r="T129">
        <f t="shared" si="0"/>
        <v>10383.800000000001</v>
      </c>
    </row>
    <row r="131" spans="1:20" x14ac:dyDescent="0.4">
      <c r="A131" s="1">
        <v>45658</v>
      </c>
      <c r="B131" t="s">
        <v>3</v>
      </c>
      <c r="C131" t="s">
        <v>6</v>
      </c>
      <c r="D131" t="s">
        <v>36</v>
      </c>
      <c r="E131">
        <v>1000</v>
      </c>
      <c r="F131" t="s">
        <v>35</v>
      </c>
    </row>
    <row r="133" spans="1:20" x14ac:dyDescent="0.4">
      <c r="A133" t="s">
        <v>22</v>
      </c>
      <c r="B133" t="s">
        <v>34</v>
      </c>
      <c r="C133" t="s">
        <v>33</v>
      </c>
    </row>
    <row r="134" spans="1:20" x14ac:dyDescent="0.4">
      <c r="A134">
        <v>2021</v>
      </c>
      <c r="B134">
        <v>9.2912999999999997</v>
      </c>
      <c r="C134">
        <v>1.5938000000000001</v>
      </c>
    </row>
    <row r="135" spans="1:20" x14ac:dyDescent="0.4">
      <c r="A135">
        <v>2022</v>
      </c>
      <c r="B135">
        <v>10.623100000000001</v>
      </c>
      <c r="C135">
        <v>2.0518000000000001</v>
      </c>
    </row>
    <row r="136" spans="1:20" x14ac:dyDescent="0.4">
      <c r="A136">
        <v>2023</v>
      </c>
      <c r="B136">
        <v>11.554</v>
      </c>
      <c r="C136">
        <v>2.4232999999999998</v>
      </c>
    </row>
    <row r="137" spans="1:20" x14ac:dyDescent="0.4">
      <c r="A137">
        <v>2024</v>
      </c>
      <c r="B137">
        <v>11.990600000000001</v>
      </c>
      <c r="C137">
        <v>2.6808000000000001</v>
      </c>
    </row>
    <row r="138" spans="1:20" x14ac:dyDescent="0.4">
      <c r="A138">
        <v>2025</v>
      </c>
      <c r="B138">
        <v>11.789300000000001</v>
      </c>
      <c r="C138">
        <v>2.8713000000000002</v>
      </c>
    </row>
    <row r="139" spans="1:20" x14ac:dyDescent="0.4">
      <c r="A139">
        <v>2026</v>
      </c>
      <c r="B139">
        <v>11.3695</v>
      </c>
      <c r="C139">
        <v>2.9903</v>
      </c>
    </row>
    <row r="140" spans="1:20" x14ac:dyDescent="0.4">
      <c r="A140">
        <v>2027</v>
      </c>
      <c r="B140">
        <v>11.003500000000001</v>
      </c>
      <c r="C140">
        <v>3.0531999999999999</v>
      </c>
    </row>
    <row r="141" spans="1:20" x14ac:dyDescent="0.4">
      <c r="A141">
        <v>2028</v>
      </c>
      <c r="B141">
        <v>10.7156</v>
      </c>
      <c r="C141">
        <v>3.0880000000000001</v>
      </c>
    </row>
    <row r="142" spans="1:20" x14ac:dyDescent="0.4">
      <c r="A142">
        <v>2029</v>
      </c>
      <c r="B142">
        <v>10.544600000000001</v>
      </c>
      <c r="C142">
        <v>3.1021999999999998</v>
      </c>
    </row>
    <row r="143" spans="1:20" x14ac:dyDescent="0.4">
      <c r="A143">
        <v>2030</v>
      </c>
      <c r="B143">
        <v>10.404199999999999</v>
      </c>
      <c r="C143">
        <v>3.1093000000000002</v>
      </c>
    </row>
    <row r="144" spans="1:20" x14ac:dyDescent="0.4">
      <c r="A144">
        <v>2031</v>
      </c>
      <c r="B144">
        <v>10.2902</v>
      </c>
      <c r="C144">
        <v>3.1151</v>
      </c>
    </row>
    <row r="145" spans="1:10" x14ac:dyDescent="0.4">
      <c r="A145">
        <v>2032</v>
      </c>
      <c r="B145">
        <v>10.203200000000001</v>
      </c>
      <c r="C145">
        <v>3.1200999999999999</v>
      </c>
    </row>
    <row r="146" spans="1:10" x14ac:dyDescent="0.4">
      <c r="A146">
        <v>2033</v>
      </c>
      <c r="B146">
        <v>10.2204</v>
      </c>
      <c r="C146">
        <v>3.1351</v>
      </c>
    </row>
    <row r="147" spans="1:10" x14ac:dyDescent="0.4">
      <c r="A147">
        <v>2034</v>
      </c>
      <c r="B147">
        <v>10.237500000000001</v>
      </c>
      <c r="C147">
        <v>3.1534</v>
      </c>
    </row>
    <row r="149" spans="1:10" x14ac:dyDescent="0.4">
      <c r="A149" s="1">
        <v>45658</v>
      </c>
      <c r="B149" t="s">
        <v>3</v>
      </c>
      <c r="C149" t="s">
        <v>6</v>
      </c>
      <c r="D149" t="s">
        <v>32</v>
      </c>
    </row>
    <row r="151" spans="1:10" x14ac:dyDescent="0.4">
      <c r="A151" t="s">
        <v>22</v>
      </c>
      <c r="B151" s="2">
        <v>0.01</v>
      </c>
      <c r="C151" s="2">
        <v>0.05</v>
      </c>
      <c r="D151" s="2">
        <v>0.1</v>
      </c>
      <c r="E151" s="2">
        <v>0.25</v>
      </c>
      <c r="F151" s="2">
        <v>0.5</v>
      </c>
      <c r="G151" s="2">
        <v>0.75</v>
      </c>
      <c r="H151" s="2">
        <v>0.9</v>
      </c>
      <c r="I151" s="2">
        <v>0.95</v>
      </c>
      <c r="J151" s="2">
        <v>0.99</v>
      </c>
    </row>
    <row r="152" spans="1:10" x14ac:dyDescent="0.4">
      <c r="A152">
        <v>2021</v>
      </c>
      <c r="B152">
        <v>6.3315000000000001</v>
      </c>
      <c r="C152">
        <v>6.9531999999999998</v>
      </c>
      <c r="D152">
        <v>7.3667999999999996</v>
      </c>
      <c r="E152">
        <v>8.1653000000000002</v>
      </c>
      <c r="F152">
        <v>9.1614000000000004</v>
      </c>
      <c r="G152">
        <v>10.1311</v>
      </c>
      <c r="H152">
        <v>11.541499999999999</v>
      </c>
      <c r="I152">
        <v>12.28</v>
      </c>
      <c r="J152">
        <v>13.718999999999999</v>
      </c>
    </row>
    <row r="153" spans="1:10" x14ac:dyDescent="0.4">
      <c r="A153">
        <v>2022</v>
      </c>
      <c r="B153">
        <v>6.7068000000000003</v>
      </c>
      <c r="C153">
        <v>7.5810000000000004</v>
      </c>
      <c r="D153">
        <v>8.1341999999999999</v>
      </c>
      <c r="E153">
        <v>9.1867000000000001</v>
      </c>
      <c r="F153">
        <v>10.4413</v>
      </c>
      <c r="G153">
        <v>11.8804</v>
      </c>
      <c r="H153">
        <v>13.305</v>
      </c>
      <c r="I153">
        <v>14.2376</v>
      </c>
      <c r="J153">
        <v>16.064399999999999</v>
      </c>
    </row>
    <row r="154" spans="1:10" x14ac:dyDescent="0.4">
      <c r="A154">
        <v>2023</v>
      </c>
      <c r="B154">
        <v>6.9009</v>
      </c>
      <c r="C154">
        <v>7.9706000000000001</v>
      </c>
      <c r="D154">
        <v>8.6329999999999991</v>
      </c>
      <c r="E154">
        <v>9.8434000000000008</v>
      </c>
      <c r="F154">
        <v>11.3704</v>
      </c>
      <c r="G154">
        <v>13.0372</v>
      </c>
      <c r="H154">
        <v>14.6526</v>
      </c>
      <c r="I154">
        <v>15.7088</v>
      </c>
      <c r="J154">
        <v>18.0642</v>
      </c>
    </row>
    <row r="155" spans="1:10" x14ac:dyDescent="0.4">
      <c r="A155">
        <v>2024</v>
      </c>
      <c r="B155">
        <v>6.7866</v>
      </c>
      <c r="C155">
        <v>8.0042000000000009</v>
      </c>
      <c r="D155">
        <v>8.7493999999999996</v>
      </c>
      <c r="E155">
        <v>10.1121</v>
      </c>
      <c r="F155">
        <v>11.7972</v>
      </c>
      <c r="G155">
        <v>13.622</v>
      </c>
      <c r="H155">
        <v>15.391999999999999</v>
      </c>
      <c r="I155">
        <v>16.5886</v>
      </c>
      <c r="J155">
        <v>19.1935</v>
      </c>
    </row>
    <row r="156" spans="1:10" x14ac:dyDescent="0.4">
      <c r="A156">
        <v>2025</v>
      </c>
      <c r="B156">
        <v>6.1792999999999996</v>
      </c>
      <c r="C156">
        <v>7.5190999999999999</v>
      </c>
      <c r="D156">
        <v>8.3412000000000006</v>
      </c>
      <c r="E156">
        <v>9.7963000000000005</v>
      </c>
      <c r="F156">
        <v>11.5809</v>
      </c>
      <c r="G156">
        <v>13.5168</v>
      </c>
      <c r="H156">
        <v>15.405900000000001</v>
      </c>
      <c r="I156">
        <v>16.653500000000001</v>
      </c>
      <c r="J156">
        <v>19.5991</v>
      </c>
    </row>
    <row r="157" spans="1:10" x14ac:dyDescent="0.4">
      <c r="A157">
        <v>2026</v>
      </c>
      <c r="B157">
        <v>5.4893999999999998</v>
      </c>
      <c r="C157">
        <v>6.9280999999999997</v>
      </c>
      <c r="D157">
        <v>7.7953000000000001</v>
      </c>
      <c r="E157">
        <v>9.3129000000000008</v>
      </c>
      <c r="F157">
        <v>11.1568</v>
      </c>
      <c r="G157">
        <v>13.159599999999999</v>
      </c>
      <c r="H157">
        <v>15.128</v>
      </c>
      <c r="I157">
        <v>16.421500000000002</v>
      </c>
      <c r="J157">
        <v>19.6081</v>
      </c>
    </row>
    <row r="158" spans="1:10" x14ac:dyDescent="0.4">
      <c r="A158">
        <v>2027</v>
      </c>
      <c r="B158">
        <v>4.9943999999999997</v>
      </c>
      <c r="C158">
        <v>6.492</v>
      </c>
      <c r="D158">
        <v>7.3636999999999997</v>
      </c>
      <c r="E158">
        <v>8.9006000000000007</v>
      </c>
      <c r="F158">
        <v>10.769299999999999</v>
      </c>
      <c r="G158">
        <v>12.823600000000001</v>
      </c>
      <c r="H158">
        <v>14.847200000000001</v>
      </c>
      <c r="I158">
        <v>16.1676</v>
      </c>
      <c r="J158">
        <v>19.521000000000001</v>
      </c>
    </row>
    <row r="159" spans="1:10" x14ac:dyDescent="0.4">
      <c r="A159">
        <v>2028</v>
      </c>
      <c r="B159">
        <v>4.6687000000000003</v>
      </c>
      <c r="C159">
        <v>6.1691000000000003</v>
      </c>
      <c r="D159">
        <v>7.0365000000000002</v>
      </c>
      <c r="E159">
        <v>8.5813000000000006</v>
      </c>
      <c r="F159">
        <v>10.481400000000001</v>
      </c>
      <c r="G159">
        <v>12.553699999999999</v>
      </c>
      <c r="H159">
        <v>14.5982</v>
      </c>
      <c r="I159">
        <v>15.960800000000001</v>
      </c>
      <c r="J159">
        <v>19.344200000000001</v>
      </c>
    </row>
    <row r="160" spans="1:10" x14ac:dyDescent="0.4">
      <c r="A160">
        <v>2029</v>
      </c>
      <c r="B160">
        <v>4.4816000000000003</v>
      </c>
      <c r="C160">
        <v>5.9641999999999999</v>
      </c>
      <c r="D160">
        <v>6.8418000000000001</v>
      </c>
      <c r="E160">
        <v>8.4082000000000008</v>
      </c>
      <c r="F160">
        <v>10.308400000000001</v>
      </c>
      <c r="G160">
        <v>12.406599999999999</v>
      </c>
      <c r="H160">
        <v>14.453799999999999</v>
      </c>
      <c r="I160">
        <v>15.8232</v>
      </c>
      <c r="J160">
        <v>19.227799999999998</v>
      </c>
    </row>
    <row r="161" spans="1:10" x14ac:dyDescent="0.4">
      <c r="A161">
        <v>2030</v>
      </c>
      <c r="B161">
        <v>4.2770000000000001</v>
      </c>
      <c r="C161">
        <v>5.7923</v>
      </c>
      <c r="D161">
        <v>6.6791</v>
      </c>
      <c r="E161">
        <v>8.2640999999999991</v>
      </c>
      <c r="F161">
        <v>10.1777</v>
      </c>
      <c r="G161">
        <v>12.2651</v>
      </c>
      <c r="H161">
        <v>14.3102</v>
      </c>
      <c r="I161">
        <v>15.7171</v>
      </c>
      <c r="J161">
        <v>18.953099999999999</v>
      </c>
    </row>
    <row r="162" spans="1:10" x14ac:dyDescent="0.4">
      <c r="A162">
        <v>2031</v>
      </c>
      <c r="B162">
        <v>4.1383999999999999</v>
      </c>
      <c r="C162">
        <v>5.6684999999999999</v>
      </c>
      <c r="D162">
        <v>6.5467000000000004</v>
      </c>
      <c r="E162">
        <v>8.1408000000000005</v>
      </c>
      <c r="F162">
        <v>10.0732</v>
      </c>
      <c r="G162">
        <v>12.1584</v>
      </c>
      <c r="H162">
        <v>14.197699999999999</v>
      </c>
      <c r="I162">
        <v>15.6069</v>
      </c>
      <c r="J162">
        <v>18.807400000000001</v>
      </c>
    </row>
    <row r="163" spans="1:10" x14ac:dyDescent="0.4">
      <c r="A163">
        <v>2032</v>
      </c>
      <c r="B163">
        <v>4.0495000000000001</v>
      </c>
      <c r="C163">
        <v>5.5682999999999998</v>
      </c>
      <c r="D163">
        <v>6.4615</v>
      </c>
      <c r="E163">
        <v>8.0540000000000003</v>
      </c>
      <c r="F163">
        <v>9.9883000000000006</v>
      </c>
      <c r="G163">
        <v>12.0718</v>
      </c>
      <c r="H163">
        <v>14.1229</v>
      </c>
      <c r="I163">
        <v>15.494999999999999</v>
      </c>
      <c r="J163">
        <v>18.764800000000001</v>
      </c>
    </row>
    <row r="164" spans="1:10" x14ac:dyDescent="0.4">
      <c r="A164">
        <v>2033</v>
      </c>
      <c r="B164">
        <v>3.9941</v>
      </c>
      <c r="C164">
        <v>5.5885999999999996</v>
      </c>
      <c r="D164">
        <v>6.4696999999999996</v>
      </c>
      <c r="E164">
        <v>8.0639000000000003</v>
      </c>
      <c r="F164">
        <v>10.004099999999999</v>
      </c>
      <c r="G164">
        <v>12.0907</v>
      </c>
      <c r="H164">
        <v>14.1485</v>
      </c>
      <c r="I164">
        <v>15.526400000000001</v>
      </c>
      <c r="J164">
        <v>18.891400000000001</v>
      </c>
    </row>
    <row r="165" spans="1:10" x14ac:dyDescent="0.4">
      <c r="A165">
        <v>2034</v>
      </c>
      <c r="B165">
        <v>3.964</v>
      </c>
      <c r="C165">
        <v>5.5785999999999998</v>
      </c>
      <c r="D165">
        <v>6.4725000000000001</v>
      </c>
      <c r="E165">
        <v>8.0803999999999991</v>
      </c>
      <c r="F165">
        <v>10.0174</v>
      </c>
      <c r="G165">
        <v>12.1271</v>
      </c>
      <c r="H165">
        <v>14.172700000000001</v>
      </c>
      <c r="I165">
        <v>15.5747</v>
      </c>
      <c r="J165">
        <v>18.923400000000001</v>
      </c>
    </row>
    <row r="167" spans="1:10" x14ac:dyDescent="0.4">
      <c r="A167" t="s">
        <v>9</v>
      </c>
      <c r="B167" t="s">
        <v>6</v>
      </c>
      <c r="C167" t="s">
        <v>36</v>
      </c>
      <c r="D167">
        <v>1000</v>
      </c>
      <c r="E167" t="s">
        <v>35</v>
      </c>
    </row>
    <row r="169" spans="1:10" x14ac:dyDescent="0.4">
      <c r="A169" t="s">
        <v>22</v>
      </c>
      <c r="B169" t="s">
        <v>34</v>
      </c>
      <c r="C169" t="s">
        <v>33</v>
      </c>
    </row>
    <row r="170" spans="1:10" x14ac:dyDescent="0.4">
      <c r="A170">
        <v>2021</v>
      </c>
      <c r="B170">
        <v>9.0563000000000002</v>
      </c>
      <c r="C170">
        <v>1.6986000000000001</v>
      </c>
    </row>
    <row r="171" spans="1:10" x14ac:dyDescent="0.4">
      <c r="A171">
        <v>2022</v>
      </c>
      <c r="B171">
        <v>10.1753</v>
      </c>
      <c r="C171">
        <v>2.1461000000000001</v>
      </c>
    </row>
    <row r="172" spans="1:10" x14ac:dyDescent="0.4">
      <c r="A172">
        <v>2023</v>
      </c>
      <c r="B172">
        <v>10.8285</v>
      </c>
      <c r="C172">
        <v>2.476</v>
      </c>
    </row>
    <row r="173" spans="1:10" x14ac:dyDescent="0.4">
      <c r="A173">
        <v>2024</v>
      </c>
      <c r="B173">
        <v>10.916</v>
      </c>
      <c r="C173">
        <v>2.7143000000000002</v>
      </c>
    </row>
    <row r="174" spans="1:10" x14ac:dyDescent="0.4">
      <c r="A174">
        <v>2025</v>
      </c>
      <c r="B174">
        <v>10.5685</v>
      </c>
      <c r="C174">
        <v>2.8811</v>
      </c>
    </row>
    <row r="175" spans="1:10" x14ac:dyDescent="0.4">
      <c r="A175">
        <v>2026</v>
      </c>
      <c r="B175">
        <v>10.1747</v>
      </c>
      <c r="C175">
        <v>2.9828000000000001</v>
      </c>
    </row>
    <row r="176" spans="1:10" x14ac:dyDescent="0.4">
      <c r="A176">
        <v>2027</v>
      </c>
      <c r="B176">
        <v>9.8424999999999994</v>
      </c>
      <c r="C176">
        <v>3.0257999999999998</v>
      </c>
    </row>
    <row r="177" spans="1:10" x14ac:dyDescent="0.4">
      <c r="A177">
        <v>2028</v>
      </c>
      <c r="B177">
        <v>9.6219999999999999</v>
      </c>
      <c r="C177">
        <v>3.0457999999999998</v>
      </c>
    </row>
    <row r="178" spans="1:10" x14ac:dyDescent="0.4">
      <c r="A178">
        <v>2029</v>
      </c>
      <c r="B178">
        <v>9.4659999999999993</v>
      </c>
      <c r="C178">
        <v>3.0611999999999999</v>
      </c>
    </row>
    <row r="179" spans="1:10" x14ac:dyDescent="0.4">
      <c r="A179">
        <v>2030</v>
      </c>
      <c r="B179">
        <v>9.3384999999999998</v>
      </c>
      <c r="C179">
        <v>3.0648</v>
      </c>
    </row>
    <row r="180" spans="1:10" x14ac:dyDescent="0.4">
      <c r="A180">
        <v>2031</v>
      </c>
      <c r="B180">
        <v>9.2347999999999999</v>
      </c>
      <c r="C180">
        <v>3.0640999999999998</v>
      </c>
    </row>
    <row r="181" spans="1:10" x14ac:dyDescent="0.4">
      <c r="A181">
        <v>2032</v>
      </c>
      <c r="B181">
        <v>9.2072000000000003</v>
      </c>
      <c r="C181">
        <v>3.0760999999999998</v>
      </c>
    </row>
    <row r="182" spans="1:10" x14ac:dyDescent="0.4">
      <c r="A182">
        <v>2033</v>
      </c>
      <c r="B182">
        <v>9.2263999999999999</v>
      </c>
      <c r="C182">
        <v>3.0903999999999998</v>
      </c>
    </row>
    <row r="183" spans="1:10" x14ac:dyDescent="0.4">
      <c r="A183">
        <v>2034</v>
      </c>
      <c r="B183">
        <v>9.2408000000000001</v>
      </c>
      <c r="C183">
        <v>3.1084000000000001</v>
      </c>
    </row>
    <row r="185" spans="1:10" x14ac:dyDescent="0.4">
      <c r="A185" t="s">
        <v>9</v>
      </c>
      <c r="B185" t="s">
        <v>6</v>
      </c>
      <c r="C185" t="s">
        <v>32</v>
      </c>
    </row>
    <row r="187" spans="1:10" x14ac:dyDescent="0.4">
      <c r="A187" t="s">
        <v>22</v>
      </c>
      <c r="B187" s="2">
        <v>0.01</v>
      </c>
      <c r="C187" s="2">
        <v>0.05</v>
      </c>
      <c r="D187" s="2">
        <v>0.1</v>
      </c>
      <c r="E187" s="2">
        <v>0.25</v>
      </c>
      <c r="F187" s="2">
        <v>0.5</v>
      </c>
      <c r="G187" s="2">
        <v>0.75</v>
      </c>
      <c r="H187" s="2">
        <v>0.9</v>
      </c>
      <c r="I187" s="2">
        <v>0.95</v>
      </c>
      <c r="J187" s="2">
        <v>0.99</v>
      </c>
    </row>
    <row r="188" spans="1:10" x14ac:dyDescent="0.4">
      <c r="A188">
        <v>2021</v>
      </c>
      <c r="B188">
        <v>5.9377000000000004</v>
      </c>
      <c r="C188">
        <v>6.5586000000000002</v>
      </c>
      <c r="D188">
        <v>6.9923999999999999</v>
      </c>
      <c r="E188">
        <v>7.83</v>
      </c>
      <c r="F188">
        <v>8.9227000000000007</v>
      </c>
      <c r="G188">
        <v>9.9750999999999994</v>
      </c>
      <c r="H188">
        <v>11.4747</v>
      </c>
      <c r="I188">
        <v>12.223699999999999</v>
      </c>
      <c r="J188">
        <v>13.7193</v>
      </c>
    </row>
    <row r="189" spans="1:10" x14ac:dyDescent="0.4">
      <c r="A189">
        <v>2022</v>
      </c>
      <c r="B189">
        <v>6.1017000000000001</v>
      </c>
      <c r="C189">
        <v>7.0023999999999997</v>
      </c>
      <c r="D189">
        <v>7.5631000000000004</v>
      </c>
      <c r="E189">
        <v>8.6652000000000005</v>
      </c>
      <c r="F189">
        <v>9.9838000000000005</v>
      </c>
      <c r="G189">
        <v>11.505100000000001</v>
      </c>
      <c r="H189">
        <v>12.9709</v>
      </c>
      <c r="I189">
        <v>13.9366</v>
      </c>
      <c r="J189">
        <v>15.8447</v>
      </c>
    </row>
    <row r="190" spans="1:10" x14ac:dyDescent="0.4">
      <c r="A190">
        <v>2023</v>
      </c>
      <c r="B190">
        <v>6.0610999999999997</v>
      </c>
      <c r="C190">
        <v>7.1612999999999998</v>
      </c>
      <c r="D190">
        <v>7.8369999999999997</v>
      </c>
      <c r="E190">
        <v>9.0731999999999999</v>
      </c>
      <c r="F190">
        <v>10.639900000000001</v>
      </c>
      <c r="G190">
        <v>12.348800000000001</v>
      </c>
      <c r="H190">
        <v>14.010899999999999</v>
      </c>
      <c r="I190">
        <v>15.0848</v>
      </c>
      <c r="J190">
        <v>17.469200000000001</v>
      </c>
    </row>
    <row r="191" spans="1:10" x14ac:dyDescent="0.4">
      <c r="A191">
        <v>2024</v>
      </c>
      <c r="B191">
        <v>5.6482999999999999</v>
      </c>
      <c r="C191">
        <v>6.9043999999999999</v>
      </c>
      <c r="D191">
        <v>7.6421000000000001</v>
      </c>
      <c r="E191">
        <v>9.0236999999999998</v>
      </c>
      <c r="F191">
        <v>10.7087</v>
      </c>
      <c r="G191">
        <v>12.5625</v>
      </c>
      <c r="H191">
        <v>14.380100000000001</v>
      </c>
      <c r="I191">
        <v>15.529299999999999</v>
      </c>
      <c r="J191">
        <v>18.211400000000001</v>
      </c>
    </row>
    <row r="192" spans="1:10" x14ac:dyDescent="0.4">
      <c r="A192">
        <v>2025</v>
      </c>
      <c r="B192">
        <v>4.9607999999999999</v>
      </c>
      <c r="C192">
        <v>6.2996999999999996</v>
      </c>
      <c r="D192">
        <v>7.1117999999999997</v>
      </c>
      <c r="E192">
        <v>8.5793999999999997</v>
      </c>
      <c r="F192">
        <v>10.354900000000001</v>
      </c>
      <c r="G192">
        <v>12.292299999999999</v>
      </c>
      <c r="H192">
        <v>14.188700000000001</v>
      </c>
      <c r="I192">
        <v>15.4436</v>
      </c>
      <c r="J192">
        <v>18.41</v>
      </c>
    </row>
    <row r="193" spans="1:10" x14ac:dyDescent="0.4">
      <c r="A193">
        <v>2026</v>
      </c>
      <c r="B193">
        <v>4.3174999999999999</v>
      </c>
      <c r="C193">
        <v>5.76</v>
      </c>
      <c r="D193">
        <v>6.6165000000000003</v>
      </c>
      <c r="E193">
        <v>8.1166999999999998</v>
      </c>
      <c r="F193">
        <v>9.9502000000000006</v>
      </c>
      <c r="G193">
        <v>11.946400000000001</v>
      </c>
      <c r="H193">
        <v>13.896800000000001</v>
      </c>
      <c r="I193">
        <v>15.2271</v>
      </c>
      <c r="J193">
        <v>18.4511</v>
      </c>
    </row>
    <row r="194" spans="1:10" x14ac:dyDescent="0.4">
      <c r="A194">
        <v>2027</v>
      </c>
      <c r="B194">
        <v>3.8923000000000001</v>
      </c>
      <c r="C194">
        <v>5.3764000000000003</v>
      </c>
      <c r="D194">
        <v>6.2327000000000004</v>
      </c>
      <c r="E194">
        <v>7.7632000000000003</v>
      </c>
      <c r="F194">
        <v>9.6204999999999998</v>
      </c>
      <c r="G194">
        <v>11.6401</v>
      </c>
      <c r="H194">
        <v>13.647</v>
      </c>
      <c r="I194">
        <v>14.969799999999999</v>
      </c>
      <c r="J194">
        <v>18.255700000000001</v>
      </c>
    </row>
    <row r="195" spans="1:10" x14ac:dyDescent="0.4">
      <c r="A195">
        <v>2028</v>
      </c>
      <c r="B195">
        <v>3.6686000000000001</v>
      </c>
      <c r="C195">
        <v>5.1295999999999999</v>
      </c>
      <c r="D195">
        <v>5.9993999999999996</v>
      </c>
      <c r="E195">
        <v>7.5194000000000001</v>
      </c>
      <c r="F195">
        <v>9.3926999999999996</v>
      </c>
      <c r="G195">
        <v>11.435</v>
      </c>
      <c r="H195">
        <v>13.4513</v>
      </c>
      <c r="I195">
        <v>14.7807</v>
      </c>
      <c r="J195">
        <v>18.118099999999998</v>
      </c>
    </row>
    <row r="196" spans="1:10" x14ac:dyDescent="0.4">
      <c r="A196">
        <v>2029</v>
      </c>
      <c r="B196">
        <v>3.4864999999999999</v>
      </c>
      <c r="C196">
        <v>4.9480000000000004</v>
      </c>
      <c r="D196">
        <v>5.7923999999999998</v>
      </c>
      <c r="E196">
        <v>7.3498999999999999</v>
      </c>
      <c r="F196">
        <v>9.2376000000000005</v>
      </c>
      <c r="G196">
        <v>11.2956</v>
      </c>
      <c r="H196">
        <v>13.322900000000001</v>
      </c>
      <c r="I196">
        <v>14.667199999999999</v>
      </c>
      <c r="J196">
        <v>17.959700000000002</v>
      </c>
    </row>
    <row r="197" spans="1:10" x14ac:dyDescent="0.4">
      <c r="A197">
        <v>2030</v>
      </c>
      <c r="B197">
        <v>3.2746</v>
      </c>
      <c r="C197">
        <v>4.7834000000000003</v>
      </c>
      <c r="D197">
        <v>5.6607000000000003</v>
      </c>
      <c r="E197">
        <v>7.2229000000000001</v>
      </c>
      <c r="F197">
        <v>9.1326999999999998</v>
      </c>
      <c r="G197">
        <v>11.1669</v>
      </c>
      <c r="H197">
        <v>13.1898</v>
      </c>
      <c r="I197">
        <v>14.5566</v>
      </c>
      <c r="J197">
        <v>17.7654</v>
      </c>
    </row>
    <row r="198" spans="1:10" x14ac:dyDescent="0.4">
      <c r="A198">
        <v>2031</v>
      </c>
      <c r="B198">
        <v>3.1726000000000001</v>
      </c>
      <c r="C198">
        <v>4.6909000000000001</v>
      </c>
      <c r="D198">
        <v>5.5526999999999997</v>
      </c>
      <c r="E198">
        <v>7.1146000000000003</v>
      </c>
      <c r="F198">
        <v>9.0299999999999994</v>
      </c>
      <c r="G198">
        <v>11.083600000000001</v>
      </c>
      <c r="H198">
        <v>13.0801</v>
      </c>
      <c r="I198">
        <v>14.4278</v>
      </c>
      <c r="J198">
        <v>17.6416</v>
      </c>
    </row>
    <row r="199" spans="1:10" x14ac:dyDescent="0.4">
      <c r="A199">
        <v>2032</v>
      </c>
      <c r="B199">
        <v>3.1187999999999998</v>
      </c>
      <c r="C199">
        <v>4.6433</v>
      </c>
      <c r="D199">
        <v>5.52</v>
      </c>
      <c r="E199">
        <v>7.0938999999999997</v>
      </c>
      <c r="F199">
        <v>8.9938000000000002</v>
      </c>
      <c r="G199">
        <v>11.0488</v>
      </c>
      <c r="H199">
        <v>13.0665</v>
      </c>
      <c r="I199">
        <v>14.4323</v>
      </c>
      <c r="J199">
        <v>17.609300000000001</v>
      </c>
    </row>
    <row r="200" spans="1:10" x14ac:dyDescent="0.4">
      <c r="A200">
        <v>2033</v>
      </c>
      <c r="B200">
        <v>3.0886</v>
      </c>
      <c r="C200">
        <v>4.6581999999999999</v>
      </c>
      <c r="D200">
        <v>5.5167000000000002</v>
      </c>
      <c r="E200">
        <v>7.1127000000000002</v>
      </c>
      <c r="F200">
        <v>9.0158000000000005</v>
      </c>
      <c r="G200">
        <v>11.0632</v>
      </c>
      <c r="H200">
        <v>13.097300000000001</v>
      </c>
      <c r="I200">
        <v>14.463900000000001</v>
      </c>
      <c r="J200">
        <v>17.8078</v>
      </c>
    </row>
    <row r="201" spans="1:10" x14ac:dyDescent="0.4">
      <c r="A201">
        <v>2034</v>
      </c>
      <c r="B201">
        <v>3.0752000000000002</v>
      </c>
      <c r="C201">
        <v>4.6536</v>
      </c>
      <c r="D201">
        <v>5.5312000000000001</v>
      </c>
      <c r="E201">
        <v>7.1162000000000001</v>
      </c>
      <c r="F201">
        <v>9.0221999999999998</v>
      </c>
      <c r="G201">
        <v>11.095800000000001</v>
      </c>
      <c r="H201">
        <v>13.1435</v>
      </c>
      <c r="I201">
        <v>14.4674</v>
      </c>
      <c r="J201">
        <v>17.8246</v>
      </c>
    </row>
    <row r="203" spans="1:10" x14ac:dyDescent="0.4">
      <c r="A203" t="s">
        <v>8</v>
      </c>
      <c r="B203" t="s">
        <v>7</v>
      </c>
      <c r="C203" t="s">
        <v>6</v>
      </c>
      <c r="D203" t="s">
        <v>36</v>
      </c>
      <c r="E203">
        <v>1000</v>
      </c>
      <c r="F203" t="s">
        <v>35</v>
      </c>
    </row>
    <row r="205" spans="1:10" x14ac:dyDescent="0.4">
      <c r="A205" t="s">
        <v>22</v>
      </c>
      <c r="B205" t="s">
        <v>34</v>
      </c>
      <c r="C205" t="s">
        <v>33</v>
      </c>
    </row>
    <row r="206" spans="1:10" x14ac:dyDescent="0.4">
      <c r="A206">
        <v>2021</v>
      </c>
      <c r="B206">
        <v>1.5398000000000001</v>
      </c>
      <c r="C206">
        <v>0</v>
      </c>
    </row>
    <row r="207" spans="1:10" x14ac:dyDescent="0.4">
      <c r="A207">
        <v>2022</v>
      </c>
      <c r="B207">
        <v>1.4739</v>
      </c>
      <c r="C207">
        <v>0</v>
      </c>
    </row>
    <row r="208" spans="1:10" x14ac:dyDescent="0.4">
      <c r="A208">
        <v>2023</v>
      </c>
      <c r="B208">
        <v>1.6853</v>
      </c>
      <c r="C208">
        <v>1.5100000000000001E-2</v>
      </c>
    </row>
    <row r="209" spans="1:10" x14ac:dyDescent="0.4">
      <c r="A209">
        <v>2024</v>
      </c>
      <c r="B209">
        <v>2.1564999999999999</v>
      </c>
      <c r="C209">
        <v>2.3599999999999999E-2</v>
      </c>
    </row>
    <row r="210" spans="1:10" x14ac:dyDescent="0.4">
      <c r="A210">
        <v>2025</v>
      </c>
      <c r="B210">
        <v>2.3997000000000002</v>
      </c>
      <c r="C210">
        <v>2.63E-2</v>
      </c>
    </row>
    <row r="211" spans="1:10" x14ac:dyDescent="0.4">
      <c r="A211">
        <v>2026</v>
      </c>
      <c r="B211">
        <v>2.3997000000000002</v>
      </c>
      <c r="C211">
        <v>2.63E-2</v>
      </c>
    </row>
    <row r="212" spans="1:10" x14ac:dyDescent="0.4">
      <c r="A212">
        <v>2027</v>
      </c>
      <c r="B212">
        <v>2.3997000000000002</v>
      </c>
      <c r="C212">
        <v>2.8400000000000002E-2</v>
      </c>
    </row>
    <row r="213" spans="1:10" x14ac:dyDescent="0.4">
      <c r="A213">
        <v>2028</v>
      </c>
      <c r="B213">
        <v>2.2995000000000001</v>
      </c>
      <c r="C213">
        <v>3.4099999999999998E-2</v>
      </c>
    </row>
    <row r="214" spans="1:10" x14ac:dyDescent="0.4">
      <c r="A214">
        <v>2029</v>
      </c>
      <c r="B214">
        <v>2.2991999999999999</v>
      </c>
      <c r="C214">
        <v>4.36E-2</v>
      </c>
    </row>
    <row r="215" spans="1:10" x14ac:dyDescent="0.4">
      <c r="A215">
        <v>2030</v>
      </c>
      <c r="B215">
        <v>2.2986</v>
      </c>
      <c r="C215">
        <v>5.5899999999999998E-2</v>
      </c>
    </row>
    <row r="216" spans="1:10" x14ac:dyDescent="0.4">
      <c r="A216">
        <v>2031</v>
      </c>
      <c r="B216">
        <v>2.2982</v>
      </c>
      <c r="C216">
        <v>6.5000000000000002E-2</v>
      </c>
    </row>
    <row r="217" spans="1:10" x14ac:dyDescent="0.4">
      <c r="A217">
        <v>2032</v>
      </c>
      <c r="B217">
        <v>2.1977000000000002</v>
      </c>
      <c r="C217">
        <v>7.0599999999999996E-2</v>
      </c>
    </row>
    <row r="218" spans="1:10" x14ac:dyDescent="0.4">
      <c r="A218">
        <v>2033</v>
      </c>
      <c r="B218">
        <v>2.1972</v>
      </c>
      <c r="C218">
        <v>7.9000000000000001E-2</v>
      </c>
    </row>
    <row r="219" spans="1:10" x14ac:dyDescent="0.4">
      <c r="A219">
        <v>2034</v>
      </c>
      <c r="B219">
        <v>2.1966000000000001</v>
      </c>
      <c r="C219">
        <v>8.6800000000000002E-2</v>
      </c>
    </row>
    <row r="221" spans="1:10" x14ac:dyDescent="0.4">
      <c r="A221" t="s">
        <v>8</v>
      </c>
      <c r="B221" t="s">
        <v>7</v>
      </c>
      <c r="C221" t="s">
        <v>32</v>
      </c>
    </row>
    <row r="223" spans="1:10" x14ac:dyDescent="0.4">
      <c r="A223" t="s">
        <v>22</v>
      </c>
      <c r="B223" s="2">
        <v>0.01</v>
      </c>
      <c r="C223" s="2">
        <v>0.05</v>
      </c>
      <c r="D223" s="2">
        <v>0.1</v>
      </c>
      <c r="E223" s="2">
        <v>0.25</v>
      </c>
      <c r="F223" s="2">
        <v>0.5</v>
      </c>
      <c r="G223" s="2">
        <v>0.75</v>
      </c>
      <c r="H223" s="2">
        <v>0.9</v>
      </c>
      <c r="I223" s="2">
        <v>0.95</v>
      </c>
      <c r="J223" s="2">
        <v>0.99</v>
      </c>
    </row>
    <row r="224" spans="1:10" x14ac:dyDescent="0.4">
      <c r="A224">
        <v>2021</v>
      </c>
      <c r="B224">
        <v>1.5398000000000001</v>
      </c>
      <c r="C224">
        <v>1.5398000000000001</v>
      </c>
      <c r="D224">
        <v>1.5398000000000001</v>
      </c>
      <c r="E224">
        <v>1.5398000000000001</v>
      </c>
      <c r="F224">
        <v>1.5398000000000001</v>
      </c>
      <c r="G224">
        <v>1.5398000000000001</v>
      </c>
      <c r="H224">
        <v>1.5398000000000001</v>
      </c>
      <c r="I224">
        <v>1.5398000000000001</v>
      </c>
      <c r="J224">
        <v>1.5398000000000001</v>
      </c>
    </row>
    <row r="225" spans="1:10" x14ac:dyDescent="0.4">
      <c r="A225">
        <v>2022</v>
      </c>
      <c r="B225">
        <v>1.4739</v>
      </c>
      <c r="C225">
        <v>1.4739</v>
      </c>
      <c r="D225">
        <v>1.4739</v>
      </c>
      <c r="E225">
        <v>1.4739</v>
      </c>
      <c r="F225">
        <v>1.4739</v>
      </c>
      <c r="G225">
        <v>1.4739</v>
      </c>
      <c r="H225">
        <v>1.4739</v>
      </c>
      <c r="I225">
        <v>1.4739</v>
      </c>
      <c r="J225">
        <v>1.4739</v>
      </c>
    </row>
    <row r="226" spans="1:10" x14ac:dyDescent="0.4">
      <c r="A226">
        <v>2023</v>
      </c>
      <c r="B226">
        <v>1.6854</v>
      </c>
      <c r="C226">
        <v>1.6854</v>
      </c>
      <c r="D226">
        <v>1.6854</v>
      </c>
      <c r="E226">
        <v>1.6854</v>
      </c>
      <c r="F226">
        <v>1.6854</v>
      </c>
      <c r="G226">
        <v>1.6854</v>
      </c>
      <c r="H226">
        <v>1.6854</v>
      </c>
      <c r="I226">
        <v>1.6854</v>
      </c>
      <c r="J226">
        <v>1.6854</v>
      </c>
    </row>
    <row r="227" spans="1:10" x14ac:dyDescent="0.4">
      <c r="A227">
        <v>2024</v>
      </c>
      <c r="B227">
        <v>2.1566999999999998</v>
      </c>
      <c r="C227">
        <v>2.1566999999999998</v>
      </c>
      <c r="D227">
        <v>2.1566999999999998</v>
      </c>
      <c r="E227">
        <v>2.1566999999999998</v>
      </c>
      <c r="F227">
        <v>2.1566999999999998</v>
      </c>
      <c r="G227">
        <v>2.1566999999999998</v>
      </c>
      <c r="H227">
        <v>2.1566999999999998</v>
      </c>
      <c r="I227">
        <v>2.1566999999999998</v>
      </c>
      <c r="J227">
        <v>2.1566999999999998</v>
      </c>
    </row>
    <row r="228" spans="1:10" x14ac:dyDescent="0.4">
      <c r="A228">
        <v>2025</v>
      </c>
      <c r="B228">
        <v>2.4</v>
      </c>
      <c r="C228">
        <v>2.4</v>
      </c>
      <c r="D228">
        <v>2.4</v>
      </c>
      <c r="E228">
        <v>2.4</v>
      </c>
      <c r="F228">
        <v>2.4</v>
      </c>
      <c r="G228">
        <v>2.4</v>
      </c>
      <c r="H228">
        <v>2.4</v>
      </c>
      <c r="I228">
        <v>2.4</v>
      </c>
      <c r="J228">
        <v>2.4</v>
      </c>
    </row>
    <row r="229" spans="1:10" x14ac:dyDescent="0.4">
      <c r="A229">
        <v>2026</v>
      </c>
      <c r="B229">
        <v>2.4</v>
      </c>
      <c r="C229">
        <v>2.4</v>
      </c>
      <c r="D229">
        <v>2.4</v>
      </c>
      <c r="E229">
        <v>2.4</v>
      </c>
      <c r="F229">
        <v>2.4</v>
      </c>
      <c r="G229">
        <v>2.4</v>
      </c>
      <c r="H229">
        <v>2.4</v>
      </c>
      <c r="I229">
        <v>2.4</v>
      </c>
      <c r="J229">
        <v>2.4</v>
      </c>
    </row>
    <row r="230" spans="1:10" x14ac:dyDescent="0.4">
      <c r="A230">
        <v>2027</v>
      </c>
      <c r="B230">
        <v>2.4</v>
      </c>
      <c r="C230">
        <v>2.4</v>
      </c>
      <c r="D230">
        <v>2.4</v>
      </c>
      <c r="E230">
        <v>2.4</v>
      </c>
      <c r="F230">
        <v>2.4</v>
      </c>
      <c r="G230">
        <v>2.4</v>
      </c>
      <c r="H230">
        <v>2.4</v>
      </c>
      <c r="I230">
        <v>2.4</v>
      </c>
      <c r="J230">
        <v>2.4</v>
      </c>
    </row>
    <row r="231" spans="1:10" x14ac:dyDescent="0.4">
      <c r="A231">
        <v>2028</v>
      </c>
      <c r="B231">
        <v>2.2999999999999998</v>
      </c>
      <c r="C231">
        <v>2.2999999999999998</v>
      </c>
      <c r="D231">
        <v>2.2999999999999998</v>
      </c>
      <c r="E231">
        <v>2.2999999999999998</v>
      </c>
      <c r="F231">
        <v>2.2999999999999998</v>
      </c>
      <c r="G231">
        <v>2.2999999999999998</v>
      </c>
      <c r="H231">
        <v>2.2999999999999998</v>
      </c>
      <c r="I231">
        <v>2.2999999999999998</v>
      </c>
      <c r="J231">
        <v>2.2999999999999998</v>
      </c>
    </row>
    <row r="232" spans="1:10" x14ac:dyDescent="0.4">
      <c r="A232">
        <v>2029</v>
      </c>
      <c r="B232">
        <v>2.2999999999999998</v>
      </c>
      <c r="C232">
        <v>2.2999999999999998</v>
      </c>
      <c r="D232">
        <v>2.2999999999999998</v>
      </c>
      <c r="E232">
        <v>2.2999999999999998</v>
      </c>
      <c r="F232">
        <v>2.2999999999999998</v>
      </c>
      <c r="G232">
        <v>2.2999999999999998</v>
      </c>
      <c r="H232">
        <v>2.2999999999999998</v>
      </c>
      <c r="I232">
        <v>2.2999999999999998</v>
      </c>
      <c r="J232">
        <v>2.2999999999999998</v>
      </c>
    </row>
    <row r="233" spans="1:10" x14ac:dyDescent="0.4">
      <c r="A233">
        <v>2030</v>
      </c>
      <c r="B233">
        <v>2.2999999999999998</v>
      </c>
      <c r="C233">
        <v>2.2999999999999998</v>
      </c>
      <c r="D233">
        <v>2.2999999999999998</v>
      </c>
      <c r="E233">
        <v>2.2999999999999998</v>
      </c>
      <c r="F233">
        <v>2.2999999999999998</v>
      </c>
      <c r="G233">
        <v>2.2999999999999998</v>
      </c>
      <c r="H233">
        <v>2.2999999999999998</v>
      </c>
      <c r="I233">
        <v>2.2999999999999998</v>
      </c>
      <c r="J233">
        <v>2.2999999999999998</v>
      </c>
    </row>
    <row r="234" spans="1:10" x14ac:dyDescent="0.4">
      <c r="A234">
        <v>2031</v>
      </c>
      <c r="B234">
        <v>2.2999999999999998</v>
      </c>
      <c r="C234">
        <v>2.2999999999999998</v>
      </c>
      <c r="D234">
        <v>2.2999999999999998</v>
      </c>
      <c r="E234">
        <v>2.2999999999999998</v>
      </c>
      <c r="F234">
        <v>2.2999999999999998</v>
      </c>
      <c r="G234">
        <v>2.2999999999999998</v>
      </c>
      <c r="H234">
        <v>2.2999999999999998</v>
      </c>
      <c r="I234">
        <v>2.2999999999999998</v>
      </c>
      <c r="J234">
        <v>2.2999999999999998</v>
      </c>
    </row>
    <row r="235" spans="1:10" x14ac:dyDescent="0.4">
      <c r="A235">
        <v>2032</v>
      </c>
      <c r="B235">
        <v>2.2000000000000002</v>
      </c>
      <c r="C235">
        <v>2.2000000000000002</v>
      </c>
      <c r="D235">
        <v>2.2000000000000002</v>
      </c>
      <c r="E235">
        <v>2.2000000000000002</v>
      </c>
      <c r="F235">
        <v>2.2000000000000002</v>
      </c>
      <c r="G235">
        <v>2.2000000000000002</v>
      </c>
      <c r="H235">
        <v>2.2000000000000002</v>
      </c>
      <c r="I235">
        <v>2.2000000000000002</v>
      </c>
      <c r="J235">
        <v>2.2000000000000002</v>
      </c>
    </row>
    <row r="236" spans="1:10" x14ac:dyDescent="0.4">
      <c r="A236">
        <v>2033</v>
      </c>
      <c r="B236">
        <v>2.2000000000000002</v>
      </c>
      <c r="C236">
        <v>2.2000000000000002</v>
      </c>
      <c r="D236">
        <v>2.2000000000000002</v>
      </c>
      <c r="E236">
        <v>2.2000000000000002</v>
      </c>
      <c r="F236">
        <v>2.2000000000000002</v>
      </c>
      <c r="G236">
        <v>2.2000000000000002</v>
      </c>
      <c r="H236">
        <v>2.2000000000000002</v>
      </c>
      <c r="I236">
        <v>2.2000000000000002</v>
      </c>
      <c r="J236">
        <v>2.2000000000000002</v>
      </c>
    </row>
    <row r="237" spans="1:10" x14ac:dyDescent="0.4">
      <c r="A237">
        <v>2034</v>
      </c>
      <c r="B237">
        <v>2.2000000000000002</v>
      </c>
      <c r="C237">
        <v>2.2000000000000002</v>
      </c>
      <c r="D237">
        <v>2.2000000000000002</v>
      </c>
      <c r="E237">
        <v>2.2000000000000002</v>
      </c>
      <c r="F237">
        <v>2.2000000000000002</v>
      </c>
      <c r="G237">
        <v>2.2000000000000002</v>
      </c>
      <c r="H237">
        <v>2.2000000000000002</v>
      </c>
      <c r="I237">
        <v>2.2000000000000002</v>
      </c>
      <c r="J237">
        <v>2.2000000000000002</v>
      </c>
    </row>
    <row r="239" spans="1:10" x14ac:dyDescent="0.4">
      <c r="A239" t="s">
        <v>5</v>
      </c>
      <c r="B239" t="s">
        <v>36</v>
      </c>
      <c r="C239">
        <v>1000</v>
      </c>
      <c r="D239" t="s">
        <v>35</v>
      </c>
    </row>
    <row r="241" spans="1:3" x14ac:dyDescent="0.4">
      <c r="A241" t="s">
        <v>22</v>
      </c>
      <c r="B241" t="s">
        <v>34</v>
      </c>
      <c r="C241" t="s">
        <v>33</v>
      </c>
    </row>
    <row r="242" spans="1:3" x14ac:dyDescent="0.4">
      <c r="A242">
        <v>2021</v>
      </c>
      <c r="B242">
        <v>1.5398000000000001</v>
      </c>
      <c r="C242">
        <v>0</v>
      </c>
    </row>
    <row r="243" spans="1:3" x14ac:dyDescent="0.4">
      <c r="A243">
        <v>2022</v>
      </c>
      <c r="B243">
        <v>1.4739</v>
      </c>
      <c r="C243">
        <v>0</v>
      </c>
    </row>
    <row r="244" spans="1:3" x14ac:dyDescent="0.4">
      <c r="A244">
        <v>2023</v>
      </c>
      <c r="B244">
        <v>1.6853</v>
      </c>
      <c r="C244">
        <v>1.5100000000000001E-2</v>
      </c>
    </row>
    <row r="245" spans="1:3" x14ac:dyDescent="0.4">
      <c r="A245">
        <v>2024</v>
      </c>
      <c r="B245">
        <v>2.1564999999999999</v>
      </c>
      <c r="C245">
        <v>2.3599999999999999E-2</v>
      </c>
    </row>
    <row r="246" spans="1:3" x14ac:dyDescent="0.4">
      <c r="A246">
        <v>2025</v>
      </c>
      <c r="B246">
        <v>2.3997000000000002</v>
      </c>
      <c r="C246">
        <v>2.63E-2</v>
      </c>
    </row>
    <row r="247" spans="1:3" x14ac:dyDescent="0.4">
      <c r="A247">
        <v>2026</v>
      </c>
      <c r="B247">
        <v>2.3997000000000002</v>
      </c>
      <c r="C247">
        <v>2.63E-2</v>
      </c>
    </row>
    <row r="248" spans="1:3" x14ac:dyDescent="0.4">
      <c r="A248">
        <v>2027</v>
      </c>
      <c r="B248">
        <v>2.3997000000000002</v>
      </c>
      <c r="C248">
        <v>2.8400000000000002E-2</v>
      </c>
    </row>
    <row r="249" spans="1:3" x14ac:dyDescent="0.4">
      <c r="A249">
        <v>2028</v>
      </c>
      <c r="B249">
        <v>2.2995000000000001</v>
      </c>
      <c r="C249">
        <v>3.4099999999999998E-2</v>
      </c>
    </row>
    <row r="250" spans="1:3" x14ac:dyDescent="0.4">
      <c r="A250">
        <v>2029</v>
      </c>
      <c r="B250">
        <v>2.2991999999999999</v>
      </c>
      <c r="C250">
        <v>4.36E-2</v>
      </c>
    </row>
    <row r="251" spans="1:3" x14ac:dyDescent="0.4">
      <c r="A251">
        <v>2030</v>
      </c>
      <c r="B251">
        <v>2.2986</v>
      </c>
      <c r="C251">
        <v>5.5899999999999998E-2</v>
      </c>
    </row>
    <row r="252" spans="1:3" x14ac:dyDescent="0.4">
      <c r="A252">
        <v>2031</v>
      </c>
      <c r="B252">
        <v>2.2982</v>
      </c>
      <c r="C252">
        <v>6.5000000000000002E-2</v>
      </c>
    </row>
    <row r="253" spans="1:3" x14ac:dyDescent="0.4">
      <c r="A253">
        <v>2032</v>
      </c>
      <c r="B253">
        <v>2.1977000000000002</v>
      </c>
      <c r="C253">
        <v>7.0599999999999996E-2</v>
      </c>
    </row>
    <row r="254" spans="1:3" x14ac:dyDescent="0.4">
      <c r="A254">
        <v>2033</v>
      </c>
      <c r="B254">
        <v>2.1972</v>
      </c>
      <c r="C254">
        <v>7.9000000000000001E-2</v>
      </c>
    </row>
    <row r="255" spans="1:3" x14ac:dyDescent="0.4">
      <c r="A255">
        <v>2034</v>
      </c>
      <c r="B255">
        <v>2.1966000000000001</v>
      </c>
      <c r="C255">
        <v>8.6800000000000002E-2</v>
      </c>
    </row>
    <row r="257" spans="1:20" x14ac:dyDescent="0.4">
      <c r="A257" t="s">
        <v>5</v>
      </c>
      <c r="B257" t="s">
        <v>32</v>
      </c>
    </row>
    <row r="259" spans="1:20" x14ac:dyDescent="0.4">
      <c r="A259" t="s">
        <v>22</v>
      </c>
      <c r="B259" s="2">
        <v>0.01</v>
      </c>
      <c r="C259" s="2">
        <v>0.05</v>
      </c>
      <c r="D259" s="2">
        <v>0.1</v>
      </c>
      <c r="E259" s="2">
        <v>0.25</v>
      </c>
      <c r="F259" s="2">
        <v>0.5</v>
      </c>
      <c r="G259" s="2">
        <v>0.75</v>
      </c>
      <c r="H259" s="2">
        <v>0.9</v>
      </c>
      <c r="I259" s="2">
        <v>0.95</v>
      </c>
      <c r="J259" s="2">
        <v>0.99</v>
      </c>
      <c r="L259" s="2">
        <v>0.01</v>
      </c>
      <c r="M259" s="2">
        <v>0.05</v>
      </c>
      <c r="N259" s="2">
        <v>0.1</v>
      </c>
      <c r="O259" s="2">
        <v>0.25</v>
      </c>
      <c r="P259" s="2">
        <v>0.5</v>
      </c>
      <c r="Q259" s="2">
        <v>0.75</v>
      </c>
      <c r="R259" s="2">
        <v>0.9</v>
      </c>
      <c r="S259" s="2">
        <v>0.95</v>
      </c>
      <c r="T259" s="2">
        <v>0.99</v>
      </c>
    </row>
    <row r="260" spans="1:20" x14ac:dyDescent="0.4">
      <c r="A260">
        <v>2021</v>
      </c>
      <c r="B260">
        <v>1.5398000000000001</v>
      </c>
      <c r="C260">
        <v>1.5398000000000001</v>
      </c>
      <c r="D260">
        <v>1.5398000000000001</v>
      </c>
      <c r="E260">
        <v>1.5398000000000001</v>
      </c>
      <c r="F260">
        <v>1.5398000000000001</v>
      </c>
      <c r="G260">
        <v>1.5398000000000001</v>
      </c>
      <c r="H260">
        <v>1.5398000000000001</v>
      </c>
      <c r="I260">
        <v>1.5398000000000001</v>
      </c>
      <c r="J260">
        <v>1.5398000000000001</v>
      </c>
      <c r="L260">
        <f>B260*1000</f>
        <v>1539.8</v>
      </c>
      <c r="M260">
        <f t="shared" ref="M260:T273" si="2">C260*1000</f>
        <v>1539.8</v>
      </c>
      <c r="N260">
        <f t="shared" si="2"/>
        <v>1539.8</v>
      </c>
      <c r="O260">
        <f t="shared" si="2"/>
        <v>1539.8</v>
      </c>
      <c r="P260">
        <f t="shared" si="2"/>
        <v>1539.8</v>
      </c>
      <c r="Q260">
        <f t="shared" si="2"/>
        <v>1539.8</v>
      </c>
      <c r="R260">
        <f t="shared" si="2"/>
        <v>1539.8</v>
      </c>
      <c r="S260">
        <f t="shared" si="2"/>
        <v>1539.8</v>
      </c>
      <c r="T260">
        <f t="shared" si="2"/>
        <v>1539.8</v>
      </c>
    </row>
    <row r="261" spans="1:20" x14ac:dyDescent="0.4">
      <c r="A261">
        <v>2022</v>
      </c>
      <c r="B261">
        <v>1.4739</v>
      </c>
      <c r="C261">
        <v>1.4739</v>
      </c>
      <c r="D261">
        <v>1.4739</v>
      </c>
      <c r="E261">
        <v>1.4739</v>
      </c>
      <c r="F261">
        <v>1.4739</v>
      </c>
      <c r="G261">
        <v>1.4739</v>
      </c>
      <c r="H261">
        <v>1.4739</v>
      </c>
      <c r="I261">
        <v>1.4739</v>
      </c>
      <c r="J261">
        <v>1.4739</v>
      </c>
      <c r="L261">
        <f t="shared" ref="L261:L273" si="3">B261*1000</f>
        <v>1473.9</v>
      </c>
      <c r="M261">
        <f t="shared" si="2"/>
        <v>1473.9</v>
      </c>
      <c r="N261">
        <f t="shared" si="2"/>
        <v>1473.9</v>
      </c>
      <c r="O261">
        <f t="shared" si="2"/>
        <v>1473.9</v>
      </c>
      <c r="P261">
        <f t="shared" si="2"/>
        <v>1473.9</v>
      </c>
      <c r="Q261">
        <f t="shared" si="2"/>
        <v>1473.9</v>
      </c>
      <c r="R261">
        <f t="shared" si="2"/>
        <v>1473.9</v>
      </c>
      <c r="S261">
        <f t="shared" si="2"/>
        <v>1473.9</v>
      </c>
      <c r="T261">
        <f t="shared" si="2"/>
        <v>1473.9</v>
      </c>
    </row>
    <row r="262" spans="1:20" x14ac:dyDescent="0.4">
      <c r="A262">
        <v>2023</v>
      </c>
      <c r="B262">
        <v>1.6854</v>
      </c>
      <c r="C262">
        <v>1.6854</v>
      </c>
      <c r="D262">
        <v>1.6854</v>
      </c>
      <c r="E262">
        <v>1.6854</v>
      </c>
      <c r="F262">
        <v>1.6854</v>
      </c>
      <c r="G262">
        <v>1.6854</v>
      </c>
      <c r="H262">
        <v>1.6854</v>
      </c>
      <c r="I262">
        <v>1.6854</v>
      </c>
      <c r="J262">
        <v>1.6854</v>
      </c>
      <c r="L262">
        <f t="shared" si="3"/>
        <v>1685.4</v>
      </c>
      <c r="M262">
        <f t="shared" si="2"/>
        <v>1685.4</v>
      </c>
      <c r="N262">
        <f t="shared" si="2"/>
        <v>1685.4</v>
      </c>
      <c r="O262">
        <f t="shared" si="2"/>
        <v>1685.4</v>
      </c>
      <c r="P262">
        <f t="shared" si="2"/>
        <v>1685.4</v>
      </c>
      <c r="Q262">
        <f t="shared" si="2"/>
        <v>1685.4</v>
      </c>
      <c r="R262">
        <f t="shared" si="2"/>
        <v>1685.4</v>
      </c>
      <c r="S262">
        <f t="shared" si="2"/>
        <v>1685.4</v>
      </c>
      <c r="T262">
        <f t="shared" si="2"/>
        <v>1685.4</v>
      </c>
    </row>
    <row r="263" spans="1:20" x14ac:dyDescent="0.4">
      <c r="A263">
        <v>2024</v>
      </c>
      <c r="B263">
        <v>2.1566999999999998</v>
      </c>
      <c r="C263">
        <v>2.1566999999999998</v>
      </c>
      <c r="D263">
        <v>2.1566999999999998</v>
      </c>
      <c r="E263">
        <v>2.1566999999999998</v>
      </c>
      <c r="F263">
        <v>2.1566999999999998</v>
      </c>
      <c r="G263">
        <v>2.1566999999999998</v>
      </c>
      <c r="H263">
        <v>2.1566999999999998</v>
      </c>
      <c r="I263">
        <v>2.1566999999999998</v>
      </c>
      <c r="J263">
        <v>2.1566999999999998</v>
      </c>
      <c r="L263">
        <f t="shared" si="3"/>
        <v>2156.6999999999998</v>
      </c>
      <c r="M263">
        <f t="shared" si="2"/>
        <v>2156.6999999999998</v>
      </c>
      <c r="N263">
        <f t="shared" si="2"/>
        <v>2156.6999999999998</v>
      </c>
      <c r="O263">
        <f t="shared" si="2"/>
        <v>2156.6999999999998</v>
      </c>
      <c r="P263">
        <f t="shared" si="2"/>
        <v>2156.6999999999998</v>
      </c>
      <c r="Q263">
        <f t="shared" si="2"/>
        <v>2156.6999999999998</v>
      </c>
      <c r="R263">
        <f t="shared" si="2"/>
        <v>2156.6999999999998</v>
      </c>
      <c r="S263">
        <f t="shared" si="2"/>
        <v>2156.6999999999998</v>
      </c>
      <c r="T263">
        <f t="shared" si="2"/>
        <v>2156.6999999999998</v>
      </c>
    </row>
    <row r="264" spans="1:20" x14ac:dyDescent="0.4">
      <c r="A264">
        <v>2025</v>
      </c>
      <c r="B264">
        <v>2.4</v>
      </c>
      <c r="C264">
        <v>2.4</v>
      </c>
      <c r="D264">
        <v>2.4</v>
      </c>
      <c r="E264">
        <v>2.4</v>
      </c>
      <c r="F264">
        <v>2.4</v>
      </c>
      <c r="G264">
        <v>2.4</v>
      </c>
      <c r="H264">
        <v>2.4</v>
      </c>
      <c r="I264">
        <v>2.4</v>
      </c>
      <c r="J264">
        <v>2.4</v>
      </c>
      <c r="L264">
        <f t="shared" si="3"/>
        <v>2400</v>
      </c>
      <c r="M264">
        <f t="shared" si="2"/>
        <v>2400</v>
      </c>
      <c r="N264">
        <f t="shared" si="2"/>
        <v>2400</v>
      </c>
      <c r="O264">
        <f t="shared" si="2"/>
        <v>2400</v>
      </c>
      <c r="P264">
        <f t="shared" si="2"/>
        <v>2400</v>
      </c>
      <c r="Q264">
        <f t="shared" si="2"/>
        <v>2400</v>
      </c>
      <c r="R264">
        <f t="shared" si="2"/>
        <v>2400</v>
      </c>
      <c r="S264">
        <f t="shared" si="2"/>
        <v>2400</v>
      </c>
      <c r="T264">
        <f t="shared" si="2"/>
        <v>2400</v>
      </c>
    </row>
    <row r="265" spans="1:20" x14ac:dyDescent="0.4">
      <c r="A265">
        <v>2026</v>
      </c>
      <c r="B265">
        <v>2.4</v>
      </c>
      <c r="C265">
        <v>2.4</v>
      </c>
      <c r="D265">
        <v>2.4</v>
      </c>
      <c r="E265">
        <v>2.4</v>
      </c>
      <c r="F265">
        <v>2.4</v>
      </c>
      <c r="G265">
        <v>2.4</v>
      </c>
      <c r="H265">
        <v>2.4</v>
      </c>
      <c r="I265">
        <v>2.4</v>
      </c>
      <c r="J265">
        <v>2.4</v>
      </c>
      <c r="L265">
        <f t="shared" si="3"/>
        <v>2400</v>
      </c>
      <c r="M265">
        <f t="shared" si="2"/>
        <v>2400</v>
      </c>
      <c r="N265">
        <f t="shared" si="2"/>
        <v>2400</v>
      </c>
      <c r="O265">
        <f t="shared" si="2"/>
        <v>2400</v>
      </c>
      <c r="P265">
        <f t="shared" si="2"/>
        <v>2400</v>
      </c>
      <c r="Q265">
        <f t="shared" si="2"/>
        <v>2400</v>
      </c>
      <c r="R265">
        <f t="shared" si="2"/>
        <v>2400</v>
      </c>
      <c r="S265">
        <f t="shared" si="2"/>
        <v>2400</v>
      </c>
      <c r="T265">
        <f t="shared" si="2"/>
        <v>2400</v>
      </c>
    </row>
    <row r="266" spans="1:20" x14ac:dyDescent="0.4">
      <c r="A266">
        <v>2027</v>
      </c>
      <c r="B266">
        <v>2.4</v>
      </c>
      <c r="C266">
        <v>2.4</v>
      </c>
      <c r="D266">
        <v>2.4</v>
      </c>
      <c r="E266">
        <v>2.4</v>
      </c>
      <c r="F266">
        <v>2.4</v>
      </c>
      <c r="G266">
        <v>2.4</v>
      </c>
      <c r="H266">
        <v>2.4</v>
      </c>
      <c r="I266">
        <v>2.4</v>
      </c>
      <c r="J266">
        <v>2.4</v>
      </c>
      <c r="L266">
        <f t="shared" si="3"/>
        <v>2400</v>
      </c>
      <c r="M266">
        <f t="shared" si="2"/>
        <v>2400</v>
      </c>
      <c r="N266">
        <f t="shared" si="2"/>
        <v>2400</v>
      </c>
      <c r="O266">
        <f t="shared" si="2"/>
        <v>2400</v>
      </c>
      <c r="P266">
        <f t="shared" si="2"/>
        <v>2400</v>
      </c>
      <c r="Q266">
        <f t="shared" si="2"/>
        <v>2400</v>
      </c>
      <c r="R266">
        <f t="shared" si="2"/>
        <v>2400</v>
      </c>
      <c r="S266">
        <f t="shared" si="2"/>
        <v>2400</v>
      </c>
      <c r="T266">
        <f t="shared" si="2"/>
        <v>2400</v>
      </c>
    </row>
    <row r="267" spans="1:20" x14ac:dyDescent="0.4">
      <c r="A267">
        <v>2028</v>
      </c>
      <c r="B267">
        <v>2.2999999999999998</v>
      </c>
      <c r="C267">
        <v>2.2999999999999998</v>
      </c>
      <c r="D267">
        <v>2.2999999999999998</v>
      </c>
      <c r="E267">
        <v>2.2999999999999998</v>
      </c>
      <c r="F267">
        <v>2.2999999999999998</v>
      </c>
      <c r="G267">
        <v>2.2999999999999998</v>
      </c>
      <c r="H267">
        <v>2.2999999999999998</v>
      </c>
      <c r="I267">
        <v>2.2999999999999998</v>
      </c>
      <c r="J267">
        <v>2.2999999999999998</v>
      </c>
      <c r="L267">
        <f t="shared" si="3"/>
        <v>2300</v>
      </c>
      <c r="M267">
        <f t="shared" si="2"/>
        <v>2300</v>
      </c>
      <c r="N267">
        <f t="shared" si="2"/>
        <v>2300</v>
      </c>
      <c r="O267">
        <f t="shared" si="2"/>
        <v>2300</v>
      </c>
      <c r="P267">
        <f t="shared" si="2"/>
        <v>2300</v>
      </c>
      <c r="Q267">
        <f t="shared" si="2"/>
        <v>2300</v>
      </c>
      <c r="R267">
        <f t="shared" si="2"/>
        <v>2300</v>
      </c>
      <c r="S267">
        <f t="shared" si="2"/>
        <v>2300</v>
      </c>
      <c r="T267">
        <f t="shared" si="2"/>
        <v>2300</v>
      </c>
    </row>
    <row r="268" spans="1:20" x14ac:dyDescent="0.4">
      <c r="A268">
        <v>2029</v>
      </c>
      <c r="B268">
        <v>2.2999999999999998</v>
      </c>
      <c r="C268">
        <v>2.2999999999999998</v>
      </c>
      <c r="D268">
        <v>2.2999999999999998</v>
      </c>
      <c r="E268">
        <v>2.2999999999999998</v>
      </c>
      <c r="F268">
        <v>2.2999999999999998</v>
      </c>
      <c r="G268">
        <v>2.2999999999999998</v>
      </c>
      <c r="H268">
        <v>2.2999999999999998</v>
      </c>
      <c r="I268">
        <v>2.2999999999999998</v>
      </c>
      <c r="J268">
        <v>2.2999999999999998</v>
      </c>
      <c r="L268">
        <f t="shared" si="3"/>
        <v>2300</v>
      </c>
      <c r="M268">
        <f t="shared" si="2"/>
        <v>2300</v>
      </c>
      <c r="N268">
        <f t="shared" si="2"/>
        <v>2300</v>
      </c>
      <c r="O268">
        <f t="shared" si="2"/>
        <v>2300</v>
      </c>
      <c r="P268">
        <f t="shared" si="2"/>
        <v>2300</v>
      </c>
      <c r="Q268">
        <f t="shared" si="2"/>
        <v>2300</v>
      </c>
      <c r="R268">
        <f t="shared" si="2"/>
        <v>2300</v>
      </c>
      <c r="S268">
        <f t="shared" si="2"/>
        <v>2300</v>
      </c>
      <c r="T268">
        <f t="shared" si="2"/>
        <v>2300</v>
      </c>
    </row>
    <row r="269" spans="1:20" x14ac:dyDescent="0.4">
      <c r="A269">
        <v>2030</v>
      </c>
      <c r="B269">
        <v>2.2999999999999998</v>
      </c>
      <c r="C269">
        <v>2.2999999999999998</v>
      </c>
      <c r="D269">
        <v>2.2999999999999998</v>
      </c>
      <c r="E269">
        <v>2.2999999999999998</v>
      </c>
      <c r="F269">
        <v>2.2999999999999998</v>
      </c>
      <c r="G269">
        <v>2.2999999999999998</v>
      </c>
      <c r="H269">
        <v>2.2999999999999998</v>
      </c>
      <c r="I269">
        <v>2.2999999999999998</v>
      </c>
      <c r="J269">
        <v>2.2999999999999998</v>
      </c>
      <c r="L269">
        <f t="shared" si="3"/>
        <v>2300</v>
      </c>
      <c r="M269">
        <f t="shared" si="2"/>
        <v>2300</v>
      </c>
      <c r="N269">
        <f t="shared" si="2"/>
        <v>2300</v>
      </c>
      <c r="O269">
        <f t="shared" si="2"/>
        <v>2300</v>
      </c>
      <c r="P269">
        <f t="shared" si="2"/>
        <v>2300</v>
      </c>
      <c r="Q269">
        <f t="shared" si="2"/>
        <v>2300</v>
      </c>
      <c r="R269">
        <f t="shared" si="2"/>
        <v>2300</v>
      </c>
      <c r="S269">
        <f t="shared" si="2"/>
        <v>2300</v>
      </c>
      <c r="T269">
        <f t="shared" si="2"/>
        <v>2300</v>
      </c>
    </row>
    <row r="270" spans="1:20" x14ac:dyDescent="0.4">
      <c r="A270">
        <v>2031</v>
      </c>
      <c r="B270">
        <v>2.2999999999999998</v>
      </c>
      <c r="C270">
        <v>2.2999999999999998</v>
      </c>
      <c r="D270">
        <v>2.2999999999999998</v>
      </c>
      <c r="E270">
        <v>2.2999999999999998</v>
      </c>
      <c r="F270">
        <v>2.2999999999999998</v>
      </c>
      <c r="G270">
        <v>2.2999999999999998</v>
      </c>
      <c r="H270">
        <v>2.2999999999999998</v>
      </c>
      <c r="I270">
        <v>2.2999999999999998</v>
      </c>
      <c r="J270">
        <v>2.2999999999999998</v>
      </c>
      <c r="L270">
        <f t="shared" si="3"/>
        <v>2300</v>
      </c>
      <c r="M270">
        <f t="shared" si="2"/>
        <v>2300</v>
      </c>
      <c r="N270">
        <f t="shared" si="2"/>
        <v>2300</v>
      </c>
      <c r="O270">
        <f t="shared" si="2"/>
        <v>2300</v>
      </c>
      <c r="P270">
        <f t="shared" si="2"/>
        <v>2300</v>
      </c>
      <c r="Q270">
        <f t="shared" si="2"/>
        <v>2300</v>
      </c>
      <c r="R270">
        <f t="shared" si="2"/>
        <v>2300</v>
      </c>
      <c r="S270">
        <f t="shared" si="2"/>
        <v>2300</v>
      </c>
      <c r="T270">
        <f t="shared" si="2"/>
        <v>2300</v>
      </c>
    </row>
    <row r="271" spans="1:20" x14ac:dyDescent="0.4">
      <c r="A271">
        <v>2032</v>
      </c>
      <c r="B271">
        <v>2.2000000000000002</v>
      </c>
      <c r="C271">
        <v>2.2000000000000002</v>
      </c>
      <c r="D271">
        <v>2.2000000000000002</v>
      </c>
      <c r="E271">
        <v>2.2000000000000002</v>
      </c>
      <c r="F271">
        <v>2.2000000000000002</v>
      </c>
      <c r="G271">
        <v>2.2000000000000002</v>
      </c>
      <c r="H271">
        <v>2.2000000000000002</v>
      </c>
      <c r="I271">
        <v>2.2000000000000002</v>
      </c>
      <c r="J271">
        <v>2.2000000000000002</v>
      </c>
      <c r="L271">
        <f t="shared" si="3"/>
        <v>2200</v>
      </c>
      <c r="M271">
        <f t="shared" si="2"/>
        <v>2200</v>
      </c>
      <c r="N271">
        <f t="shared" si="2"/>
        <v>2200</v>
      </c>
      <c r="O271">
        <f t="shared" si="2"/>
        <v>2200</v>
      </c>
      <c r="P271">
        <f t="shared" si="2"/>
        <v>2200</v>
      </c>
      <c r="Q271">
        <f t="shared" si="2"/>
        <v>2200</v>
      </c>
      <c r="R271">
        <f t="shared" si="2"/>
        <v>2200</v>
      </c>
      <c r="S271">
        <f t="shared" si="2"/>
        <v>2200</v>
      </c>
      <c r="T271">
        <f t="shared" si="2"/>
        <v>2200</v>
      </c>
    </row>
    <row r="272" spans="1:20" x14ac:dyDescent="0.4">
      <c r="A272">
        <v>2033</v>
      </c>
      <c r="B272">
        <v>2.2000000000000002</v>
      </c>
      <c r="C272">
        <v>2.2000000000000002</v>
      </c>
      <c r="D272">
        <v>2.2000000000000002</v>
      </c>
      <c r="E272">
        <v>2.2000000000000002</v>
      </c>
      <c r="F272">
        <v>2.2000000000000002</v>
      </c>
      <c r="G272">
        <v>2.2000000000000002</v>
      </c>
      <c r="H272">
        <v>2.2000000000000002</v>
      </c>
      <c r="I272">
        <v>2.2000000000000002</v>
      </c>
      <c r="J272">
        <v>2.2000000000000002</v>
      </c>
      <c r="L272">
        <f t="shared" si="3"/>
        <v>2200</v>
      </c>
      <c r="M272">
        <f t="shared" si="2"/>
        <v>2200</v>
      </c>
      <c r="N272">
        <f t="shared" si="2"/>
        <v>2200</v>
      </c>
      <c r="O272">
        <f t="shared" si="2"/>
        <v>2200</v>
      </c>
      <c r="P272">
        <f t="shared" si="2"/>
        <v>2200</v>
      </c>
      <c r="Q272">
        <f t="shared" si="2"/>
        <v>2200</v>
      </c>
      <c r="R272">
        <f t="shared" si="2"/>
        <v>2200</v>
      </c>
      <c r="S272">
        <f t="shared" si="2"/>
        <v>2200</v>
      </c>
      <c r="T272">
        <f t="shared" si="2"/>
        <v>2200</v>
      </c>
    </row>
    <row r="273" spans="1:20" x14ac:dyDescent="0.4">
      <c r="A273">
        <v>2034</v>
      </c>
      <c r="B273">
        <v>2.2000000000000002</v>
      </c>
      <c r="C273">
        <v>2.2000000000000002</v>
      </c>
      <c r="D273">
        <v>2.2000000000000002</v>
      </c>
      <c r="E273">
        <v>2.2000000000000002</v>
      </c>
      <c r="F273">
        <v>2.2000000000000002</v>
      </c>
      <c r="G273">
        <v>2.2000000000000002</v>
      </c>
      <c r="H273">
        <v>2.2000000000000002</v>
      </c>
      <c r="I273">
        <v>2.2000000000000002</v>
      </c>
      <c r="J273">
        <v>2.2000000000000002</v>
      </c>
      <c r="L273">
        <f t="shared" si="3"/>
        <v>2200</v>
      </c>
      <c r="M273">
        <f t="shared" si="2"/>
        <v>2200</v>
      </c>
      <c r="N273">
        <f t="shared" si="2"/>
        <v>2200</v>
      </c>
      <c r="O273">
        <f t="shared" si="2"/>
        <v>2200</v>
      </c>
      <c r="P273">
        <f t="shared" si="2"/>
        <v>2200</v>
      </c>
      <c r="Q273">
        <f t="shared" si="2"/>
        <v>2200</v>
      </c>
      <c r="R273">
        <f t="shared" si="2"/>
        <v>2200</v>
      </c>
      <c r="S273">
        <f t="shared" si="2"/>
        <v>2200</v>
      </c>
      <c r="T273">
        <f t="shared" si="2"/>
        <v>2200</v>
      </c>
    </row>
    <row r="275" spans="1:20" x14ac:dyDescent="0.4">
      <c r="A275" t="s">
        <v>26</v>
      </c>
      <c r="B275" t="s">
        <v>25</v>
      </c>
      <c r="C275" t="s">
        <v>24</v>
      </c>
    </row>
    <row r="277" spans="1:20" x14ac:dyDescent="0.4">
      <c r="A277" t="s">
        <v>22</v>
      </c>
      <c r="B277" t="s">
        <v>34</v>
      </c>
      <c r="C277" t="s">
        <v>33</v>
      </c>
    </row>
    <row r="278" spans="1:20" x14ac:dyDescent="0.4">
      <c r="A278">
        <v>2021</v>
      </c>
      <c r="B278">
        <v>0.52710000000000001</v>
      </c>
      <c r="C278">
        <v>9.4700000000000006E-2</v>
      </c>
    </row>
    <row r="279" spans="1:20" x14ac:dyDescent="0.4">
      <c r="A279">
        <v>2022</v>
      </c>
      <c r="B279">
        <v>0.37269999999999998</v>
      </c>
      <c r="C279">
        <v>7.4899999999999994E-2</v>
      </c>
    </row>
    <row r="280" spans="1:20" x14ac:dyDescent="0.4">
      <c r="A280">
        <v>2023</v>
      </c>
      <c r="B280">
        <v>0.38140000000000002</v>
      </c>
      <c r="C280">
        <v>9.11E-2</v>
      </c>
    </row>
    <row r="281" spans="1:20" x14ac:dyDescent="0.4">
      <c r="A281">
        <v>2024</v>
      </c>
      <c r="B281">
        <v>0.42370000000000002</v>
      </c>
      <c r="C281">
        <v>0.1196</v>
      </c>
    </row>
    <row r="282" spans="1:20" x14ac:dyDescent="0.4">
      <c r="A282">
        <v>2025</v>
      </c>
      <c r="B282">
        <v>0.48509999999999998</v>
      </c>
      <c r="C282">
        <v>0.17180000000000001</v>
      </c>
    </row>
    <row r="283" spans="1:20" x14ac:dyDescent="0.4">
      <c r="A283">
        <v>2026</v>
      </c>
      <c r="B283">
        <v>0.53390000000000004</v>
      </c>
      <c r="C283">
        <v>0.23760000000000001</v>
      </c>
    </row>
    <row r="284" spans="1:20" x14ac:dyDescent="0.4">
      <c r="A284">
        <v>2027</v>
      </c>
      <c r="B284">
        <v>0.5827</v>
      </c>
      <c r="C284">
        <v>0.32150000000000001</v>
      </c>
    </row>
    <row r="285" spans="1:20" x14ac:dyDescent="0.4">
      <c r="A285">
        <v>2028</v>
      </c>
      <c r="B285">
        <v>0.58620000000000005</v>
      </c>
      <c r="C285">
        <v>0.36780000000000002</v>
      </c>
    </row>
    <row r="286" spans="1:20" x14ac:dyDescent="0.4">
      <c r="A286">
        <v>2029</v>
      </c>
      <c r="B286">
        <v>0.61050000000000004</v>
      </c>
      <c r="C286">
        <v>0.41560000000000002</v>
      </c>
    </row>
    <row r="287" spans="1:20" x14ac:dyDescent="0.4">
      <c r="A287">
        <v>2030</v>
      </c>
      <c r="B287">
        <v>0.63270000000000004</v>
      </c>
      <c r="C287">
        <v>0.4592</v>
      </c>
    </row>
    <row r="288" spans="1:20" x14ac:dyDescent="0.4">
      <c r="A288">
        <v>2031</v>
      </c>
      <c r="B288">
        <v>0.65229999999999999</v>
      </c>
      <c r="C288">
        <v>0.49020000000000002</v>
      </c>
    </row>
    <row r="289" spans="1:21" x14ac:dyDescent="0.4">
      <c r="A289">
        <v>2032</v>
      </c>
      <c r="B289">
        <v>0.63229999999999997</v>
      </c>
      <c r="C289">
        <v>0.48830000000000001</v>
      </c>
    </row>
    <row r="290" spans="1:21" x14ac:dyDescent="0.4">
      <c r="A290">
        <v>2033</v>
      </c>
      <c r="B290">
        <v>0.63100000000000001</v>
      </c>
      <c r="C290">
        <v>0.4904</v>
      </c>
    </row>
    <row r="291" spans="1:21" x14ac:dyDescent="0.4">
      <c r="A291">
        <v>2034</v>
      </c>
      <c r="B291">
        <v>0.63009999999999999</v>
      </c>
      <c r="C291">
        <v>0.49590000000000001</v>
      </c>
    </row>
    <row r="293" spans="1:21" x14ac:dyDescent="0.4">
      <c r="A293" t="s">
        <v>26</v>
      </c>
      <c r="B293" t="s">
        <v>25</v>
      </c>
      <c r="C293" t="s">
        <v>24</v>
      </c>
      <c r="D293" t="s">
        <v>32</v>
      </c>
    </row>
    <row r="295" spans="1:21" x14ac:dyDescent="0.4">
      <c r="A295" t="s">
        <v>22</v>
      </c>
      <c r="B295" s="2">
        <v>0.01</v>
      </c>
      <c r="C295" s="2">
        <v>0.05</v>
      </c>
      <c r="D295" s="2">
        <v>0.1</v>
      </c>
      <c r="E295" s="2">
        <v>0.25</v>
      </c>
      <c r="F295" s="2">
        <v>0.5</v>
      </c>
      <c r="G295" s="2">
        <v>0.75</v>
      </c>
      <c r="H295" s="2">
        <v>0.9</v>
      </c>
      <c r="I295" s="2">
        <v>0.95</v>
      </c>
      <c r="J295" s="2">
        <v>0.99</v>
      </c>
      <c r="L295" t="s">
        <v>22</v>
      </c>
      <c r="M295" s="2">
        <v>0.01</v>
      </c>
      <c r="N295" s="2">
        <v>0.05</v>
      </c>
      <c r="O295" s="2">
        <v>0.1</v>
      </c>
      <c r="P295" s="2">
        <v>0.25</v>
      </c>
      <c r="Q295" s="2">
        <v>0.5</v>
      </c>
      <c r="R295" s="2">
        <v>0.75</v>
      </c>
      <c r="S295" s="2">
        <v>0.9</v>
      </c>
      <c r="T295" s="2">
        <v>0.95</v>
      </c>
      <c r="U295" s="2">
        <v>0.99</v>
      </c>
    </row>
    <row r="296" spans="1:21" x14ac:dyDescent="0.4">
      <c r="A296">
        <v>2021</v>
      </c>
      <c r="B296">
        <v>0.28320000000000001</v>
      </c>
      <c r="C296">
        <v>0.38669999999999999</v>
      </c>
      <c r="D296">
        <v>0.41810000000000003</v>
      </c>
      <c r="E296">
        <v>0.4637</v>
      </c>
      <c r="F296">
        <v>0.52470000000000006</v>
      </c>
      <c r="G296">
        <v>0.58340000000000003</v>
      </c>
      <c r="H296">
        <v>0.63759999999999994</v>
      </c>
      <c r="I296">
        <v>0.67179999999999995</v>
      </c>
      <c r="J296">
        <v>0.8276</v>
      </c>
      <c r="L296">
        <v>2021</v>
      </c>
      <c r="M296" s="14">
        <f>B296*0.63</f>
        <v>0.17841600000000002</v>
      </c>
      <c r="N296" s="14">
        <f t="shared" ref="N296:U309" si="4">C296*0.63</f>
        <v>0.243621</v>
      </c>
      <c r="O296" s="14">
        <f t="shared" si="4"/>
        <v>0.263403</v>
      </c>
      <c r="P296" s="14">
        <f t="shared" si="4"/>
        <v>0.29213100000000003</v>
      </c>
      <c r="Q296" s="14">
        <f t="shared" si="4"/>
        <v>0.33056100000000005</v>
      </c>
      <c r="R296" s="14">
        <f t="shared" si="4"/>
        <v>0.36754200000000004</v>
      </c>
      <c r="S296" s="14">
        <f t="shared" si="4"/>
        <v>0.40168799999999999</v>
      </c>
      <c r="T296" s="14">
        <f t="shared" si="4"/>
        <v>0.423234</v>
      </c>
      <c r="U296" s="14">
        <f t="shared" si="4"/>
        <v>0.52138799999999996</v>
      </c>
    </row>
    <row r="297" spans="1:21" x14ac:dyDescent="0.4">
      <c r="A297">
        <v>2022</v>
      </c>
      <c r="B297">
        <v>0.2248</v>
      </c>
      <c r="C297">
        <v>0.2606</v>
      </c>
      <c r="D297">
        <v>0.28050000000000003</v>
      </c>
      <c r="E297">
        <v>0.3251</v>
      </c>
      <c r="F297">
        <v>0.36380000000000001</v>
      </c>
      <c r="G297">
        <v>0.41439999999999999</v>
      </c>
      <c r="H297">
        <v>0.47310000000000002</v>
      </c>
      <c r="I297">
        <v>0.51</v>
      </c>
      <c r="J297">
        <v>0.58609999999999995</v>
      </c>
      <c r="L297">
        <v>2022</v>
      </c>
      <c r="M297" s="14">
        <f t="shared" ref="M297:M309" si="5">B297*0.63</f>
        <v>0.141624</v>
      </c>
      <c r="N297" s="14">
        <f t="shared" si="4"/>
        <v>0.16417799999999999</v>
      </c>
      <c r="O297" s="14">
        <f t="shared" si="4"/>
        <v>0.17671500000000001</v>
      </c>
      <c r="P297" s="14">
        <f t="shared" si="4"/>
        <v>0.204813</v>
      </c>
      <c r="Q297" s="14">
        <f t="shared" si="4"/>
        <v>0.22919400000000001</v>
      </c>
      <c r="R297" s="14">
        <f t="shared" si="4"/>
        <v>0.26107199999999997</v>
      </c>
      <c r="S297" s="14">
        <f t="shared" si="4"/>
        <v>0.29805300000000001</v>
      </c>
      <c r="T297" s="14">
        <f t="shared" si="4"/>
        <v>0.32130000000000003</v>
      </c>
      <c r="U297" s="14">
        <f t="shared" si="4"/>
        <v>0.36924299999999999</v>
      </c>
    </row>
    <row r="298" spans="1:21" x14ac:dyDescent="0.4">
      <c r="A298">
        <v>2023</v>
      </c>
      <c r="B298">
        <v>0.22339999999999999</v>
      </c>
      <c r="C298">
        <v>0.25519999999999998</v>
      </c>
      <c r="D298">
        <v>0.27660000000000001</v>
      </c>
      <c r="E298">
        <v>0.31790000000000002</v>
      </c>
      <c r="F298">
        <v>0.36899999999999999</v>
      </c>
      <c r="G298">
        <v>0.432</v>
      </c>
      <c r="H298">
        <v>0.50329999999999997</v>
      </c>
      <c r="I298">
        <v>0.5494</v>
      </c>
      <c r="J298">
        <v>0.64829999999999999</v>
      </c>
      <c r="L298">
        <v>2023</v>
      </c>
      <c r="M298" s="14">
        <f t="shared" si="5"/>
        <v>0.14074200000000001</v>
      </c>
      <c r="N298" s="14">
        <f t="shared" si="4"/>
        <v>0.160776</v>
      </c>
      <c r="O298" s="14">
        <f t="shared" si="4"/>
        <v>0.174258</v>
      </c>
      <c r="P298" s="14">
        <f t="shared" si="4"/>
        <v>0.20027700000000001</v>
      </c>
      <c r="Q298" s="14">
        <f t="shared" si="4"/>
        <v>0.23247000000000001</v>
      </c>
      <c r="R298" s="14">
        <f t="shared" si="4"/>
        <v>0.27216000000000001</v>
      </c>
      <c r="S298" s="14">
        <f t="shared" si="4"/>
        <v>0.317079</v>
      </c>
      <c r="T298" s="14">
        <f t="shared" si="4"/>
        <v>0.34612199999999999</v>
      </c>
      <c r="U298" s="14">
        <f t="shared" si="4"/>
        <v>0.40842899999999999</v>
      </c>
    </row>
    <row r="299" spans="1:21" x14ac:dyDescent="0.4">
      <c r="A299">
        <v>2024</v>
      </c>
      <c r="B299">
        <v>0.2329</v>
      </c>
      <c r="C299">
        <v>0.2712</v>
      </c>
      <c r="D299">
        <v>0.29420000000000002</v>
      </c>
      <c r="E299">
        <v>0.33979999999999999</v>
      </c>
      <c r="F299">
        <v>0.40310000000000001</v>
      </c>
      <c r="G299">
        <v>0.48520000000000002</v>
      </c>
      <c r="H299">
        <v>0.57950000000000002</v>
      </c>
      <c r="I299">
        <v>0.64770000000000005</v>
      </c>
      <c r="J299">
        <v>0.79990000000000006</v>
      </c>
      <c r="L299">
        <v>2024</v>
      </c>
      <c r="M299" s="14">
        <f t="shared" si="5"/>
        <v>0.146727</v>
      </c>
      <c r="N299" s="14">
        <f t="shared" si="4"/>
        <v>0.17085600000000001</v>
      </c>
      <c r="O299" s="14">
        <f t="shared" si="4"/>
        <v>0.18534600000000001</v>
      </c>
      <c r="P299" s="14">
        <f t="shared" si="4"/>
        <v>0.21407399999999999</v>
      </c>
      <c r="Q299" s="14">
        <f t="shared" si="4"/>
        <v>0.25395299999999998</v>
      </c>
      <c r="R299" s="14">
        <f t="shared" si="4"/>
        <v>0.305676</v>
      </c>
      <c r="S299" s="14">
        <f t="shared" si="4"/>
        <v>0.36508499999999999</v>
      </c>
      <c r="T299" s="14">
        <f t="shared" si="4"/>
        <v>0.40805100000000005</v>
      </c>
      <c r="U299" s="14">
        <f t="shared" si="4"/>
        <v>0.50393700000000008</v>
      </c>
    </row>
    <row r="300" spans="1:21" x14ac:dyDescent="0.4">
      <c r="A300">
        <v>2025</v>
      </c>
      <c r="B300">
        <v>0.24149999999999999</v>
      </c>
      <c r="C300">
        <v>0.28739999999999999</v>
      </c>
      <c r="D300">
        <v>0.31490000000000001</v>
      </c>
      <c r="E300">
        <v>0.36930000000000002</v>
      </c>
      <c r="F300">
        <v>0.44940000000000002</v>
      </c>
      <c r="G300">
        <v>0.55930000000000002</v>
      </c>
      <c r="H300">
        <v>0.69620000000000004</v>
      </c>
      <c r="I300">
        <v>0.80200000000000005</v>
      </c>
      <c r="J300">
        <v>1.0719000000000001</v>
      </c>
      <c r="L300">
        <v>2025</v>
      </c>
      <c r="M300" s="14">
        <f t="shared" si="5"/>
        <v>0.152145</v>
      </c>
      <c r="N300" s="14">
        <f t="shared" si="4"/>
        <v>0.181062</v>
      </c>
      <c r="O300" s="14">
        <f t="shared" si="4"/>
        <v>0.19838700000000001</v>
      </c>
      <c r="P300" s="14">
        <f t="shared" si="4"/>
        <v>0.232659</v>
      </c>
      <c r="Q300" s="14">
        <f t="shared" si="4"/>
        <v>0.28312200000000004</v>
      </c>
      <c r="R300" s="14">
        <f t="shared" si="4"/>
        <v>0.35235900000000003</v>
      </c>
      <c r="S300" s="14">
        <f t="shared" si="4"/>
        <v>0.43860600000000005</v>
      </c>
      <c r="T300" s="14">
        <f t="shared" si="4"/>
        <v>0.50526000000000004</v>
      </c>
      <c r="U300" s="14">
        <f t="shared" si="4"/>
        <v>0.67529700000000004</v>
      </c>
    </row>
    <row r="301" spans="1:21" x14ac:dyDescent="0.4">
      <c r="A301">
        <v>2026</v>
      </c>
      <c r="B301">
        <v>0.23949999999999999</v>
      </c>
      <c r="C301">
        <v>0.29399999999999998</v>
      </c>
      <c r="D301">
        <v>0.32469999999999999</v>
      </c>
      <c r="E301">
        <v>0.38740000000000002</v>
      </c>
      <c r="F301">
        <v>0.47989999999999999</v>
      </c>
      <c r="G301">
        <v>0.61509999999999998</v>
      </c>
      <c r="H301">
        <v>0.79620000000000002</v>
      </c>
      <c r="I301">
        <v>0.94989999999999997</v>
      </c>
      <c r="J301">
        <v>1.3775999999999999</v>
      </c>
      <c r="L301">
        <v>2026</v>
      </c>
      <c r="M301" s="14">
        <f t="shared" si="5"/>
        <v>0.15088499999999999</v>
      </c>
      <c r="N301" s="14">
        <f t="shared" si="4"/>
        <v>0.18522</v>
      </c>
      <c r="O301" s="14">
        <f t="shared" si="4"/>
        <v>0.20456099999999999</v>
      </c>
      <c r="P301" s="14">
        <f t="shared" si="4"/>
        <v>0.24406200000000003</v>
      </c>
      <c r="Q301" s="14">
        <f t="shared" si="4"/>
        <v>0.30233700000000002</v>
      </c>
      <c r="R301" s="14">
        <f t="shared" si="4"/>
        <v>0.387513</v>
      </c>
      <c r="S301" s="14">
        <f t="shared" si="4"/>
        <v>0.501606</v>
      </c>
      <c r="T301" s="14">
        <f t="shared" si="4"/>
        <v>0.598437</v>
      </c>
      <c r="U301" s="14">
        <f t="shared" si="4"/>
        <v>0.86788799999999999</v>
      </c>
    </row>
    <row r="302" spans="1:21" x14ac:dyDescent="0.4">
      <c r="A302">
        <v>2027</v>
      </c>
      <c r="B302">
        <v>0.24129999999999999</v>
      </c>
      <c r="C302">
        <v>0.3</v>
      </c>
      <c r="D302">
        <v>0.33460000000000001</v>
      </c>
      <c r="E302">
        <v>0.40310000000000001</v>
      </c>
      <c r="F302">
        <v>0.50829999999999997</v>
      </c>
      <c r="G302">
        <v>0.66639999999999999</v>
      </c>
      <c r="H302">
        <v>0.89070000000000005</v>
      </c>
      <c r="I302">
        <v>1.0962000000000001</v>
      </c>
      <c r="J302">
        <v>1.7505999999999999</v>
      </c>
      <c r="L302">
        <v>2027</v>
      </c>
      <c r="M302" s="14">
        <f t="shared" si="5"/>
        <v>0.15201899999999999</v>
      </c>
      <c r="N302" s="14">
        <f t="shared" si="4"/>
        <v>0.189</v>
      </c>
      <c r="O302" s="14">
        <f t="shared" si="4"/>
        <v>0.21079800000000001</v>
      </c>
      <c r="P302" s="14">
        <f t="shared" si="4"/>
        <v>0.25395299999999998</v>
      </c>
      <c r="Q302" s="14">
        <f t="shared" si="4"/>
        <v>0.32022899999999999</v>
      </c>
      <c r="R302" s="14">
        <f t="shared" si="4"/>
        <v>0.41983199999999998</v>
      </c>
      <c r="S302" s="14">
        <f t="shared" si="4"/>
        <v>0.561141</v>
      </c>
      <c r="T302" s="14">
        <f t="shared" si="4"/>
        <v>0.69060600000000005</v>
      </c>
      <c r="U302" s="14">
        <f t="shared" si="4"/>
        <v>1.102878</v>
      </c>
    </row>
    <row r="303" spans="1:21" x14ac:dyDescent="0.4">
      <c r="A303">
        <v>2028</v>
      </c>
      <c r="B303">
        <v>0.2319</v>
      </c>
      <c r="C303">
        <v>0.29039999999999999</v>
      </c>
      <c r="D303">
        <v>0.32529999999999998</v>
      </c>
      <c r="E303">
        <v>0.39369999999999999</v>
      </c>
      <c r="F303">
        <v>0.50080000000000002</v>
      </c>
      <c r="G303">
        <v>0.66539999999999999</v>
      </c>
      <c r="H303">
        <v>0.90800000000000003</v>
      </c>
      <c r="I303">
        <v>1.1311</v>
      </c>
      <c r="J303">
        <v>1.9036999999999999</v>
      </c>
      <c r="L303">
        <v>2028</v>
      </c>
      <c r="M303" s="14">
        <f t="shared" si="5"/>
        <v>0.146097</v>
      </c>
      <c r="N303" s="14">
        <f t="shared" si="4"/>
        <v>0.182952</v>
      </c>
      <c r="O303" s="14">
        <f t="shared" si="4"/>
        <v>0.20493899999999998</v>
      </c>
      <c r="P303" s="14">
        <f t="shared" si="4"/>
        <v>0.248031</v>
      </c>
      <c r="Q303" s="14">
        <f t="shared" si="4"/>
        <v>0.31550400000000001</v>
      </c>
      <c r="R303" s="14">
        <f t="shared" si="4"/>
        <v>0.41920200000000002</v>
      </c>
      <c r="S303" s="14">
        <f t="shared" si="4"/>
        <v>0.57203999999999999</v>
      </c>
      <c r="T303" s="14">
        <f t="shared" si="4"/>
        <v>0.71259300000000003</v>
      </c>
      <c r="U303" s="14">
        <f t="shared" si="4"/>
        <v>1.1993309999999999</v>
      </c>
    </row>
    <row r="304" spans="1:21" x14ac:dyDescent="0.4">
      <c r="A304">
        <v>2029</v>
      </c>
      <c r="B304">
        <v>0.23200000000000001</v>
      </c>
      <c r="C304">
        <v>0.2944</v>
      </c>
      <c r="D304">
        <v>0.3291</v>
      </c>
      <c r="E304">
        <v>0.40079999999999999</v>
      </c>
      <c r="F304">
        <v>0.51429999999999998</v>
      </c>
      <c r="G304">
        <v>0.69169999999999998</v>
      </c>
      <c r="H304">
        <v>0.95220000000000005</v>
      </c>
      <c r="I304">
        <v>1.2037</v>
      </c>
      <c r="J304">
        <v>2.0901000000000001</v>
      </c>
      <c r="L304">
        <v>2029</v>
      </c>
      <c r="M304" s="14">
        <f t="shared" si="5"/>
        <v>0.14616000000000001</v>
      </c>
      <c r="N304" s="14">
        <f t="shared" si="4"/>
        <v>0.185472</v>
      </c>
      <c r="O304" s="14">
        <f t="shared" si="4"/>
        <v>0.20733300000000002</v>
      </c>
      <c r="P304" s="14">
        <f t="shared" si="4"/>
        <v>0.25250400000000001</v>
      </c>
      <c r="Q304" s="14">
        <f t="shared" si="4"/>
        <v>0.32400899999999999</v>
      </c>
      <c r="R304" s="14">
        <f t="shared" si="4"/>
        <v>0.43577099999999996</v>
      </c>
      <c r="S304" s="14">
        <f t="shared" si="4"/>
        <v>0.59988600000000003</v>
      </c>
      <c r="T304" s="14">
        <f t="shared" si="4"/>
        <v>0.75833099999999998</v>
      </c>
      <c r="U304" s="14">
        <f t="shared" si="4"/>
        <v>1.3167630000000001</v>
      </c>
    </row>
    <row r="305" spans="1:21" x14ac:dyDescent="0.4">
      <c r="A305">
        <v>2030</v>
      </c>
      <c r="B305">
        <v>0.23499999999999999</v>
      </c>
      <c r="C305">
        <v>0.2974</v>
      </c>
      <c r="D305">
        <v>0.3332</v>
      </c>
      <c r="E305">
        <v>0.40679999999999999</v>
      </c>
      <c r="F305">
        <v>0.5252</v>
      </c>
      <c r="G305">
        <v>0.71340000000000003</v>
      </c>
      <c r="H305">
        <v>1.0016</v>
      </c>
      <c r="I305">
        <v>1.2710999999999999</v>
      </c>
      <c r="J305">
        <v>2.2892000000000001</v>
      </c>
      <c r="L305">
        <v>2030</v>
      </c>
      <c r="M305" s="14">
        <f t="shared" si="5"/>
        <v>0.14804999999999999</v>
      </c>
      <c r="N305" s="14">
        <f t="shared" si="4"/>
        <v>0.187362</v>
      </c>
      <c r="O305" s="14">
        <f t="shared" si="4"/>
        <v>0.20991599999999999</v>
      </c>
      <c r="P305" s="14">
        <f t="shared" si="4"/>
        <v>0.25628400000000001</v>
      </c>
      <c r="Q305" s="14">
        <f t="shared" si="4"/>
        <v>0.330876</v>
      </c>
      <c r="R305" s="14">
        <f t="shared" si="4"/>
        <v>0.44944200000000001</v>
      </c>
      <c r="S305" s="14">
        <f t="shared" si="4"/>
        <v>0.63100800000000001</v>
      </c>
      <c r="T305" s="14">
        <f t="shared" si="4"/>
        <v>0.80079299999999998</v>
      </c>
      <c r="U305" s="14">
        <f t="shared" si="4"/>
        <v>1.442196</v>
      </c>
    </row>
    <row r="306" spans="1:21" x14ac:dyDescent="0.4">
      <c r="A306">
        <v>2031</v>
      </c>
      <c r="B306">
        <v>0.23880000000000001</v>
      </c>
      <c r="C306">
        <v>0.29980000000000001</v>
      </c>
      <c r="D306">
        <v>0.33679999999999999</v>
      </c>
      <c r="E306">
        <v>0.41249999999999998</v>
      </c>
      <c r="F306">
        <v>0.53400000000000003</v>
      </c>
      <c r="G306">
        <v>0.73199999999999998</v>
      </c>
      <c r="H306">
        <v>1.0370999999999999</v>
      </c>
      <c r="I306">
        <v>1.3466</v>
      </c>
      <c r="J306">
        <v>2.4676999999999998</v>
      </c>
      <c r="L306">
        <v>2031</v>
      </c>
      <c r="M306" s="14">
        <f t="shared" si="5"/>
        <v>0.15044400000000002</v>
      </c>
      <c r="N306" s="14">
        <f t="shared" si="4"/>
        <v>0.18887400000000001</v>
      </c>
      <c r="O306" s="14">
        <f t="shared" si="4"/>
        <v>0.21218399999999998</v>
      </c>
      <c r="P306" s="14">
        <f t="shared" si="4"/>
        <v>0.25987499999999997</v>
      </c>
      <c r="Q306" s="14">
        <f t="shared" si="4"/>
        <v>0.33642</v>
      </c>
      <c r="R306" s="14">
        <f t="shared" si="4"/>
        <v>0.46116000000000001</v>
      </c>
      <c r="S306" s="14">
        <f t="shared" si="4"/>
        <v>0.65337299999999998</v>
      </c>
      <c r="T306" s="14">
        <f t="shared" si="4"/>
        <v>0.84835800000000006</v>
      </c>
      <c r="U306" s="14">
        <f t="shared" si="4"/>
        <v>1.5546509999999998</v>
      </c>
    </row>
    <row r="307" spans="1:21" x14ac:dyDescent="0.4">
      <c r="A307">
        <v>2032</v>
      </c>
      <c r="B307">
        <v>0.2286</v>
      </c>
      <c r="C307">
        <v>0.28810000000000002</v>
      </c>
      <c r="D307">
        <v>0.32319999999999999</v>
      </c>
      <c r="E307">
        <v>0.39650000000000002</v>
      </c>
      <c r="F307">
        <v>0.51459999999999995</v>
      </c>
      <c r="G307">
        <v>0.70630000000000004</v>
      </c>
      <c r="H307">
        <v>1.0119</v>
      </c>
      <c r="I307">
        <v>1.3076000000000001</v>
      </c>
      <c r="J307">
        <v>2.4784999999999999</v>
      </c>
      <c r="L307">
        <v>2032</v>
      </c>
      <c r="M307" s="14">
        <f t="shared" si="5"/>
        <v>0.14401800000000001</v>
      </c>
      <c r="N307" s="14">
        <f t="shared" si="4"/>
        <v>0.18150300000000003</v>
      </c>
      <c r="O307" s="14">
        <f t="shared" si="4"/>
        <v>0.20361599999999999</v>
      </c>
      <c r="P307" s="14">
        <f t="shared" si="4"/>
        <v>0.24979500000000002</v>
      </c>
      <c r="Q307" s="14">
        <f t="shared" si="4"/>
        <v>0.32419799999999999</v>
      </c>
      <c r="R307" s="14">
        <f t="shared" si="4"/>
        <v>0.444969</v>
      </c>
      <c r="S307" s="14">
        <f t="shared" si="4"/>
        <v>0.63749699999999998</v>
      </c>
      <c r="T307" s="14">
        <f t="shared" si="4"/>
        <v>0.82378800000000008</v>
      </c>
      <c r="U307" s="14">
        <f t="shared" si="4"/>
        <v>1.561455</v>
      </c>
    </row>
    <row r="308" spans="1:21" x14ac:dyDescent="0.4">
      <c r="A308">
        <v>2033</v>
      </c>
      <c r="B308">
        <v>0.2288</v>
      </c>
      <c r="C308">
        <v>0.28720000000000001</v>
      </c>
      <c r="D308">
        <v>0.32240000000000002</v>
      </c>
      <c r="E308">
        <v>0.39560000000000001</v>
      </c>
      <c r="F308">
        <v>0.51329999999999998</v>
      </c>
      <c r="G308">
        <v>0.7056</v>
      </c>
      <c r="H308">
        <v>1.0083</v>
      </c>
      <c r="I308">
        <v>1.3092999999999999</v>
      </c>
      <c r="J308">
        <v>2.4895</v>
      </c>
      <c r="L308">
        <v>2033</v>
      </c>
      <c r="M308" s="14">
        <f t="shared" si="5"/>
        <v>0.14414399999999999</v>
      </c>
      <c r="N308" s="14">
        <f t="shared" si="4"/>
        <v>0.18093600000000001</v>
      </c>
      <c r="O308" s="14">
        <f t="shared" si="4"/>
        <v>0.20311200000000001</v>
      </c>
      <c r="P308" s="14">
        <f t="shared" si="4"/>
        <v>0.24922800000000001</v>
      </c>
      <c r="Q308" s="14">
        <f t="shared" si="4"/>
        <v>0.32337899999999997</v>
      </c>
      <c r="R308" s="14">
        <f t="shared" si="4"/>
        <v>0.44452799999999998</v>
      </c>
      <c r="S308" s="14">
        <f t="shared" si="4"/>
        <v>0.63522900000000004</v>
      </c>
      <c r="T308" s="14">
        <f t="shared" si="4"/>
        <v>0.8248589999999999</v>
      </c>
      <c r="U308" s="14">
        <f t="shared" si="4"/>
        <v>1.5683850000000001</v>
      </c>
    </row>
    <row r="309" spans="1:21" x14ac:dyDescent="0.4">
      <c r="A309">
        <v>2034</v>
      </c>
      <c r="B309">
        <v>0.22700000000000001</v>
      </c>
      <c r="C309">
        <v>0.28610000000000002</v>
      </c>
      <c r="D309">
        <v>0.32079999999999997</v>
      </c>
      <c r="E309">
        <v>0.39439999999999997</v>
      </c>
      <c r="F309">
        <v>0.51200000000000001</v>
      </c>
      <c r="G309">
        <v>0.70350000000000001</v>
      </c>
      <c r="H309">
        <v>1.0029999999999999</v>
      </c>
      <c r="I309">
        <v>1.3010999999999999</v>
      </c>
      <c r="J309">
        <v>2.4573</v>
      </c>
      <c r="L309">
        <v>2034</v>
      </c>
      <c r="M309" s="14">
        <f t="shared" si="5"/>
        <v>0.14301</v>
      </c>
      <c r="N309" s="14">
        <f t="shared" si="4"/>
        <v>0.18024300000000001</v>
      </c>
      <c r="O309" s="14">
        <f t="shared" si="4"/>
        <v>0.20210399999999998</v>
      </c>
      <c r="P309" s="14">
        <f t="shared" si="4"/>
        <v>0.248472</v>
      </c>
      <c r="Q309" s="14">
        <f t="shared" si="4"/>
        <v>0.32256000000000001</v>
      </c>
      <c r="R309" s="14">
        <f t="shared" si="4"/>
        <v>0.44320500000000002</v>
      </c>
      <c r="S309" s="14">
        <f t="shared" si="4"/>
        <v>0.63188999999999995</v>
      </c>
      <c r="T309" s="14">
        <f t="shared" si="4"/>
        <v>0.819693</v>
      </c>
      <c r="U309" s="14">
        <f t="shared" si="4"/>
        <v>1.5480990000000001</v>
      </c>
    </row>
    <row r="311" spans="1:21" x14ac:dyDescent="0.4">
      <c r="A311" s="1">
        <v>45658</v>
      </c>
      <c r="B311" t="s">
        <v>3</v>
      </c>
      <c r="C311" t="s">
        <v>2</v>
      </c>
      <c r="D311" t="s">
        <v>1</v>
      </c>
      <c r="E311" t="s">
        <v>0</v>
      </c>
      <c r="F311" t="s">
        <v>31</v>
      </c>
      <c r="G311">
        <v>1000</v>
      </c>
      <c r="H311" t="s">
        <v>30</v>
      </c>
    </row>
    <row r="313" spans="1:21" x14ac:dyDescent="0.4">
      <c r="A313">
        <v>2021</v>
      </c>
    </row>
    <row r="315" spans="1:21" x14ac:dyDescent="0.4">
      <c r="A315" t="s">
        <v>0</v>
      </c>
      <c r="B315" s="2">
        <v>0.01</v>
      </c>
      <c r="C315" s="2">
        <v>0.05</v>
      </c>
      <c r="D315" s="2">
        <v>0.1</v>
      </c>
      <c r="E315" s="2">
        <v>0.25</v>
      </c>
      <c r="F315" s="2">
        <v>0.5</v>
      </c>
      <c r="G315" s="2">
        <v>0.75</v>
      </c>
      <c r="H315" s="2">
        <v>0.9</v>
      </c>
      <c r="I315" s="2">
        <v>0.95</v>
      </c>
      <c r="J315" s="2">
        <v>0.99</v>
      </c>
    </row>
    <row r="316" spans="1:21" x14ac:dyDescent="0.4">
      <c r="A316">
        <v>1</v>
      </c>
      <c r="B316">
        <v>140.23699999999999</v>
      </c>
      <c r="C316">
        <v>175.09</v>
      </c>
      <c r="D316">
        <v>184.83199999999999</v>
      </c>
      <c r="E316">
        <v>216.71299999999999</v>
      </c>
      <c r="F316">
        <v>261.14800000000002</v>
      </c>
      <c r="G316">
        <v>317.36900000000003</v>
      </c>
      <c r="H316">
        <v>385.62900000000002</v>
      </c>
      <c r="I316">
        <v>409.50799999999998</v>
      </c>
      <c r="J316">
        <v>464.92500000000001</v>
      </c>
    </row>
    <row r="317" spans="1:21" x14ac:dyDescent="0.4">
      <c r="A317">
        <v>2</v>
      </c>
      <c r="B317">
        <v>58.938899999999997</v>
      </c>
      <c r="C317">
        <v>77.947699999999998</v>
      </c>
      <c r="D317">
        <v>80.861999999999995</v>
      </c>
      <c r="E317">
        <v>85.445099999999996</v>
      </c>
      <c r="F317">
        <v>100.4175</v>
      </c>
      <c r="G317">
        <v>112.524</v>
      </c>
      <c r="H317">
        <v>125.34699999999999</v>
      </c>
      <c r="I317">
        <v>138.49799999999999</v>
      </c>
      <c r="J317">
        <v>148.43899999999999</v>
      </c>
    </row>
    <row r="318" spans="1:21" x14ac:dyDescent="0.4">
      <c r="A318">
        <v>3</v>
      </c>
      <c r="B318">
        <v>34.198599999999999</v>
      </c>
      <c r="C318">
        <v>41.346600000000002</v>
      </c>
      <c r="D318">
        <v>43.517699999999998</v>
      </c>
      <c r="E318">
        <v>47.938099999999999</v>
      </c>
      <c r="F318">
        <v>54.8765</v>
      </c>
      <c r="G318">
        <v>60.445500000000003</v>
      </c>
      <c r="H318">
        <v>67.3245</v>
      </c>
      <c r="I318">
        <v>74.481700000000004</v>
      </c>
      <c r="J318">
        <v>84.833500000000001</v>
      </c>
    </row>
    <row r="319" spans="1:21" x14ac:dyDescent="0.4">
      <c r="A319">
        <v>4</v>
      </c>
      <c r="B319">
        <v>4.4701000000000004</v>
      </c>
      <c r="C319">
        <v>6.3288000000000002</v>
      </c>
      <c r="D319">
        <v>7.3712</v>
      </c>
      <c r="E319">
        <v>8.3369</v>
      </c>
      <c r="F319">
        <v>9.5329999999999995</v>
      </c>
      <c r="G319">
        <v>10.835800000000001</v>
      </c>
      <c r="H319">
        <v>12.5169</v>
      </c>
      <c r="I319">
        <v>14.0136</v>
      </c>
      <c r="J319">
        <v>20.605399999999999</v>
      </c>
    </row>
    <row r="320" spans="1:21" x14ac:dyDescent="0.4">
      <c r="A320">
        <v>5</v>
      </c>
      <c r="B320">
        <v>1.2938000000000001</v>
      </c>
      <c r="C320">
        <v>1.6031</v>
      </c>
      <c r="D320">
        <v>1.7337</v>
      </c>
      <c r="E320">
        <v>2.2441</v>
      </c>
      <c r="F320">
        <v>2.6907000000000001</v>
      </c>
      <c r="G320">
        <v>3.2694999999999999</v>
      </c>
      <c r="H320">
        <v>4.2092000000000001</v>
      </c>
      <c r="I320">
        <v>4.8898000000000001</v>
      </c>
      <c r="J320">
        <v>7.4995000000000003</v>
      </c>
    </row>
    <row r="321" spans="1:10" x14ac:dyDescent="0.4">
      <c r="A321">
        <v>6</v>
      </c>
      <c r="B321">
        <v>0.29170000000000001</v>
      </c>
      <c r="C321">
        <v>0.48420000000000002</v>
      </c>
      <c r="D321">
        <v>0.60240000000000005</v>
      </c>
      <c r="E321">
        <v>0.69359999999999999</v>
      </c>
      <c r="F321">
        <v>0.96650000000000003</v>
      </c>
      <c r="G321">
        <v>1.2286999999999999</v>
      </c>
      <c r="H321">
        <v>1.8233999999999999</v>
      </c>
      <c r="I321">
        <v>2.1764999999999999</v>
      </c>
      <c r="J321">
        <v>5.0518000000000001</v>
      </c>
    </row>
    <row r="322" spans="1:10" x14ac:dyDescent="0.4">
      <c r="A322">
        <v>7</v>
      </c>
      <c r="B322">
        <v>2.7799999999999998E-2</v>
      </c>
      <c r="C322">
        <v>5.8400000000000001E-2</v>
      </c>
      <c r="D322">
        <v>7.3899999999999993E-2</v>
      </c>
      <c r="E322">
        <v>0.10249999999999999</v>
      </c>
      <c r="F322">
        <v>0.15909999999999999</v>
      </c>
      <c r="G322">
        <v>0.2261</v>
      </c>
      <c r="H322">
        <v>0.31640000000000001</v>
      </c>
      <c r="I322">
        <v>0.39960000000000001</v>
      </c>
      <c r="J322">
        <v>1.3048999999999999</v>
      </c>
    </row>
    <row r="323" spans="1:10" x14ac:dyDescent="0.4">
      <c r="A323">
        <v>8</v>
      </c>
      <c r="B323">
        <v>8.2000000000000007E-3</v>
      </c>
      <c r="C323">
        <v>2.92E-2</v>
      </c>
      <c r="D323">
        <v>3.6999999999999998E-2</v>
      </c>
      <c r="E323">
        <v>5.8400000000000001E-2</v>
      </c>
      <c r="F323">
        <v>0.10920000000000001</v>
      </c>
      <c r="G323">
        <v>0.16700000000000001</v>
      </c>
      <c r="H323">
        <v>0.25750000000000001</v>
      </c>
      <c r="I323">
        <v>0.4456</v>
      </c>
      <c r="J323">
        <v>2.1858</v>
      </c>
    </row>
    <row r="324" spans="1:10" x14ac:dyDescent="0.4">
      <c r="A324">
        <v>9</v>
      </c>
      <c r="B324">
        <v>2.9999999999999997E-4</v>
      </c>
      <c r="C324">
        <v>1.4E-3</v>
      </c>
      <c r="D324">
        <v>2.0999999999999999E-3</v>
      </c>
      <c r="E324">
        <v>3.5000000000000001E-3</v>
      </c>
      <c r="F324">
        <v>8.5000000000000006E-3</v>
      </c>
      <c r="G324">
        <v>1.44E-2</v>
      </c>
      <c r="H324">
        <v>2.23E-2</v>
      </c>
      <c r="I324">
        <v>3.3399999999999999E-2</v>
      </c>
      <c r="J324">
        <v>0.2402</v>
      </c>
    </row>
    <row r="325" spans="1:10" x14ac:dyDescent="0.4">
      <c r="A325">
        <v>10</v>
      </c>
      <c r="B325">
        <v>1E-4</v>
      </c>
      <c r="C325">
        <v>5.0000000000000001E-4</v>
      </c>
      <c r="D325">
        <v>6.9999999999999999E-4</v>
      </c>
      <c r="E325">
        <v>1.5E-3</v>
      </c>
      <c r="F325">
        <v>4.3E-3</v>
      </c>
      <c r="G325">
        <v>6.8999999999999999E-3</v>
      </c>
      <c r="H325">
        <v>1.43E-2</v>
      </c>
      <c r="I325">
        <v>2.4199999999999999E-2</v>
      </c>
      <c r="J325">
        <v>0.26090000000000002</v>
      </c>
    </row>
    <row r="326" spans="1:10" x14ac:dyDescent="0.4">
      <c r="A326">
        <v>11</v>
      </c>
      <c r="B326">
        <v>0</v>
      </c>
      <c r="C326">
        <v>1E-4</v>
      </c>
      <c r="D326">
        <v>2.0000000000000001E-4</v>
      </c>
      <c r="E326">
        <v>4.0000000000000002E-4</v>
      </c>
      <c r="F326">
        <v>1.4E-3</v>
      </c>
      <c r="G326">
        <v>2.8E-3</v>
      </c>
      <c r="H326">
        <v>5.1000000000000004E-3</v>
      </c>
      <c r="I326">
        <v>8.2000000000000007E-3</v>
      </c>
      <c r="J326">
        <v>0.1988</v>
      </c>
    </row>
    <row r="327" spans="1:10" x14ac:dyDescent="0.4">
      <c r="A327">
        <v>12</v>
      </c>
      <c r="B327">
        <v>0</v>
      </c>
      <c r="C327">
        <v>0</v>
      </c>
      <c r="D327">
        <v>0</v>
      </c>
      <c r="E327">
        <v>0</v>
      </c>
      <c r="F327">
        <v>1E-4</v>
      </c>
      <c r="G327">
        <v>2.9999999999999997E-4</v>
      </c>
      <c r="H327">
        <v>5.0000000000000001E-4</v>
      </c>
      <c r="I327">
        <v>8.0000000000000004E-4</v>
      </c>
      <c r="J327">
        <v>2.8000000000000001E-2</v>
      </c>
    </row>
    <row r="328" spans="1:10" x14ac:dyDescent="0.4">
      <c r="A328">
        <v>13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2.0000000000000001E-4</v>
      </c>
      <c r="H328">
        <v>2.9999999999999997E-4</v>
      </c>
      <c r="I328">
        <v>5.0000000000000001E-4</v>
      </c>
      <c r="J328">
        <v>3.1600000000000003E-2</v>
      </c>
    </row>
    <row r="329" spans="1:10" x14ac:dyDescent="0.4">
      <c r="A329">
        <v>14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1E-4</v>
      </c>
      <c r="I329">
        <v>1E-4</v>
      </c>
      <c r="J329">
        <v>1.83E-2</v>
      </c>
    </row>
    <row r="330" spans="1:10" x14ac:dyDescent="0.4">
      <c r="A330" t="s">
        <v>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1.2699999999999999E-2</v>
      </c>
    </row>
    <row r="332" spans="1:10" x14ac:dyDescent="0.4">
      <c r="A332">
        <v>2022</v>
      </c>
    </row>
    <row r="334" spans="1:10" x14ac:dyDescent="0.4">
      <c r="A334" t="s">
        <v>0</v>
      </c>
      <c r="B334" s="2">
        <v>0.01</v>
      </c>
      <c r="C334" s="2">
        <v>0.05</v>
      </c>
      <c r="D334" s="2">
        <v>0.1</v>
      </c>
      <c r="E334" s="2">
        <v>0.25</v>
      </c>
      <c r="F334" s="2">
        <v>0.5</v>
      </c>
      <c r="G334" s="2">
        <v>0.75</v>
      </c>
      <c r="H334" s="2">
        <v>0.9</v>
      </c>
      <c r="I334" s="2">
        <v>0.95</v>
      </c>
      <c r="J334" s="2">
        <v>0.99</v>
      </c>
    </row>
    <row r="335" spans="1:10" x14ac:dyDescent="0.4">
      <c r="A335">
        <v>1</v>
      </c>
      <c r="B335">
        <v>68.662899999999993</v>
      </c>
      <c r="C335">
        <v>70.8964</v>
      </c>
      <c r="D335">
        <v>79.197000000000003</v>
      </c>
      <c r="E335">
        <v>105.1951</v>
      </c>
      <c r="F335">
        <v>168.54089999999999</v>
      </c>
      <c r="G335">
        <v>236.69839999999999</v>
      </c>
      <c r="H335">
        <v>279.37040000000002</v>
      </c>
      <c r="I335">
        <v>306.25749999999999</v>
      </c>
      <c r="J335">
        <v>325.45209999999997</v>
      </c>
    </row>
    <row r="336" spans="1:10" x14ac:dyDescent="0.4">
      <c r="A336">
        <v>2</v>
      </c>
      <c r="B336">
        <v>88.164100000000005</v>
      </c>
      <c r="C336">
        <v>103.93810000000001</v>
      </c>
      <c r="D336">
        <v>110.7242</v>
      </c>
      <c r="E336">
        <v>128.03039999999999</v>
      </c>
      <c r="F336">
        <v>156.40029999999999</v>
      </c>
      <c r="G336">
        <v>191.51169999999999</v>
      </c>
      <c r="H336">
        <v>232.71</v>
      </c>
      <c r="I336">
        <v>253.5317</v>
      </c>
      <c r="J336">
        <v>288.55860000000001</v>
      </c>
    </row>
    <row r="337" spans="1:10" x14ac:dyDescent="0.4">
      <c r="A337">
        <v>3</v>
      </c>
      <c r="B337">
        <v>30.167999999999999</v>
      </c>
      <c r="C337">
        <v>40.662300000000002</v>
      </c>
      <c r="D337">
        <v>43.076500000000003</v>
      </c>
      <c r="E337">
        <v>46.777099999999997</v>
      </c>
      <c r="F337">
        <v>54.197099999999999</v>
      </c>
      <c r="G337">
        <v>62.771500000000003</v>
      </c>
      <c r="H337">
        <v>71.596000000000004</v>
      </c>
      <c r="I337">
        <v>78.470200000000006</v>
      </c>
      <c r="J337">
        <v>89.150199999999998</v>
      </c>
    </row>
    <row r="338" spans="1:10" x14ac:dyDescent="0.4">
      <c r="A338">
        <v>4</v>
      </c>
      <c r="B338">
        <v>15.236800000000001</v>
      </c>
      <c r="C338">
        <v>18.676500000000001</v>
      </c>
      <c r="D338">
        <v>20.604700000000001</v>
      </c>
      <c r="E338">
        <v>23.136700000000001</v>
      </c>
      <c r="F338">
        <v>26.5379</v>
      </c>
      <c r="G338">
        <v>30.7453</v>
      </c>
      <c r="H338">
        <v>35.5015</v>
      </c>
      <c r="I338">
        <v>39.960599999999999</v>
      </c>
      <c r="J338">
        <v>50.239699999999999</v>
      </c>
    </row>
    <row r="339" spans="1:10" x14ac:dyDescent="0.4">
      <c r="A339">
        <v>5</v>
      </c>
      <c r="B339">
        <v>1.9803999999999999</v>
      </c>
      <c r="C339">
        <v>2.7397999999999998</v>
      </c>
      <c r="D339">
        <v>3.2521</v>
      </c>
      <c r="E339">
        <v>3.7772000000000001</v>
      </c>
      <c r="F339">
        <v>4.4699</v>
      </c>
      <c r="G339">
        <v>5.2539999999999996</v>
      </c>
      <c r="H339">
        <v>6.4279999999999999</v>
      </c>
      <c r="I339">
        <v>7.0777000000000001</v>
      </c>
      <c r="J339">
        <v>11.8963</v>
      </c>
    </row>
    <row r="340" spans="1:10" x14ac:dyDescent="0.4">
      <c r="A340">
        <v>6</v>
      </c>
      <c r="B340">
        <v>0.54020000000000001</v>
      </c>
      <c r="C340">
        <v>0.65629999999999999</v>
      </c>
      <c r="D340">
        <v>0.74129999999999996</v>
      </c>
      <c r="E340">
        <v>0.99950000000000006</v>
      </c>
      <c r="F340">
        <v>1.2047000000000001</v>
      </c>
      <c r="G340">
        <v>1.5435000000000001</v>
      </c>
      <c r="H340">
        <v>2.0825</v>
      </c>
      <c r="I340">
        <v>2.4510000000000001</v>
      </c>
      <c r="J340">
        <v>4.4964000000000004</v>
      </c>
    </row>
    <row r="341" spans="1:10" x14ac:dyDescent="0.4">
      <c r="A341">
        <v>7</v>
      </c>
      <c r="B341">
        <v>0.13039999999999999</v>
      </c>
      <c r="C341">
        <v>0.21640000000000001</v>
      </c>
      <c r="D341">
        <v>0.251</v>
      </c>
      <c r="E341">
        <v>0.3095</v>
      </c>
      <c r="F341">
        <v>0.41959999999999997</v>
      </c>
      <c r="G341">
        <v>0.58320000000000005</v>
      </c>
      <c r="H341">
        <v>0.88770000000000004</v>
      </c>
      <c r="I341">
        <v>1.0801000000000001</v>
      </c>
      <c r="J341">
        <v>3.04</v>
      </c>
    </row>
    <row r="342" spans="1:10" x14ac:dyDescent="0.4">
      <c r="A342">
        <v>8</v>
      </c>
      <c r="B342">
        <v>1.34E-2</v>
      </c>
      <c r="C342">
        <v>2.5499999999999998E-2</v>
      </c>
      <c r="D342">
        <v>3.2500000000000001E-2</v>
      </c>
      <c r="E342">
        <v>4.5199999999999997E-2</v>
      </c>
      <c r="F342">
        <v>6.9599999999999995E-2</v>
      </c>
      <c r="G342">
        <v>0.1067</v>
      </c>
      <c r="H342">
        <v>0.16059999999999999</v>
      </c>
      <c r="I342">
        <v>0.2059</v>
      </c>
      <c r="J342">
        <v>0.78939999999999999</v>
      </c>
    </row>
    <row r="343" spans="1:10" x14ac:dyDescent="0.4">
      <c r="A343">
        <v>9</v>
      </c>
      <c r="B343">
        <v>4.0000000000000001E-3</v>
      </c>
      <c r="C343">
        <v>1.2800000000000001E-2</v>
      </c>
      <c r="D343">
        <v>1.6500000000000001E-2</v>
      </c>
      <c r="E343">
        <v>2.7E-2</v>
      </c>
      <c r="F343">
        <v>4.9000000000000002E-2</v>
      </c>
      <c r="G343">
        <v>8.0199999999999994E-2</v>
      </c>
      <c r="H343">
        <v>0.1298</v>
      </c>
      <c r="I343">
        <v>0.22020000000000001</v>
      </c>
      <c r="J343">
        <v>1.3448</v>
      </c>
    </row>
    <row r="344" spans="1:10" x14ac:dyDescent="0.4">
      <c r="A344">
        <v>10</v>
      </c>
      <c r="B344">
        <v>1E-4</v>
      </c>
      <c r="C344">
        <v>5.9999999999999995E-4</v>
      </c>
      <c r="D344">
        <v>8.9999999999999998E-4</v>
      </c>
      <c r="E344">
        <v>1.6999999999999999E-3</v>
      </c>
      <c r="F344">
        <v>3.8E-3</v>
      </c>
      <c r="G344">
        <v>6.8999999999999999E-3</v>
      </c>
      <c r="H344">
        <v>1.11E-2</v>
      </c>
      <c r="I344">
        <v>1.78E-2</v>
      </c>
      <c r="J344">
        <v>0.1472</v>
      </c>
    </row>
    <row r="345" spans="1:10" x14ac:dyDescent="0.4">
      <c r="A345">
        <v>11</v>
      </c>
      <c r="B345">
        <v>0</v>
      </c>
      <c r="C345">
        <v>2.0000000000000001E-4</v>
      </c>
      <c r="D345">
        <v>2.9999999999999997E-4</v>
      </c>
      <c r="E345">
        <v>6.9999999999999999E-4</v>
      </c>
      <c r="F345">
        <v>2E-3</v>
      </c>
      <c r="G345">
        <v>3.3E-3</v>
      </c>
      <c r="H345">
        <v>7.6E-3</v>
      </c>
      <c r="I345">
        <v>1.23E-2</v>
      </c>
      <c r="J345">
        <v>0.1605</v>
      </c>
    </row>
    <row r="346" spans="1:10" x14ac:dyDescent="0.4">
      <c r="A346">
        <v>12</v>
      </c>
      <c r="B346">
        <v>0</v>
      </c>
      <c r="C346">
        <v>0</v>
      </c>
      <c r="D346">
        <v>1E-4</v>
      </c>
      <c r="E346">
        <v>2.0000000000000001E-4</v>
      </c>
      <c r="F346">
        <v>6.9999999999999999E-4</v>
      </c>
      <c r="G346">
        <v>1.2999999999999999E-3</v>
      </c>
      <c r="H346">
        <v>2.5999999999999999E-3</v>
      </c>
      <c r="I346">
        <v>4.1999999999999997E-3</v>
      </c>
      <c r="J346">
        <v>0.12479999999999999</v>
      </c>
    </row>
    <row r="347" spans="1:10" x14ac:dyDescent="0.4">
      <c r="A347">
        <v>13</v>
      </c>
      <c r="B347">
        <v>0</v>
      </c>
      <c r="C347">
        <v>0</v>
      </c>
      <c r="D347">
        <v>0</v>
      </c>
      <c r="E347">
        <v>0</v>
      </c>
      <c r="F347">
        <v>1E-4</v>
      </c>
      <c r="G347">
        <v>1E-4</v>
      </c>
      <c r="H347">
        <v>2.9999999999999997E-4</v>
      </c>
      <c r="I347">
        <v>4.0000000000000002E-4</v>
      </c>
      <c r="J347">
        <v>1.78E-2</v>
      </c>
    </row>
    <row r="348" spans="1:10" x14ac:dyDescent="0.4">
      <c r="A348">
        <v>14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1E-4</v>
      </c>
      <c r="H348">
        <v>1E-4</v>
      </c>
      <c r="I348">
        <v>2.9999999999999997E-4</v>
      </c>
      <c r="J348">
        <v>2.01E-2</v>
      </c>
    </row>
    <row r="349" spans="1:10" x14ac:dyDescent="0.4">
      <c r="A349" t="s">
        <v>29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1E-4</v>
      </c>
      <c r="I349">
        <v>1E-4</v>
      </c>
      <c r="J349">
        <v>0.02</v>
      </c>
    </row>
    <row r="351" spans="1:10" x14ac:dyDescent="0.4">
      <c r="A351">
        <v>2023</v>
      </c>
    </row>
    <row r="353" spans="1:10" x14ac:dyDescent="0.4">
      <c r="A353" t="s">
        <v>0</v>
      </c>
      <c r="B353" s="2">
        <v>0.01</v>
      </c>
      <c r="C353" s="2">
        <v>0.05</v>
      </c>
      <c r="D353" s="2">
        <v>0.1</v>
      </c>
      <c r="E353" s="2">
        <v>0.25</v>
      </c>
      <c r="F353" s="2">
        <v>0.5</v>
      </c>
      <c r="G353" s="2">
        <v>0.75</v>
      </c>
      <c r="H353" s="2">
        <v>0.9</v>
      </c>
      <c r="I353" s="2">
        <v>0.95</v>
      </c>
      <c r="J353" s="2">
        <v>0.99</v>
      </c>
    </row>
    <row r="354" spans="1:10" x14ac:dyDescent="0.4">
      <c r="A354">
        <v>1</v>
      </c>
      <c r="B354">
        <v>68.669700000000006</v>
      </c>
      <c r="C354">
        <v>70.903400000000005</v>
      </c>
      <c r="D354">
        <v>79.215000000000003</v>
      </c>
      <c r="E354">
        <v>105.13209999999999</v>
      </c>
      <c r="F354">
        <v>168.56700000000001</v>
      </c>
      <c r="G354">
        <v>236.8441</v>
      </c>
      <c r="H354">
        <v>280.07740000000001</v>
      </c>
      <c r="I354">
        <v>306.95890000000003</v>
      </c>
      <c r="J354">
        <v>342.47890000000001</v>
      </c>
    </row>
    <row r="355" spans="1:10" x14ac:dyDescent="0.4">
      <c r="A355">
        <v>2</v>
      </c>
      <c r="B355">
        <v>39.871000000000002</v>
      </c>
      <c r="C355">
        <v>43.340299999999999</v>
      </c>
      <c r="D355">
        <v>47.581200000000003</v>
      </c>
      <c r="E355">
        <v>63.026600000000002</v>
      </c>
      <c r="F355">
        <v>101.43129999999999</v>
      </c>
      <c r="G355">
        <v>143.43199999999999</v>
      </c>
      <c r="H355">
        <v>171.1413</v>
      </c>
      <c r="I355">
        <v>185.86969999999999</v>
      </c>
      <c r="J355">
        <v>208.5718</v>
      </c>
    </row>
    <row r="356" spans="1:10" x14ac:dyDescent="0.4">
      <c r="A356">
        <v>3</v>
      </c>
      <c r="B356">
        <v>48.331400000000002</v>
      </c>
      <c r="C356">
        <v>57.678800000000003</v>
      </c>
      <c r="D356">
        <v>62.2164</v>
      </c>
      <c r="E356">
        <v>72.633700000000005</v>
      </c>
      <c r="F356">
        <v>90.639499999999998</v>
      </c>
      <c r="G356">
        <v>112.1949</v>
      </c>
      <c r="H356">
        <v>137.7868</v>
      </c>
      <c r="I356">
        <v>152.1901</v>
      </c>
      <c r="J356">
        <v>174.7122</v>
      </c>
    </row>
    <row r="357" spans="1:10" x14ac:dyDescent="0.4">
      <c r="A357">
        <v>4</v>
      </c>
      <c r="B357">
        <v>14.850300000000001</v>
      </c>
      <c r="C357">
        <v>20.596299999999999</v>
      </c>
      <c r="D357">
        <v>22.3476</v>
      </c>
      <c r="E357">
        <v>24.974799999999998</v>
      </c>
      <c r="F357">
        <v>29.466899999999999</v>
      </c>
      <c r="G357">
        <v>34.978099999999998</v>
      </c>
      <c r="H357">
        <v>40.536099999999998</v>
      </c>
      <c r="I357">
        <v>44.615400000000001</v>
      </c>
      <c r="J357">
        <v>51.6616</v>
      </c>
    </row>
    <row r="358" spans="1:10" x14ac:dyDescent="0.4">
      <c r="A358">
        <v>5</v>
      </c>
      <c r="B358">
        <v>7.0370999999999997</v>
      </c>
      <c r="C358">
        <v>9.0479000000000003</v>
      </c>
      <c r="D358">
        <v>10.305099999999999</v>
      </c>
      <c r="E358">
        <v>11.9146</v>
      </c>
      <c r="F358">
        <v>13.9366</v>
      </c>
      <c r="G358">
        <v>16.666699999999999</v>
      </c>
      <c r="H358">
        <v>19.5626</v>
      </c>
      <c r="I358">
        <v>22.424600000000002</v>
      </c>
      <c r="J358">
        <v>29.215699999999998</v>
      </c>
    </row>
    <row r="359" spans="1:10" x14ac:dyDescent="0.4">
      <c r="A359">
        <v>6</v>
      </c>
      <c r="B359">
        <v>0.88370000000000004</v>
      </c>
      <c r="C359">
        <v>1.3436999999999999</v>
      </c>
      <c r="D359">
        <v>1.6066</v>
      </c>
      <c r="E359">
        <v>1.9080999999999999</v>
      </c>
      <c r="F359">
        <v>2.2894000000000001</v>
      </c>
      <c r="G359">
        <v>2.7721</v>
      </c>
      <c r="H359">
        <v>3.4899</v>
      </c>
      <c r="I359">
        <v>3.8955000000000002</v>
      </c>
      <c r="J359">
        <v>6.8338999999999999</v>
      </c>
    </row>
    <row r="360" spans="1:10" x14ac:dyDescent="0.4">
      <c r="A360">
        <v>7</v>
      </c>
      <c r="B360">
        <v>0.2515</v>
      </c>
      <c r="C360">
        <v>0.30380000000000001</v>
      </c>
      <c r="D360">
        <v>0.36730000000000002</v>
      </c>
      <c r="E360">
        <v>0.49619999999999997</v>
      </c>
      <c r="F360">
        <v>0.61709999999999998</v>
      </c>
      <c r="G360">
        <v>0.80510000000000004</v>
      </c>
      <c r="H360">
        <v>1.1193</v>
      </c>
      <c r="I360">
        <v>1.3168</v>
      </c>
      <c r="J360">
        <v>2.6678000000000002</v>
      </c>
    </row>
    <row r="361" spans="1:10" x14ac:dyDescent="0.4">
      <c r="A361">
        <v>8</v>
      </c>
      <c r="B361">
        <v>6.0199999999999997E-2</v>
      </c>
      <c r="C361">
        <v>0.10730000000000001</v>
      </c>
      <c r="D361">
        <v>0.12</v>
      </c>
      <c r="E361">
        <v>0.1573</v>
      </c>
      <c r="F361">
        <v>0.21820000000000001</v>
      </c>
      <c r="G361">
        <v>0.30370000000000003</v>
      </c>
      <c r="H361">
        <v>0.48220000000000002</v>
      </c>
      <c r="I361">
        <v>0.57750000000000001</v>
      </c>
      <c r="J361">
        <v>1.7727999999999999</v>
      </c>
    </row>
    <row r="362" spans="1:10" x14ac:dyDescent="0.4">
      <c r="A362">
        <v>9</v>
      </c>
      <c r="B362">
        <v>7.1000000000000004E-3</v>
      </c>
      <c r="C362">
        <v>1.2699999999999999E-2</v>
      </c>
      <c r="D362">
        <v>1.6400000000000001E-2</v>
      </c>
      <c r="E362">
        <v>2.3199999999999998E-2</v>
      </c>
      <c r="F362">
        <v>3.5799999999999998E-2</v>
      </c>
      <c r="G362">
        <v>5.5599999999999997E-2</v>
      </c>
      <c r="H362">
        <v>8.6400000000000005E-2</v>
      </c>
      <c r="I362">
        <v>0.11169999999999999</v>
      </c>
      <c r="J362">
        <v>0.48249999999999998</v>
      </c>
    </row>
    <row r="363" spans="1:10" x14ac:dyDescent="0.4">
      <c r="A363">
        <v>10</v>
      </c>
      <c r="B363">
        <v>2.0999999999999999E-3</v>
      </c>
      <c r="C363">
        <v>6.1999999999999998E-3</v>
      </c>
      <c r="D363">
        <v>8.3000000000000001E-3</v>
      </c>
      <c r="E363">
        <v>1.41E-2</v>
      </c>
      <c r="F363">
        <v>2.5000000000000001E-2</v>
      </c>
      <c r="G363">
        <v>4.24E-2</v>
      </c>
      <c r="H363">
        <v>7.1400000000000005E-2</v>
      </c>
      <c r="I363">
        <v>0.1159</v>
      </c>
      <c r="J363">
        <v>0.83730000000000004</v>
      </c>
    </row>
    <row r="364" spans="1:10" x14ac:dyDescent="0.4">
      <c r="A364">
        <v>11</v>
      </c>
      <c r="B364">
        <v>1E-4</v>
      </c>
      <c r="C364">
        <v>2.9999999999999997E-4</v>
      </c>
      <c r="D364">
        <v>4.0000000000000002E-4</v>
      </c>
      <c r="E364">
        <v>8.9999999999999998E-4</v>
      </c>
      <c r="F364">
        <v>1.9E-3</v>
      </c>
      <c r="G364">
        <v>3.7000000000000002E-3</v>
      </c>
      <c r="H364">
        <v>6.1000000000000004E-3</v>
      </c>
      <c r="I364">
        <v>9.7999999999999997E-3</v>
      </c>
      <c r="J364">
        <v>9.01E-2</v>
      </c>
    </row>
    <row r="365" spans="1:10" x14ac:dyDescent="0.4">
      <c r="A365">
        <v>12</v>
      </c>
      <c r="B365">
        <v>0</v>
      </c>
      <c r="C365">
        <v>1E-4</v>
      </c>
      <c r="D365">
        <v>2.0000000000000001E-4</v>
      </c>
      <c r="E365">
        <v>4.0000000000000002E-4</v>
      </c>
      <c r="F365">
        <v>1E-3</v>
      </c>
      <c r="G365">
        <v>1.8E-3</v>
      </c>
      <c r="H365">
        <v>4.1999999999999997E-3</v>
      </c>
      <c r="I365">
        <v>6.7000000000000002E-3</v>
      </c>
      <c r="J365">
        <v>9.8900000000000002E-2</v>
      </c>
    </row>
    <row r="366" spans="1:10" x14ac:dyDescent="0.4">
      <c r="A366">
        <v>13</v>
      </c>
      <c r="B366">
        <v>0</v>
      </c>
      <c r="C366">
        <v>0</v>
      </c>
      <c r="D366">
        <v>0</v>
      </c>
      <c r="E366">
        <v>1E-4</v>
      </c>
      <c r="F366">
        <v>2.9999999999999997E-4</v>
      </c>
      <c r="G366">
        <v>6.9999999999999999E-4</v>
      </c>
      <c r="H366">
        <v>1.4E-3</v>
      </c>
      <c r="I366">
        <v>2.3E-3</v>
      </c>
      <c r="J366">
        <v>7.5999999999999998E-2</v>
      </c>
    </row>
    <row r="367" spans="1:10" x14ac:dyDescent="0.4">
      <c r="A367">
        <v>14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1E-4</v>
      </c>
      <c r="H367">
        <v>2.0000000000000001E-4</v>
      </c>
      <c r="I367">
        <v>2.0000000000000001E-4</v>
      </c>
      <c r="J367">
        <v>1.09E-2</v>
      </c>
    </row>
    <row r="368" spans="1:10" x14ac:dyDescent="0.4">
      <c r="A368" t="s">
        <v>29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1E-4</v>
      </c>
      <c r="H368">
        <v>1E-4</v>
      </c>
      <c r="I368">
        <v>2.0000000000000001E-4</v>
      </c>
      <c r="J368">
        <v>2.4E-2</v>
      </c>
    </row>
    <row r="370" spans="1:10" x14ac:dyDescent="0.4">
      <c r="A370">
        <v>2024</v>
      </c>
    </row>
    <row r="372" spans="1:10" x14ac:dyDescent="0.4">
      <c r="A372" t="s">
        <v>0</v>
      </c>
      <c r="B372" s="2">
        <v>0.01</v>
      </c>
      <c r="C372" s="2">
        <v>0.05</v>
      </c>
      <c r="D372" s="2">
        <v>0.1</v>
      </c>
      <c r="E372" s="2">
        <v>0.25</v>
      </c>
      <c r="F372" s="2">
        <v>0.5</v>
      </c>
      <c r="G372" s="2">
        <v>0.75</v>
      </c>
      <c r="H372" s="2">
        <v>0.9</v>
      </c>
      <c r="I372" s="2">
        <v>0.95</v>
      </c>
      <c r="J372" s="2">
        <v>0.99</v>
      </c>
    </row>
    <row r="373" spans="1:10" x14ac:dyDescent="0.4">
      <c r="A373">
        <v>1</v>
      </c>
      <c r="B373">
        <v>68.643600000000006</v>
      </c>
      <c r="C373">
        <v>70.575199999999995</v>
      </c>
      <c r="D373">
        <v>79.055199999999999</v>
      </c>
      <c r="E373">
        <v>104.75879999999999</v>
      </c>
      <c r="F373">
        <v>168.5874</v>
      </c>
      <c r="G373">
        <v>236.69640000000001</v>
      </c>
      <c r="H373">
        <v>280.78579999999999</v>
      </c>
      <c r="I373">
        <v>307.37439999999998</v>
      </c>
      <c r="J373">
        <v>354.7226</v>
      </c>
    </row>
    <row r="374" spans="1:10" x14ac:dyDescent="0.4">
      <c r="A374">
        <v>2</v>
      </c>
      <c r="B374">
        <v>40.045099999999998</v>
      </c>
      <c r="C374">
        <v>43.621699999999997</v>
      </c>
      <c r="D374">
        <v>47.883000000000003</v>
      </c>
      <c r="E374">
        <v>63.362200000000001</v>
      </c>
      <c r="F374">
        <v>102.1598</v>
      </c>
      <c r="G374">
        <v>144.2518</v>
      </c>
      <c r="H374">
        <v>172.27330000000001</v>
      </c>
      <c r="I374">
        <v>187.2208</v>
      </c>
      <c r="J374">
        <v>214.52279999999999</v>
      </c>
    </row>
    <row r="375" spans="1:10" x14ac:dyDescent="0.4">
      <c r="A375">
        <v>3</v>
      </c>
      <c r="B375">
        <v>21.982500000000002</v>
      </c>
      <c r="C375">
        <v>24.725899999999999</v>
      </c>
      <c r="D375">
        <v>27.259</v>
      </c>
      <c r="E375">
        <v>36.2729</v>
      </c>
      <c r="F375">
        <v>58.671100000000003</v>
      </c>
      <c r="G375">
        <v>83.9636</v>
      </c>
      <c r="H375">
        <v>101.9862</v>
      </c>
      <c r="I375">
        <v>111.12130000000001</v>
      </c>
      <c r="J375">
        <v>128.3571</v>
      </c>
    </row>
    <row r="376" spans="1:10" x14ac:dyDescent="0.4">
      <c r="A376">
        <v>4</v>
      </c>
      <c r="B376">
        <v>23.855499999999999</v>
      </c>
      <c r="C376">
        <v>29.361000000000001</v>
      </c>
      <c r="D376">
        <v>32.373399999999997</v>
      </c>
      <c r="E376">
        <v>38.752699999999997</v>
      </c>
      <c r="F376">
        <v>50.099800000000002</v>
      </c>
      <c r="G376">
        <v>63.279400000000003</v>
      </c>
      <c r="H376">
        <v>79.294600000000003</v>
      </c>
      <c r="I376">
        <v>88.8797</v>
      </c>
      <c r="J376">
        <v>103.6902</v>
      </c>
    </row>
    <row r="377" spans="1:10" x14ac:dyDescent="0.4">
      <c r="A377">
        <v>5</v>
      </c>
      <c r="B377">
        <v>6.9489999999999998</v>
      </c>
      <c r="C377">
        <v>9.7520000000000007</v>
      </c>
      <c r="D377">
        <v>11.062099999999999</v>
      </c>
      <c r="E377">
        <v>12.974399999999999</v>
      </c>
      <c r="F377">
        <v>15.756399999999999</v>
      </c>
      <c r="G377">
        <v>19.0669</v>
      </c>
      <c r="H377">
        <v>22.699200000000001</v>
      </c>
      <c r="I377">
        <v>25.130299999999998</v>
      </c>
      <c r="J377">
        <v>29.755700000000001</v>
      </c>
    </row>
    <row r="378" spans="1:10" x14ac:dyDescent="0.4">
      <c r="A378">
        <v>6</v>
      </c>
      <c r="B378">
        <v>3.1745000000000001</v>
      </c>
      <c r="C378">
        <v>4.2996999999999996</v>
      </c>
      <c r="D378">
        <v>4.9382999999999999</v>
      </c>
      <c r="E378">
        <v>5.9664000000000001</v>
      </c>
      <c r="F378">
        <v>7.2465999999999999</v>
      </c>
      <c r="G378">
        <v>8.8511000000000006</v>
      </c>
      <c r="H378">
        <v>10.661300000000001</v>
      </c>
      <c r="I378">
        <v>12.333600000000001</v>
      </c>
      <c r="J378">
        <v>16.615200000000002</v>
      </c>
    </row>
    <row r="379" spans="1:10" x14ac:dyDescent="0.4">
      <c r="A379">
        <v>7</v>
      </c>
      <c r="B379">
        <v>0.37709999999999999</v>
      </c>
      <c r="C379">
        <v>0.63219999999999998</v>
      </c>
      <c r="D379">
        <v>0.76929999999999998</v>
      </c>
      <c r="E379">
        <v>0.94750000000000001</v>
      </c>
      <c r="F379">
        <v>1.1642999999999999</v>
      </c>
      <c r="G379">
        <v>1.4579</v>
      </c>
      <c r="H379">
        <v>1.8852</v>
      </c>
      <c r="I379">
        <v>2.1526999999999998</v>
      </c>
      <c r="J379">
        <v>3.8540999999999999</v>
      </c>
    </row>
    <row r="380" spans="1:10" x14ac:dyDescent="0.4">
      <c r="A380">
        <v>8</v>
      </c>
      <c r="B380">
        <v>0.1123</v>
      </c>
      <c r="C380">
        <v>0.14119999999999999</v>
      </c>
      <c r="D380">
        <v>0.1779</v>
      </c>
      <c r="E380">
        <v>0.24299999999999999</v>
      </c>
      <c r="F380">
        <v>0.31669999999999998</v>
      </c>
      <c r="G380">
        <v>0.41839999999999999</v>
      </c>
      <c r="H380">
        <v>0.59299999999999997</v>
      </c>
      <c r="I380">
        <v>0.71609999999999996</v>
      </c>
      <c r="J380">
        <v>1.5287999999999999</v>
      </c>
    </row>
    <row r="381" spans="1:10" x14ac:dyDescent="0.4">
      <c r="A381">
        <v>9</v>
      </c>
      <c r="B381">
        <v>2.81E-2</v>
      </c>
      <c r="C381">
        <v>5.11E-2</v>
      </c>
      <c r="D381">
        <v>5.74E-2</v>
      </c>
      <c r="E381">
        <v>7.8200000000000006E-2</v>
      </c>
      <c r="F381">
        <v>0.1128</v>
      </c>
      <c r="G381">
        <v>0.1565</v>
      </c>
      <c r="H381">
        <v>0.25979999999999998</v>
      </c>
      <c r="I381">
        <v>0.3115</v>
      </c>
      <c r="J381">
        <v>1.0073000000000001</v>
      </c>
    </row>
    <row r="382" spans="1:10" x14ac:dyDescent="0.4">
      <c r="A382">
        <v>10</v>
      </c>
      <c r="B382">
        <v>3.2000000000000002E-3</v>
      </c>
      <c r="C382">
        <v>6.1999999999999998E-3</v>
      </c>
      <c r="D382">
        <v>8.0000000000000002E-3</v>
      </c>
      <c r="E382">
        <v>1.17E-2</v>
      </c>
      <c r="F382">
        <v>1.7999999999999999E-2</v>
      </c>
      <c r="G382">
        <v>2.87E-2</v>
      </c>
      <c r="H382">
        <v>4.58E-2</v>
      </c>
      <c r="I382">
        <v>0.06</v>
      </c>
      <c r="J382">
        <v>0.29559999999999997</v>
      </c>
    </row>
    <row r="383" spans="1:10" x14ac:dyDescent="0.4">
      <c r="A383">
        <v>11</v>
      </c>
      <c r="B383">
        <v>1.1000000000000001E-3</v>
      </c>
      <c r="C383">
        <v>3.0999999999999999E-3</v>
      </c>
      <c r="D383">
        <v>4.1999999999999997E-3</v>
      </c>
      <c r="E383">
        <v>7.3000000000000001E-3</v>
      </c>
      <c r="F383">
        <v>1.2699999999999999E-2</v>
      </c>
      <c r="G383">
        <v>2.1999999999999999E-2</v>
      </c>
      <c r="H383">
        <v>3.9199999999999999E-2</v>
      </c>
      <c r="I383">
        <v>0.06</v>
      </c>
      <c r="J383">
        <v>0.48370000000000002</v>
      </c>
    </row>
    <row r="384" spans="1:10" x14ac:dyDescent="0.4">
      <c r="A384">
        <v>12</v>
      </c>
      <c r="B384">
        <v>0</v>
      </c>
      <c r="C384">
        <v>1E-4</v>
      </c>
      <c r="D384">
        <v>2.0000000000000001E-4</v>
      </c>
      <c r="E384">
        <v>4.0000000000000002E-4</v>
      </c>
      <c r="F384">
        <v>1E-3</v>
      </c>
      <c r="G384">
        <v>1.9E-3</v>
      </c>
      <c r="H384">
        <v>3.3999999999999998E-3</v>
      </c>
      <c r="I384">
        <v>5.3E-3</v>
      </c>
      <c r="J384">
        <v>5.16E-2</v>
      </c>
    </row>
    <row r="385" spans="1:10" x14ac:dyDescent="0.4">
      <c r="A385">
        <v>13</v>
      </c>
      <c r="B385">
        <v>0</v>
      </c>
      <c r="C385">
        <v>1E-4</v>
      </c>
      <c r="D385">
        <v>1E-4</v>
      </c>
      <c r="E385">
        <v>2.0000000000000001E-4</v>
      </c>
      <c r="F385">
        <v>5.0000000000000001E-4</v>
      </c>
      <c r="G385">
        <v>8.9999999999999998E-4</v>
      </c>
      <c r="H385">
        <v>2.3E-3</v>
      </c>
      <c r="I385">
        <v>3.7000000000000002E-3</v>
      </c>
      <c r="J385">
        <v>5.8000000000000003E-2</v>
      </c>
    </row>
    <row r="386" spans="1:10" x14ac:dyDescent="0.4">
      <c r="A386">
        <v>14</v>
      </c>
      <c r="B386">
        <v>0</v>
      </c>
      <c r="C386">
        <v>0</v>
      </c>
      <c r="D386">
        <v>0</v>
      </c>
      <c r="E386">
        <v>1E-4</v>
      </c>
      <c r="F386">
        <v>2.0000000000000001E-4</v>
      </c>
      <c r="G386">
        <v>4.0000000000000002E-4</v>
      </c>
      <c r="H386">
        <v>8.0000000000000004E-4</v>
      </c>
      <c r="I386">
        <v>1.2999999999999999E-3</v>
      </c>
      <c r="J386">
        <v>4.7100000000000003E-2</v>
      </c>
    </row>
    <row r="387" spans="1:10" x14ac:dyDescent="0.4">
      <c r="A387" t="s">
        <v>29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1E-4</v>
      </c>
      <c r="H387">
        <v>1E-4</v>
      </c>
      <c r="I387">
        <v>2.0000000000000001E-4</v>
      </c>
      <c r="J387">
        <v>2.0799999999999999E-2</v>
      </c>
    </row>
    <row r="389" spans="1:10" x14ac:dyDescent="0.4">
      <c r="A389">
        <v>2025</v>
      </c>
    </row>
    <row r="391" spans="1:10" x14ac:dyDescent="0.4">
      <c r="A391" t="s">
        <v>0</v>
      </c>
      <c r="B391" s="2">
        <v>0.01</v>
      </c>
      <c r="C391" s="2">
        <v>0.05</v>
      </c>
      <c r="D391" s="2">
        <v>0.1</v>
      </c>
      <c r="E391" s="2">
        <v>0.25</v>
      </c>
      <c r="F391" s="2">
        <v>0.5</v>
      </c>
      <c r="G391" s="2">
        <v>0.75</v>
      </c>
      <c r="H391" s="2">
        <v>0.9</v>
      </c>
      <c r="I391" s="2">
        <v>0.95</v>
      </c>
      <c r="J391" s="2">
        <v>0.99</v>
      </c>
    </row>
    <row r="392" spans="1:10" x14ac:dyDescent="0.4">
      <c r="A392">
        <v>1</v>
      </c>
      <c r="B392">
        <v>68.657899999999998</v>
      </c>
      <c r="C392">
        <v>70.639399999999995</v>
      </c>
      <c r="D392">
        <v>79.060599999999994</v>
      </c>
      <c r="E392">
        <v>104.7533</v>
      </c>
      <c r="F392">
        <v>168.5908</v>
      </c>
      <c r="G392">
        <v>237.011</v>
      </c>
      <c r="H392">
        <v>280.95389999999998</v>
      </c>
      <c r="I392">
        <v>307.8879</v>
      </c>
      <c r="J392">
        <v>352.36709999999999</v>
      </c>
    </row>
    <row r="393" spans="1:10" x14ac:dyDescent="0.4">
      <c r="A393">
        <v>2</v>
      </c>
      <c r="B393">
        <v>39.057600000000001</v>
      </c>
      <c r="C393">
        <v>42.5916</v>
      </c>
      <c r="D393">
        <v>46.602800000000002</v>
      </c>
      <c r="E393">
        <v>61.844200000000001</v>
      </c>
      <c r="F393">
        <v>99.921300000000002</v>
      </c>
      <c r="G393">
        <v>141.45070000000001</v>
      </c>
      <c r="H393">
        <v>169.3509</v>
      </c>
      <c r="I393">
        <v>183.83029999999999</v>
      </c>
      <c r="J393">
        <v>215.6037</v>
      </c>
    </row>
    <row r="394" spans="1:10" x14ac:dyDescent="0.4">
      <c r="A394">
        <v>3</v>
      </c>
      <c r="B394">
        <v>20.375499999999999</v>
      </c>
      <c r="C394">
        <v>23.373899999999999</v>
      </c>
      <c r="D394">
        <v>25.927299999999999</v>
      </c>
      <c r="E394">
        <v>34.488399999999999</v>
      </c>
      <c r="F394">
        <v>56.347900000000003</v>
      </c>
      <c r="G394">
        <v>80.953400000000002</v>
      </c>
      <c r="H394">
        <v>99.142700000000005</v>
      </c>
      <c r="I394">
        <v>108.0926</v>
      </c>
      <c r="J394">
        <v>127.5367</v>
      </c>
    </row>
    <row r="395" spans="1:10" x14ac:dyDescent="0.4">
      <c r="A395">
        <v>4</v>
      </c>
      <c r="B395">
        <v>9.6207999999999991</v>
      </c>
      <c r="C395">
        <v>11.8134</v>
      </c>
      <c r="D395">
        <v>13.388299999999999</v>
      </c>
      <c r="E395">
        <v>18.231999999999999</v>
      </c>
      <c r="F395">
        <v>30.2227</v>
      </c>
      <c r="G395">
        <v>44.603000000000002</v>
      </c>
      <c r="H395">
        <v>56.237200000000001</v>
      </c>
      <c r="I395">
        <v>62.008499999999998</v>
      </c>
      <c r="J395">
        <v>74.212199999999996</v>
      </c>
    </row>
    <row r="396" spans="1:10" x14ac:dyDescent="0.4">
      <c r="A396">
        <v>5</v>
      </c>
      <c r="B396">
        <v>9.7520000000000007</v>
      </c>
      <c r="C396">
        <v>12.946199999999999</v>
      </c>
      <c r="D396">
        <v>14.893800000000001</v>
      </c>
      <c r="E396">
        <v>18.856000000000002</v>
      </c>
      <c r="F396">
        <v>25.372699999999998</v>
      </c>
      <c r="G396">
        <v>33.255800000000001</v>
      </c>
      <c r="H396">
        <v>42.902099999999997</v>
      </c>
      <c r="I396">
        <v>49.021299999999997</v>
      </c>
      <c r="J396">
        <v>58.897100000000002</v>
      </c>
    </row>
    <row r="397" spans="1:10" x14ac:dyDescent="0.4">
      <c r="A397">
        <v>6</v>
      </c>
      <c r="B397">
        <v>2.8498999999999999</v>
      </c>
      <c r="C397">
        <v>4.1029999999999998</v>
      </c>
      <c r="D397">
        <v>4.9062999999999999</v>
      </c>
      <c r="E397">
        <v>6.2095000000000002</v>
      </c>
      <c r="F397">
        <v>7.8672000000000004</v>
      </c>
      <c r="G397">
        <v>9.8036999999999992</v>
      </c>
      <c r="H397">
        <v>12.0184</v>
      </c>
      <c r="I397">
        <v>13.4892</v>
      </c>
      <c r="J397">
        <v>16.323699999999999</v>
      </c>
    </row>
    <row r="398" spans="1:10" x14ac:dyDescent="0.4">
      <c r="A398">
        <v>7</v>
      </c>
      <c r="B398">
        <v>1.3140000000000001</v>
      </c>
      <c r="C398">
        <v>1.8683000000000001</v>
      </c>
      <c r="D398">
        <v>2.2122999999999999</v>
      </c>
      <c r="E398">
        <v>2.8441000000000001</v>
      </c>
      <c r="F398">
        <v>3.6223999999999998</v>
      </c>
      <c r="G398">
        <v>4.5430999999999999</v>
      </c>
      <c r="H398">
        <v>5.6570999999999998</v>
      </c>
      <c r="I398">
        <v>6.5788000000000002</v>
      </c>
      <c r="J398">
        <v>9.0061</v>
      </c>
    </row>
    <row r="399" spans="1:10" x14ac:dyDescent="0.4">
      <c r="A399">
        <v>8</v>
      </c>
      <c r="B399">
        <v>0.155</v>
      </c>
      <c r="C399">
        <v>0.27439999999999998</v>
      </c>
      <c r="D399">
        <v>0.35039999999999999</v>
      </c>
      <c r="E399">
        <v>0.45590000000000003</v>
      </c>
      <c r="F399">
        <v>0.58340000000000003</v>
      </c>
      <c r="G399">
        <v>0.75570000000000004</v>
      </c>
      <c r="H399">
        <v>1.0007999999999999</v>
      </c>
      <c r="I399">
        <v>1.1818</v>
      </c>
      <c r="J399">
        <v>2.1002000000000001</v>
      </c>
    </row>
    <row r="400" spans="1:10" x14ac:dyDescent="0.4">
      <c r="A400">
        <v>9</v>
      </c>
      <c r="B400">
        <v>4.7699999999999999E-2</v>
      </c>
      <c r="C400">
        <v>6.5100000000000005E-2</v>
      </c>
      <c r="D400">
        <v>8.2100000000000006E-2</v>
      </c>
      <c r="E400">
        <v>0.1187</v>
      </c>
      <c r="F400">
        <v>0.16120000000000001</v>
      </c>
      <c r="G400">
        <v>0.21790000000000001</v>
      </c>
      <c r="H400">
        <v>0.3115</v>
      </c>
      <c r="I400">
        <v>0.3886</v>
      </c>
      <c r="J400">
        <v>0.84350000000000003</v>
      </c>
    </row>
    <row r="401" spans="1:10" x14ac:dyDescent="0.4">
      <c r="A401">
        <v>10</v>
      </c>
      <c r="B401">
        <v>1.3100000000000001E-2</v>
      </c>
      <c r="C401">
        <v>2.29E-2</v>
      </c>
      <c r="D401">
        <v>2.7400000000000001E-2</v>
      </c>
      <c r="E401">
        <v>3.8699999999999998E-2</v>
      </c>
      <c r="F401">
        <v>5.7500000000000002E-2</v>
      </c>
      <c r="G401">
        <v>8.14E-2</v>
      </c>
      <c r="H401">
        <v>0.1386</v>
      </c>
      <c r="I401">
        <v>0.1701</v>
      </c>
      <c r="J401">
        <v>0.55579999999999996</v>
      </c>
    </row>
    <row r="402" spans="1:10" x14ac:dyDescent="0.4">
      <c r="A402">
        <v>11</v>
      </c>
      <c r="B402">
        <v>1.5E-3</v>
      </c>
      <c r="C402">
        <v>3.0000000000000001E-3</v>
      </c>
      <c r="D402">
        <v>3.8E-3</v>
      </c>
      <c r="E402">
        <v>5.8999999999999999E-3</v>
      </c>
      <c r="F402">
        <v>9.1999999999999998E-3</v>
      </c>
      <c r="G402">
        <v>1.49E-2</v>
      </c>
      <c r="H402">
        <v>2.4500000000000001E-2</v>
      </c>
      <c r="I402">
        <v>3.2099999999999997E-2</v>
      </c>
      <c r="J402">
        <v>0.16600000000000001</v>
      </c>
    </row>
    <row r="403" spans="1:10" x14ac:dyDescent="0.4">
      <c r="A403">
        <v>12</v>
      </c>
      <c r="B403">
        <v>5.9999999999999995E-4</v>
      </c>
      <c r="C403">
        <v>1.5E-3</v>
      </c>
      <c r="D403">
        <v>2.0999999999999999E-3</v>
      </c>
      <c r="E403">
        <v>3.7000000000000002E-3</v>
      </c>
      <c r="F403">
        <v>6.6E-3</v>
      </c>
      <c r="G403">
        <v>1.15E-2</v>
      </c>
      <c r="H403">
        <v>2.1600000000000001E-2</v>
      </c>
      <c r="I403">
        <v>3.1800000000000002E-2</v>
      </c>
      <c r="J403">
        <v>0.27229999999999999</v>
      </c>
    </row>
    <row r="404" spans="1:10" x14ac:dyDescent="0.4">
      <c r="A404">
        <v>13</v>
      </c>
      <c r="B404">
        <v>0</v>
      </c>
      <c r="C404">
        <v>1E-4</v>
      </c>
      <c r="D404">
        <v>1E-4</v>
      </c>
      <c r="E404">
        <v>2.0000000000000001E-4</v>
      </c>
      <c r="F404">
        <v>5.0000000000000001E-4</v>
      </c>
      <c r="G404">
        <v>1E-3</v>
      </c>
      <c r="H404">
        <v>1.9E-3</v>
      </c>
      <c r="I404">
        <v>2.8E-3</v>
      </c>
      <c r="J404">
        <v>2.9100000000000001E-2</v>
      </c>
    </row>
    <row r="405" spans="1:10" x14ac:dyDescent="0.4">
      <c r="A405">
        <v>14</v>
      </c>
      <c r="B405">
        <v>0</v>
      </c>
      <c r="C405">
        <v>0</v>
      </c>
      <c r="D405">
        <v>0</v>
      </c>
      <c r="E405">
        <v>1E-4</v>
      </c>
      <c r="F405">
        <v>2.9999999999999997E-4</v>
      </c>
      <c r="G405">
        <v>5.0000000000000001E-4</v>
      </c>
      <c r="H405">
        <v>1.2999999999999999E-3</v>
      </c>
      <c r="I405">
        <v>2E-3</v>
      </c>
      <c r="J405">
        <v>3.3000000000000002E-2</v>
      </c>
    </row>
    <row r="406" spans="1:10" x14ac:dyDescent="0.4">
      <c r="A406" t="s">
        <v>29</v>
      </c>
      <c r="B406">
        <v>0</v>
      </c>
      <c r="C406">
        <v>0</v>
      </c>
      <c r="D406">
        <v>0</v>
      </c>
      <c r="E406">
        <v>0</v>
      </c>
      <c r="F406">
        <v>1E-4</v>
      </c>
      <c r="G406">
        <v>2.0000000000000001E-4</v>
      </c>
      <c r="H406">
        <v>5.0000000000000001E-4</v>
      </c>
      <c r="I406">
        <v>8.0000000000000004E-4</v>
      </c>
      <c r="J406">
        <v>4.02E-2</v>
      </c>
    </row>
    <row r="408" spans="1:10" x14ac:dyDescent="0.4">
      <c r="A408">
        <v>2026</v>
      </c>
    </row>
    <row r="410" spans="1:10" x14ac:dyDescent="0.4">
      <c r="A410" t="s">
        <v>0</v>
      </c>
      <c r="B410" s="2">
        <v>0.01</v>
      </c>
      <c r="C410" s="2">
        <v>0.05</v>
      </c>
      <c r="D410" s="2">
        <v>0.1</v>
      </c>
      <c r="E410" s="2">
        <v>0.25</v>
      </c>
      <c r="F410" s="2">
        <v>0.5</v>
      </c>
      <c r="G410" s="2">
        <v>0.75</v>
      </c>
      <c r="H410" s="2">
        <v>0.9</v>
      </c>
      <c r="I410" s="2">
        <v>0.95</v>
      </c>
      <c r="J410" s="2">
        <v>0.99</v>
      </c>
    </row>
    <row r="411" spans="1:10" x14ac:dyDescent="0.4">
      <c r="A411">
        <v>1</v>
      </c>
      <c r="B411">
        <v>68.658000000000001</v>
      </c>
      <c r="C411">
        <v>70.751000000000005</v>
      </c>
      <c r="D411">
        <v>79.139399999999995</v>
      </c>
      <c r="E411">
        <v>105.07089999999999</v>
      </c>
      <c r="F411">
        <v>168.6232</v>
      </c>
      <c r="G411">
        <v>237.17949999999999</v>
      </c>
      <c r="H411">
        <v>281.26940000000002</v>
      </c>
      <c r="I411">
        <v>307.93700000000001</v>
      </c>
      <c r="J411">
        <v>358.07530000000003</v>
      </c>
    </row>
    <row r="412" spans="1:10" x14ac:dyDescent="0.4">
      <c r="A412">
        <v>2</v>
      </c>
      <c r="B412">
        <v>39.306699999999999</v>
      </c>
      <c r="C412">
        <v>42.993400000000001</v>
      </c>
      <c r="D412">
        <v>46.995699999999999</v>
      </c>
      <c r="E412">
        <v>62.3628</v>
      </c>
      <c r="F412">
        <v>100.8018</v>
      </c>
      <c r="G412">
        <v>142.6799</v>
      </c>
      <c r="H412">
        <v>170.7877</v>
      </c>
      <c r="I412">
        <v>185.32140000000001</v>
      </c>
      <c r="J412">
        <v>215.73320000000001</v>
      </c>
    </row>
    <row r="413" spans="1:10" x14ac:dyDescent="0.4">
      <c r="A413">
        <v>3</v>
      </c>
      <c r="B413">
        <v>18.587199999999999</v>
      </c>
      <c r="C413">
        <v>22.1126</v>
      </c>
      <c r="D413">
        <v>24.6296</v>
      </c>
      <c r="E413">
        <v>32.9467</v>
      </c>
      <c r="F413">
        <v>54.025199999999998</v>
      </c>
      <c r="G413">
        <v>78.036100000000005</v>
      </c>
      <c r="H413">
        <v>96.215100000000007</v>
      </c>
      <c r="I413">
        <v>105.2771</v>
      </c>
      <c r="J413">
        <v>127.4615</v>
      </c>
    </row>
    <row r="414" spans="1:10" x14ac:dyDescent="0.4">
      <c r="A414">
        <v>4</v>
      </c>
      <c r="B414">
        <v>7.3551000000000002</v>
      </c>
      <c r="C414">
        <v>9.9528999999999996</v>
      </c>
      <c r="D414">
        <v>11.677300000000001</v>
      </c>
      <c r="E414">
        <v>16.171099999999999</v>
      </c>
      <c r="F414">
        <v>27.3751</v>
      </c>
      <c r="G414">
        <v>40.982300000000002</v>
      </c>
      <c r="H414">
        <v>52.805900000000001</v>
      </c>
      <c r="I414">
        <v>58.597700000000003</v>
      </c>
      <c r="J414">
        <v>72.062600000000003</v>
      </c>
    </row>
    <row r="415" spans="1:10" x14ac:dyDescent="0.4">
      <c r="A415">
        <v>5</v>
      </c>
      <c r="B415">
        <v>3.0939000000000001</v>
      </c>
      <c r="C415">
        <v>4.6375000000000002</v>
      </c>
      <c r="D415">
        <v>5.6634000000000002</v>
      </c>
      <c r="E415">
        <v>8.2174999999999994</v>
      </c>
      <c r="F415">
        <v>14.084300000000001</v>
      </c>
      <c r="G415">
        <v>21.870200000000001</v>
      </c>
      <c r="H415">
        <v>29.043800000000001</v>
      </c>
      <c r="I415">
        <v>32.828600000000002</v>
      </c>
      <c r="J415">
        <v>41.023499999999999</v>
      </c>
    </row>
    <row r="416" spans="1:10" x14ac:dyDescent="0.4">
      <c r="A416">
        <v>6</v>
      </c>
      <c r="B416">
        <v>3.0575000000000001</v>
      </c>
      <c r="C416">
        <v>4.8472999999999997</v>
      </c>
      <c r="D416">
        <v>6.0067000000000004</v>
      </c>
      <c r="E416">
        <v>8.3246000000000002</v>
      </c>
      <c r="F416">
        <v>11.8446</v>
      </c>
      <c r="G416">
        <v>16.426600000000001</v>
      </c>
      <c r="H416">
        <v>21.872399999999999</v>
      </c>
      <c r="I416">
        <v>25.465299999999999</v>
      </c>
      <c r="J416">
        <v>31.759799999999998</v>
      </c>
    </row>
    <row r="417" spans="1:10" x14ac:dyDescent="0.4">
      <c r="A417">
        <v>7</v>
      </c>
      <c r="B417">
        <v>0.94810000000000005</v>
      </c>
      <c r="C417">
        <v>1.5486</v>
      </c>
      <c r="D417">
        <v>1.9595</v>
      </c>
      <c r="E417">
        <v>2.7483</v>
      </c>
      <c r="F417">
        <v>3.7155</v>
      </c>
      <c r="G417">
        <v>4.8555999999999999</v>
      </c>
      <c r="H417">
        <v>6.1409000000000002</v>
      </c>
      <c r="I417">
        <v>7.0350999999999999</v>
      </c>
      <c r="J417">
        <v>8.7736000000000001</v>
      </c>
    </row>
    <row r="418" spans="1:10" x14ac:dyDescent="0.4">
      <c r="A418">
        <v>8</v>
      </c>
      <c r="B418">
        <v>0.44890000000000002</v>
      </c>
      <c r="C418">
        <v>0.72799999999999998</v>
      </c>
      <c r="D418">
        <v>0.9153</v>
      </c>
      <c r="E418">
        <v>1.276</v>
      </c>
      <c r="F418">
        <v>1.7339</v>
      </c>
      <c r="G418">
        <v>2.2789000000000001</v>
      </c>
      <c r="H418">
        <v>2.9319999999999999</v>
      </c>
      <c r="I418">
        <v>3.4397000000000002</v>
      </c>
      <c r="J418">
        <v>4.7487000000000004</v>
      </c>
    </row>
    <row r="419" spans="1:10" x14ac:dyDescent="0.4">
      <c r="A419">
        <v>9</v>
      </c>
      <c r="B419">
        <v>5.8500000000000003E-2</v>
      </c>
      <c r="C419">
        <v>0.1091</v>
      </c>
      <c r="D419">
        <v>0.14710000000000001</v>
      </c>
      <c r="E419">
        <v>0.20880000000000001</v>
      </c>
      <c r="F419">
        <v>0.28460000000000002</v>
      </c>
      <c r="G419">
        <v>0.38400000000000001</v>
      </c>
      <c r="H419">
        <v>0.52059999999999995</v>
      </c>
      <c r="I419">
        <v>0.63570000000000004</v>
      </c>
      <c r="J419">
        <v>1.1103000000000001</v>
      </c>
    </row>
    <row r="420" spans="1:10" x14ac:dyDescent="0.4">
      <c r="A420">
        <v>10</v>
      </c>
      <c r="B420">
        <v>1.78E-2</v>
      </c>
      <c r="C420">
        <v>2.8000000000000001E-2</v>
      </c>
      <c r="D420">
        <v>3.6299999999999999E-2</v>
      </c>
      <c r="E420">
        <v>5.5599999999999997E-2</v>
      </c>
      <c r="F420">
        <v>7.9799999999999996E-2</v>
      </c>
      <c r="G420">
        <v>0.1119</v>
      </c>
      <c r="H420">
        <v>0.16220000000000001</v>
      </c>
      <c r="I420">
        <v>0.20730000000000001</v>
      </c>
      <c r="J420">
        <v>0.44840000000000002</v>
      </c>
    </row>
    <row r="421" spans="1:10" x14ac:dyDescent="0.4">
      <c r="A421">
        <v>11</v>
      </c>
      <c r="B421">
        <v>5.4000000000000003E-3</v>
      </c>
      <c r="C421">
        <v>9.4999999999999998E-3</v>
      </c>
      <c r="D421">
        <v>1.2500000000000001E-2</v>
      </c>
      <c r="E421">
        <v>1.8599999999999998E-2</v>
      </c>
      <c r="F421">
        <v>2.86E-2</v>
      </c>
      <c r="G421">
        <v>4.2099999999999999E-2</v>
      </c>
      <c r="H421">
        <v>7.2400000000000006E-2</v>
      </c>
      <c r="I421">
        <v>9.1399999999999995E-2</v>
      </c>
      <c r="J421">
        <v>0.30049999999999999</v>
      </c>
    </row>
    <row r="422" spans="1:10" x14ac:dyDescent="0.4">
      <c r="A422">
        <v>12</v>
      </c>
      <c r="B422">
        <v>5.9999999999999995E-4</v>
      </c>
      <c r="C422">
        <v>1.2999999999999999E-3</v>
      </c>
      <c r="D422">
        <v>1.8E-3</v>
      </c>
      <c r="E422">
        <v>2.8999999999999998E-3</v>
      </c>
      <c r="F422">
        <v>4.5999999999999999E-3</v>
      </c>
      <c r="G422">
        <v>7.7000000000000002E-3</v>
      </c>
      <c r="H422">
        <v>1.29E-2</v>
      </c>
      <c r="I422">
        <v>1.7100000000000001E-2</v>
      </c>
      <c r="J422">
        <v>8.9700000000000002E-2</v>
      </c>
    </row>
    <row r="423" spans="1:10" x14ac:dyDescent="0.4">
      <c r="A423">
        <v>13</v>
      </c>
      <c r="B423">
        <v>2.9999999999999997E-4</v>
      </c>
      <c r="C423">
        <v>6.9999999999999999E-4</v>
      </c>
      <c r="D423">
        <v>1E-3</v>
      </c>
      <c r="E423">
        <v>1.8E-3</v>
      </c>
      <c r="F423">
        <v>3.3E-3</v>
      </c>
      <c r="G423">
        <v>5.8999999999999999E-3</v>
      </c>
      <c r="H423">
        <v>1.15E-2</v>
      </c>
      <c r="I423">
        <v>1.6799999999999999E-2</v>
      </c>
      <c r="J423">
        <v>0.1479</v>
      </c>
    </row>
    <row r="424" spans="1:10" x14ac:dyDescent="0.4">
      <c r="A424">
        <v>14</v>
      </c>
      <c r="B424">
        <v>0</v>
      </c>
      <c r="C424">
        <v>0</v>
      </c>
      <c r="D424">
        <v>1E-4</v>
      </c>
      <c r="E424">
        <v>1E-4</v>
      </c>
      <c r="F424">
        <v>2.9999999999999997E-4</v>
      </c>
      <c r="G424">
        <v>5.0000000000000001E-4</v>
      </c>
      <c r="H424">
        <v>1E-3</v>
      </c>
      <c r="I424">
        <v>1.5E-3</v>
      </c>
      <c r="J424">
        <v>1.5800000000000002E-2</v>
      </c>
    </row>
    <row r="425" spans="1:10" x14ac:dyDescent="0.4">
      <c r="A425" t="s">
        <v>29</v>
      </c>
      <c r="B425">
        <v>0</v>
      </c>
      <c r="C425">
        <v>0</v>
      </c>
      <c r="D425">
        <v>0</v>
      </c>
      <c r="E425">
        <v>1E-4</v>
      </c>
      <c r="F425">
        <v>2.0000000000000001E-4</v>
      </c>
      <c r="G425">
        <v>4.0000000000000002E-4</v>
      </c>
      <c r="H425">
        <v>8.9999999999999998E-4</v>
      </c>
      <c r="I425">
        <v>1.5E-3</v>
      </c>
      <c r="J425">
        <v>0.04</v>
      </c>
    </row>
    <row r="427" spans="1:10" x14ac:dyDescent="0.4">
      <c r="A427">
        <v>2027</v>
      </c>
    </row>
    <row r="429" spans="1:10" x14ac:dyDescent="0.4">
      <c r="A429" t="s">
        <v>0</v>
      </c>
      <c r="B429" s="2">
        <v>0.01</v>
      </c>
      <c r="C429" s="2">
        <v>0.05</v>
      </c>
      <c r="D429" s="2">
        <v>0.1</v>
      </c>
      <c r="E429" s="2">
        <v>0.25</v>
      </c>
      <c r="F429" s="2">
        <v>0.5</v>
      </c>
      <c r="G429" s="2">
        <v>0.75</v>
      </c>
      <c r="H429" s="2">
        <v>0.9</v>
      </c>
      <c r="I429" s="2">
        <v>0.95</v>
      </c>
      <c r="J429" s="2">
        <v>0.99</v>
      </c>
    </row>
    <row r="430" spans="1:10" x14ac:dyDescent="0.4">
      <c r="A430">
        <v>1</v>
      </c>
      <c r="B430">
        <v>68.662000000000006</v>
      </c>
      <c r="C430">
        <v>70.922300000000007</v>
      </c>
      <c r="D430">
        <v>79.182599999999994</v>
      </c>
      <c r="E430">
        <v>105.0825</v>
      </c>
      <c r="F430">
        <v>168.5309</v>
      </c>
      <c r="G430">
        <v>236.48609999999999</v>
      </c>
      <c r="H430">
        <v>280.61700000000002</v>
      </c>
      <c r="I430">
        <v>307.55040000000002</v>
      </c>
      <c r="J430">
        <v>341.44389999999999</v>
      </c>
    </row>
    <row r="431" spans="1:10" x14ac:dyDescent="0.4">
      <c r="A431">
        <v>2</v>
      </c>
      <c r="B431">
        <v>39.099299999999999</v>
      </c>
      <c r="C431">
        <v>42.816699999999997</v>
      </c>
      <c r="D431">
        <v>46.874499999999998</v>
      </c>
      <c r="E431">
        <v>62.262599999999999</v>
      </c>
      <c r="F431">
        <v>100.5539</v>
      </c>
      <c r="G431">
        <v>142.26050000000001</v>
      </c>
      <c r="H431">
        <v>170.44839999999999</v>
      </c>
      <c r="I431">
        <v>185.4479</v>
      </c>
      <c r="J431">
        <v>216.43629999999999</v>
      </c>
    </row>
    <row r="432" spans="1:10" x14ac:dyDescent="0.4">
      <c r="A432">
        <v>3</v>
      </c>
      <c r="B432">
        <v>17.468299999999999</v>
      </c>
      <c r="C432">
        <v>21.636399999999998</v>
      </c>
      <c r="D432">
        <v>24.283100000000001</v>
      </c>
      <c r="E432">
        <v>32.662300000000002</v>
      </c>
      <c r="F432">
        <v>53.777999999999999</v>
      </c>
      <c r="G432">
        <v>77.7607</v>
      </c>
      <c r="H432">
        <v>96.368099999999998</v>
      </c>
      <c r="I432">
        <v>105.2666</v>
      </c>
      <c r="J432">
        <v>126.5406</v>
      </c>
    </row>
    <row r="433" spans="1:10" x14ac:dyDescent="0.4">
      <c r="A433">
        <v>4</v>
      </c>
      <c r="B433">
        <v>5.6101000000000001</v>
      </c>
      <c r="C433">
        <v>8.6721000000000004</v>
      </c>
      <c r="D433">
        <v>10.5288</v>
      </c>
      <c r="E433">
        <v>14.963100000000001</v>
      </c>
      <c r="F433">
        <v>25.576799999999999</v>
      </c>
      <c r="G433">
        <v>38.8977</v>
      </c>
      <c r="H433">
        <v>50.632899999999999</v>
      </c>
      <c r="I433">
        <v>56.800199999999997</v>
      </c>
      <c r="J433">
        <v>71.470299999999995</v>
      </c>
    </row>
    <row r="434" spans="1:10" x14ac:dyDescent="0.4">
      <c r="A434">
        <v>5</v>
      </c>
      <c r="B434">
        <v>1.9100999999999999</v>
      </c>
      <c r="C434">
        <v>3.5095000000000001</v>
      </c>
      <c r="D434">
        <v>4.5789</v>
      </c>
      <c r="E434">
        <v>7.0252999999999997</v>
      </c>
      <c r="F434">
        <v>12.397600000000001</v>
      </c>
      <c r="G434">
        <v>19.8262</v>
      </c>
      <c r="H434">
        <v>26.9815</v>
      </c>
      <c r="I434">
        <v>30.802499999999998</v>
      </c>
      <c r="J434">
        <v>39.874000000000002</v>
      </c>
    </row>
    <row r="435" spans="1:10" x14ac:dyDescent="0.4">
      <c r="A435">
        <v>6</v>
      </c>
      <c r="B435">
        <v>0.77869999999999995</v>
      </c>
      <c r="C435">
        <v>1.5925</v>
      </c>
      <c r="D435">
        <v>2.1861999999999999</v>
      </c>
      <c r="E435">
        <v>3.5137</v>
      </c>
      <c r="F435">
        <v>6.2927999999999997</v>
      </c>
      <c r="G435">
        <v>10.4148</v>
      </c>
      <c r="H435">
        <v>14.586</v>
      </c>
      <c r="I435">
        <v>16.999600000000001</v>
      </c>
      <c r="J435">
        <v>22.256799999999998</v>
      </c>
    </row>
    <row r="436" spans="1:10" x14ac:dyDescent="0.4">
      <c r="A436">
        <v>7</v>
      </c>
      <c r="B436">
        <v>0.76700000000000002</v>
      </c>
      <c r="C436">
        <v>1.633</v>
      </c>
      <c r="D436">
        <v>2.2652999999999999</v>
      </c>
      <c r="E436">
        <v>3.5228000000000002</v>
      </c>
      <c r="F436">
        <v>5.4314</v>
      </c>
      <c r="G436">
        <v>8.0030000000000001</v>
      </c>
      <c r="H436">
        <v>11.0412</v>
      </c>
      <c r="I436">
        <v>13.134499999999999</v>
      </c>
      <c r="J436">
        <v>17.1282</v>
      </c>
    </row>
    <row r="437" spans="1:10" x14ac:dyDescent="0.4">
      <c r="A437">
        <v>8</v>
      </c>
      <c r="B437">
        <v>0.25009999999999999</v>
      </c>
      <c r="C437">
        <v>0.54249999999999998</v>
      </c>
      <c r="D437">
        <v>0.74919999999999998</v>
      </c>
      <c r="E437">
        <v>1.1753</v>
      </c>
      <c r="F437">
        <v>1.7339</v>
      </c>
      <c r="G437">
        <v>2.4028</v>
      </c>
      <c r="H437">
        <v>3.1406999999999998</v>
      </c>
      <c r="I437">
        <v>3.6659000000000002</v>
      </c>
      <c r="J437">
        <v>4.7251000000000003</v>
      </c>
    </row>
    <row r="438" spans="1:10" x14ac:dyDescent="0.4">
      <c r="A438">
        <v>9</v>
      </c>
      <c r="B438">
        <v>0.12470000000000001</v>
      </c>
      <c r="C438">
        <v>0.26500000000000001</v>
      </c>
      <c r="D438">
        <v>0.36159999999999998</v>
      </c>
      <c r="E438">
        <v>0.55830000000000002</v>
      </c>
      <c r="F438">
        <v>0.82489999999999997</v>
      </c>
      <c r="G438">
        <v>1.1459999999999999</v>
      </c>
      <c r="H438">
        <v>1.5206</v>
      </c>
      <c r="I438">
        <v>1.8037000000000001</v>
      </c>
      <c r="J438">
        <v>2.5139</v>
      </c>
    </row>
    <row r="439" spans="1:10" x14ac:dyDescent="0.4">
      <c r="A439">
        <v>10</v>
      </c>
      <c r="B439">
        <v>1.8499999999999999E-2</v>
      </c>
      <c r="C439">
        <v>4.1399999999999999E-2</v>
      </c>
      <c r="D439">
        <v>5.8700000000000002E-2</v>
      </c>
      <c r="E439">
        <v>9.3299999999999994E-2</v>
      </c>
      <c r="F439">
        <v>0.13789999999999999</v>
      </c>
      <c r="G439">
        <v>0.19539999999999999</v>
      </c>
      <c r="H439">
        <v>0.27239999999999998</v>
      </c>
      <c r="I439">
        <v>0.33910000000000001</v>
      </c>
      <c r="J439">
        <v>0.57909999999999995</v>
      </c>
    </row>
    <row r="440" spans="1:10" x14ac:dyDescent="0.4">
      <c r="A440">
        <v>11</v>
      </c>
      <c r="B440">
        <v>5.5999999999999999E-3</v>
      </c>
      <c r="C440">
        <v>1.12E-2</v>
      </c>
      <c r="D440">
        <v>1.55E-2</v>
      </c>
      <c r="E440">
        <v>2.53E-2</v>
      </c>
      <c r="F440">
        <v>3.9100000000000003E-2</v>
      </c>
      <c r="G440">
        <v>5.7200000000000001E-2</v>
      </c>
      <c r="H440">
        <v>8.4199999999999997E-2</v>
      </c>
      <c r="I440">
        <v>0.11070000000000001</v>
      </c>
      <c r="J440">
        <v>0.2354</v>
      </c>
    </row>
    <row r="441" spans="1:10" x14ac:dyDescent="0.4">
      <c r="A441">
        <v>12</v>
      </c>
      <c r="B441">
        <v>1.8E-3</v>
      </c>
      <c r="C441">
        <v>3.8E-3</v>
      </c>
      <c r="D441">
        <v>5.4000000000000003E-3</v>
      </c>
      <c r="E441">
        <v>8.6999999999999994E-3</v>
      </c>
      <c r="F441">
        <v>1.41E-2</v>
      </c>
      <c r="G441">
        <v>2.18E-2</v>
      </c>
      <c r="H441">
        <v>3.7400000000000003E-2</v>
      </c>
      <c r="I441">
        <v>4.9099999999999998E-2</v>
      </c>
      <c r="J441">
        <v>0.15770000000000001</v>
      </c>
    </row>
    <row r="442" spans="1:10" x14ac:dyDescent="0.4">
      <c r="A442">
        <v>13</v>
      </c>
      <c r="B442">
        <v>2.0000000000000001E-4</v>
      </c>
      <c r="C442">
        <v>5.0000000000000001E-4</v>
      </c>
      <c r="D442">
        <v>8.0000000000000004E-4</v>
      </c>
      <c r="E442">
        <v>1.4E-3</v>
      </c>
      <c r="F442">
        <v>2.3E-3</v>
      </c>
      <c r="G442">
        <v>3.8999999999999998E-3</v>
      </c>
      <c r="H442">
        <v>6.7000000000000002E-3</v>
      </c>
      <c r="I442">
        <v>9.1000000000000004E-3</v>
      </c>
      <c r="J442">
        <v>4.7300000000000002E-2</v>
      </c>
    </row>
    <row r="443" spans="1:10" x14ac:dyDescent="0.4">
      <c r="A443">
        <v>14</v>
      </c>
      <c r="B443">
        <v>1E-4</v>
      </c>
      <c r="C443">
        <v>2.9999999999999997E-4</v>
      </c>
      <c r="D443">
        <v>5.0000000000000001E-4</v>
      </c>
      <c r="E443">
        <v>8.9999999999999998E-4</v>
      </c>
      <c r="F443">
        <v>1.6000000000000001E-3</v>
      </c>
      <c r="G443">
        <v>3.0000000000000001E-3</v>
      </c>
      <c r="H443">
        <v>6.0000000000000001E-3</v>
      </c>
      <c r="I443">
        <v>8.8999999999999999E-3</v>
      </c>
      <c r="J443">
        <v>7.8899999999999998E-2</v>
      </c>
    </row>
    <row r="444" spans="1:10" x14ac:dyDescent="0.4">
      <c r="A444" t="s">
        <v>29</v>
      </c>
      <c r="B444">
        <v>0</v>
      </c>
      <c r="C444">
        <v>0</v>
      </c>
      <c r="D444">
        <v>0</v>
      </c>
      <c r="E444">
        <v>1E-4</v>
      </c>
      <c r="F444">
        <v>2.0000000000000001E-4</v>
      </c>
      <c r="G444">
        <v>5.0000000000000001E-4</v>
      </c>
      <c r="H444">
        <v>1E-3</v>
      </c>
      <c r="I444">
        <v>1.6000000000000001E-3</v>
      </c>
      <c r="J444">
        <v>3.0300000000000001E-2</v>
      </c>
    </row>
    <row r="446" spans="1:10" x14ac:dyDescent="0.4">
      <c r="A446">
        <v>2028</v>
      </c>
    </row>
    <row r="448" spans="1:10" x14ac:dyDescent="0.4">
      <c r="A448" t="s">
        <v>0</v>
      </c>
      <c r="B448" s="2">
        <v>0.01</v>
      </c>
      <c r="C448" s="2">
        <v>0.05</v>
      </c>
      <c r="D448" s="2">
        <v>0.1</v>
      </c>
      <c r="E448" s="2">
        <v>0.25</v>
      </c>
      <c r="F448" s="2">
        <v>0.5</v>
      </c>
      <c r="G448" s="2">
        <v>0.75</v>
      </c>
      <c r="H448" s="2">
        <v>0.9</v>
      </c>
      <c r="I448" s="2">
        <v>0.95</v>
      </c>
      <c r="J448" s="2">
        <v>0.99</v>
      </c>
    </row>
    <row r="449" spans="1:10" x14ac:dyDescent="0.4">
      <c r="A449">
        <v>1</v>
      </c>
      <c r="B449">
        <v>68.661799999999999</v>
      </c>
      <c r="C449">
        <v>70.799499999999995</v>
      </c>
      <c r="D449">
        <v>79.167900000000003</v>
      </c>
      <c r="E449">
        <v>105.3074</v>
      </c>
      <c r="F449">
        <v>168.58940000000001</v>
      </c>
      <c r="G449">
        <v>236.7003</v>
      </c>
      <c r="H449">
        <v>279.14179999999999</v>
      </c>
      <c r="I449">
        <v>306.45569999999998</v>
      </c>
      <c r="J449">
        <v>337.28429999999997</v>
      </c>
    </row>
    <row r="450" spans="1:10" x14ac:dyDescent="0.4">
      <c r="A450">
        <v>2</v>
      </c>
      <c r="B450">
        <v>38.822699999999998</v>
      </c>
      <c r="C450">
        <v>42.683100000000003</v>
      </c>
      <c r="D450">
        <v>46.773099999999999</v>
      </c>
      <c r="E450">
        <v>62.0276</v>
      </c>
      <c r="F450">
        <v>99.908299999999997</v>
      </c>
      <c r="G450">
        <v>141.46180000000001</v>
      </c>
      <c r="H450">
        <v>169.73249999999999</v>
      </c>
      <c r="I450">
        <v>184.41460000000001</v>
      </c>
      <c r="J450">
        <v>211.6301</v>
      </c>
    </row>
    <row r="451" spans="1:10" x14ac:dyDescent="0.4">
      <c r="A451">
        <v>3</v>
      </c>
      <c r="B451">
        <v>16.026299999999999</v>
      </c>
      <c r="C451">
        <v>21.022500000000001</v>
      </c>
      <c r="D451">
        <v>23.791899999999998</v>
      </c>
      <c r="E451">
        <v>32.073</v>
      </c>
      <c r="F451">
        <v>52.912100000000002</v>
      </c>
      <c r="G451">
        <v>76.920199999999994</v>
      </c>
      <c r="H451">
        <v>95.505700000000004</v>
      </c>
      <c r="I451">
        <v>104.8669</v>
      </c>
      <c r="J451">
        <v>126.7195</v>
      </c>
    </row>
    <row r="452" spans="1:10" x14ac:dyDescent="0.4">
      <c r="A452">
        <v>4</v>
      </c>
      <c r="B452">
        <v>4.2912999999999997</v>
      </c>
      <c r="C452">
        <v>7.8540000000000001</v>
      </c>
      <c r="D452">
        <v>9.8931000000000004</v>
      </c>
      <c r="E452">
        <v>14.4527</v>
      </c>
      <c r="F452">
        <v>24.8903</v>
      </c>
      <c r="G452">
        <v>38.189300000000003</v>
      </c>
      <c r="H452">
        <v>50.235199999999999</v>
      </c>
      <c r="I452">
        <v>56.365299999999998</v>
      </c>
      <c r="J452">
        <v>71.058099999999996</v>
      </c>
    </row>
    <row r="453" spans="1:10" x14ac:dyDescent="0.4">
      <c r="A453">
        <v>5</v>
      </c>
      <c r="B453">
        <v>1.1238999999999999</v>
      </c>
      <c r="C453">
        <v>2.7469999999999999</v>
      </c>
      <c r="D453">
        <v>3.8544</v>
      </c>
      <c r="E453">
        <v>6.2988</v>
      </c>
      <c r="F453">
        <v>11.338800000000001</v>
      </c>
      <c r="G453">
        <v>18.5349</v>
      </c>
      <c r="H453">
        <v>25.5838</v>
      </c>
      <c r="I453">
        <v>29.700900000000001</v>
      </c>
      <c r="J453">
        <v>39.497199999999999</v>
      </c>
    </row>
    <row r="454" spans="1:10" x14ac:dyDescent="0.4">
      <c r="A454">
        <v>6</v>
      </c>
      <c r="B454">
        <v>0.35970000000000002</v>
      </c>
      <c r="C454">
        <v>1.0717000000000001</v>
      </c>
      <c r="D454">
        <v>1.6203000000000001</v>
      </c>
      <c r="E454">
        <v>2.8816999999999999</v>
      </c>
      <c r="F454">
        <v>5.4151999999999996</v>
      </c>
      <c r="G454">
        <v>9.3375000000000004</v>
      </c>
      <c r="H454">
        <v>13.412000000000001</v>
      </c>
      <c r="I454">
        <v>15.846500000000001</v>
      </c>
      <c r="J454">
        <v>21.544599999999999</v>
      </c>
    </row>
    <row r="455" spans="1:10" x14ac:dyDescent="0.4">
      <c r="A455">
        <v>7</v>
      </c>
      <c r="B455">
        <v>0.15379999999999999</v>
      </c>
      <c r="C455">
        <v>0.49380000000000002</v>
      </c>
      <c r="D455">
        <v>0.78449999999999998</v>
      </c>
      <c r="E455">
        <v>1.4545999999999999</v>
      </c>
      <c r="F455">
        <v>2.7704</v>
      </c>
      <c r="G455">
        <v>4.8974000000000002</v>
      </c>
      <c r="H455">
        <v>7.2480000000000002</v>
      </c>
      <c r="I455">
        <v>8.6893999999999991</v>
      </c>
      <c r="J455">
        <v>11.9832</v>
      </c>
    </row>
    <row r="456" spans="1:10" x14ac:dyDescent="0.4">
      <c r="A456">
        <v>8</v>
      </c>
      <c r="B456">
        <v>0.1522</v>
      </c>
      <c r="C456">
        <v>0.51139999999999997</v>
      </c>
      <c r="D456">
        <v>0.81279999999999997</v>
      </c>
      <c r="E456">
        <v>1.4564999999999999</v>
      </c>
      <c r="F456">
        <v>2.4727000000000001</v>
      </c>
      <c r="G456">
        <v>3.8853</v>
      </c>
      <c r="H456">
        <v>5.5650000000000004</v>
      </c>
      <c r="I456">
        <v>6.7567000000000004</v>
      </c>
      <c r="J456">
        <v>9.2200000000000006</v>
      </c>
    </row>
    <row r="457" spans="1:10" x14ac:dyDescent="0.4">
      <c r="A457">
        <v>9</v>
      </c>
      <c r="B457">
        <v>5.3600000000000002E-2</v>
      </c>
      <c r="C457">
        <v>0.17649999999999999</v>
      </c>
      <c r="D457">
        <v>0.27579999999999999</v>
      </c>
      <c r="E457">
        <v>0.49249999999999999</v>
      </c>
      <c r="F457">
        <v>0.80349999999999999</v>
      </c>
      <c r="G457">
        <v>1.1904999999999999</v>
      </c>
      <c r="H457">
        <v>1.6154999999999999</v>
      </c>
      <c r="I457">
        <v>1.9214</v>
      </c>
      <c r="J457">
        <v>2.5676000000000001</v>
      </c>
    </row>
    <row r="458" spans="1:10" x14ac:dyDescent="0.4">
      <c r="A458">
        <v>10</v>
      </c>
      <c r="B458">
        <v>2.8000000000000001E-2</v>
      </c>
      <c r="C458">
        <v>8.9099999999999999E-2</v>
      </c>
      <c r="D458">
        <v>0.13700000000000001</v>
      </c>
      <c r="E458">
        <v>0.24010000000000001</v>
      </c>
      <c r="F458">
        <v>0.38990000000000002</v>
      </c>
      <c r="G458">
        <v>0.57620000000000005</v>
      </c>
      <c r="H458">
        <v>0.7923</v>
      </c>
      <c r="I458">
        <v>0.95620000000000005</v>
      </c>
      <c r="J458">
        <v>1.3483000000000001</v>
      </c>
    </row>
    <row r="459" spans="1:10" x14ac:dyDescent="0.4">
      <c r="A459">
        <v>11</v>
      </c>
      <c r="B459">
        <v>4.5999999999999999E-3</v>
      </c>
      <c r="C459">
        <v>1.44E-2</v>
      </c>
      <c r="D459">
        <v>2.2700000000000001E-2</v>
      </c>
      <c r="E459">
        <v>4.0800000000000003E-2</v>
      </c>
      <c r="F459">
        <v>6.6199999999999995E-2</v>
      </c>
      <c r="G459">
        <v>9.9199999999999997E-2</v>
      </c>
      <c r="H459">
        <v>0.14249999999999999</v>
      </c>
      <c r="I459">
        <v>0.18</v>
      </c>
      <c r="J459">
        <v>0.30320000000000003</v>
      </c>
    </row>
    <row r="460" spans="1:10" x14ac:dyDescent="0.4">
      <c r="A460">
        <v>12</v>
      </c>
      <c r="B460">
        <v>1.4E-3</v>
      </c>
      <c r="C460">
        <v>4.1000000000000003E-3</v>
      </c>
      <c r="D460">
        <v>6.1999999999999998E-3</v>
      </c>
      <c r="E460">
        <v>1.12E-2</v>
      </c>
      <c r="F460">
        <v>1.89E-2</v>
      </c>
      <c r="G460">
        <v>2.92E-2</v>
      </c>
      <c r="H460">
        <v>4.3900000000000002E-2</v>
      </c>
      <c r="I460">
        <v>5.8799999999999998E-2</v>
      </c>
      <c r="J460">
        <v>0.12280000000000001</v>
      </c>
    </row>
    <row r="461" spans="1:10" x14ac:dyDescent="0.4">
      <c r="A461">
        <v>13</v>
      </c>
      <c r="B461">
        <v>5.0000000000000001E-4</v>
      </c>
      <c r="C461">
        <v>1.4E-3</v>
      </c>
      <c r="D461">
        <v>2.2000000000000001E-3</v>
      </c>
      <c r="E461">
        <v>4.0000000000000001E-3</v>
      </c>
      <c r="F461">
        <v>6.8999999999999999E-3</v>
      </c>
      <c r="G461">
        <v>1.12E-2</v>
      </c>
      <c r="H461">
        <v>1.9099999999999999E-2</v>
      </c>
      <c r="I461">
        <v>2.6200000000000001E-2</v>
      </c>
      <c r="J461">
        <v>8.2199999999999995E-2</v>
      </c>
    </row>
    <row r="462" spans="1:10" x14ac:dyDescent="0.4">
      <c r="A462">
        <v>14</v>
      </c>
      <c r="B462">
        <v>1E-4</v>
      </c>
      <c r="C462">
        <v>2.0000000000000001E-4</v>
      </c>
      <c r="D462">
        <v>2.9999999999999997E-4</v>
      </c>
      <c r="E462">
        <v>5.9999999999999995E-4</v>
      </c>
      <c r="F462">
        <v>1.1000000000000001E-3</v>
      </c>
      <c r="G462">
        <v>2E-3</v>
      </c>
      <c r="H462">
        <v>3.5000000000000001E-3</v>
      </c>
      <c r="I462">
        <v>4.7999999999999996E-3</v>
      </c>
      <c r="J462">
        <v>2.4799999999999999E-2</v>
      </c>
    </row>
    <row r="463" spans="1:10" x14ac:dyDescent="0.4">
      <c r="A463" t="s">
        <v>29</v>
      </c>
      <c r="B463">
        <v>0</v>
      </c>
      <c r="C463">
        <v>1E-4</v>
      </c>
      <c r="D463">
        <v>2.0000000000000001E-4</v>
      </c>
      <c r="E463">
        <v>4.0000000000000002E-4</v>
      </c>
      <c r="F463">
        <v>8.9999999999999998E-4</v>
      </c>
      <c r="G463">
        <v>1.8E-3</v>
      </c>
      <c r="H463">
        <v>3.5999999999999999E-3</v>
      </c>
      <c r="I463">
        <v>5.4999999999999997E-3</v>
      </c>
      <c r="J463">
        <v>5.7500000000000002E-2</v>
      </c>
    </row>
    <row r="465" spans="1:10" x14ac:dyDescent="0.4">
      <c r="A465">
        <v>2029</v>
      </c>
    </row>
    <row r="467" spans="1:10" x14ac:dyDescent="0.4">
      <c r="A467" t="s">
        <v>0</v>
      </c>
      <c r="B467" s="2">
        <v>0.01</v>
      </c>
      <c r="C467" s="2">
        <v>0.05</v>
      </c>
      <c r="D467" s="2">
        <v>0.1</v>
      </c>
      <c r="E467" s="2">
        <v>0.25</v>
      </c>
      <c r="F467" s="2">
        <v>0.5</v>
      </c>
      <c r="G467" s="2">
        <v>0.75</v>
      </c>
      <c r="H467" s="2">
        <v>0.9</v>
      </c>
      <c r="I467" s="2">
        <v>0.95</v>
      </c>
      <c r="J467" s="2">
        <v>0.99</v>
      </c>
    </row>
    <row r="468" spans="1:10" x14ac:dyDescent="0.4">
      <c r="A468">
        <v>1</v>
      </c>
      <c r="B468">
        <v>68.654300000000006</v>
      </c>
      <c r="C468">
        <v>70.874799999999993</v>
      </c>
      <c r="D468">
        <v>79.156099999999995</v>
      </c>
      <c r="E468">
        <v>105.0351</v>
      </c>
      <c r="F468">
        <v>168.46799999999999</v>
      </c>
      <c r="G468">
        <v>236.53380000000001</v>
      </c>
      <c r="H468">
        <v>279.88490000000002</v>
      </c>
      <c r="I468">
        <v>307.23739999999998</v>
      </c>
      <c r="J468">
        <v>341.71570000000003</v>
      </c>
    </row>
    <row r="469" spans="1:10" x14ac:dyDescent="0.4">
      <c r="A469">
        <v>2</v>
      </c>
      <c r="B469">
        <v>38.227400000000003</v>
      </c>
      <c r="C469">
        <v>42.166800000000002</v>
      </c>
      <c r="D469">
        <v>46.291600000000003</v>
      </c>
      <c r="E469">
        <v>61.442599999999999</v>
      </c>
      <c r="F469">
        <v>99.099400000000003</v>
      </c>
      <c r="G469">
        <v>140.01140000000001</v>
      </c>
      <c r="H469">
        <v>167.78020000000001</v>
      </c>
      <c r="I469">
        <v>182.6164</v>
      </c>
      <c r="J469">
        <v>209.16210000000001</v>
      </c>
    </row>
    <row r="470" spans="1:10" x14ac:dyDescent="0.4">
      <c r="A470">
        <v>3</v>
      </c>
      <c r="B470">
        <v>15.1294</v>
      </c>
      <c r="C470">
        <v>20.592300000000002</v>
      </c>
      <c r="D470">
        <v>23.415800000000001</v>
      </c>
      <c r="E470">
        <v>31.6372</v>
      </c>
      <c r="F470">
        <v>52.287100000000002</v>
      </c>
      <c r="G470">
        <v>75.779600000000002</v>
      </c>
      <c r="H470">
        <v>94.830100000000002</v>
      </c>
      <c r="I470">
        <v>104.0694</v>
      </c>
      <c r="J470">
        <v>124.1561</v>
      </c>
    </row>
    <row r="471" spans="1:10" x14ac:dyDescent="0.4">
      <c r="A471">
        <v>4</v>
      </c>
      <c r="B471">
        <v>3.6903999999999999</v>
      </c>
      <c r="C471">
        <v>7.5434000000000001</v>
      </c>
      <c r="D471">
        <v>9.6973000000000003</v>
      </c>
      <c r="E471">
        <v>14.2517</v>
      </c>
      <c r="F471">
        <v>24.689399999999999</v>
      </c>
      <c r="G471">
        <v>37.979999999999997</v>
      </c>
      <c r="H471">
        <v>50.176299999999998</v>
      </c>
      <c r="I471">
        <v>56.4422</v>
      </c>
      <c r="J471">
        <v>71.310199999999995</v>
      </c>
    </row>
    <row r="472" spans="1:10" x14ac:dyDescent="0.4">
      <c r="A472">
        <v>5</v>
      </c>
      <c r="B472">
        <v>0.77500000000000002</v>
      </c>
      <c r="C472">
        <v>2.4579</v>
      </c>
      <c r="D472">
        <v>3.6356000000000002</v>
      </c>
      <c r="E472">
        <v>6.1307999999999998</v>
      </c>
      <c r="F472">
        <v>11.1435</v>
      </c>
      <c r="G472">
        <v>18.421800000000001</v>
      </c>
      <c r="H472">
        <v>25.6968</v>
      </c>
      <c r="I472">
        <v>29.7651</v>
      </c>
      <c r="J472">
        <v>39.4604</v>
      </c>
    </row>
    <row r="473" spans="1:10" x14ac:dyDescent="0.4">
      <c r="A473">
        <v>6</v>
      </c>
      <c r="B473">
        <v>0.19489999999999999</v>
      </c>
      <c r="C473">
        <v>0.82179999999999997</v>
      </c>
      <c r="D473">
        <v>1.3572</v>
      </c>
      <c r="E473">
        <v>2.6074999999999999</v>
      </c>
      <c r="F473">
        <v>5.0170000000000003</v>
      </c>
      <c r="G473">
        <v>8.8198000000000008</v>
      </c>
      <c r="H473">
        <v>12.895</v>
      </c>
      <c r="I473">
        <v>15.453900000000001</v>
      </c>
      <c r="J473">
        <v>21.555700000000002</v>
      </c>
    </row>
    <row r="474" spans="1:10" x14ac:dyDescent="0.4">
      <c r="A474">
        <v>7</v>
      </c>
      <c r="B474">
        <v>6.3700000000000007E-2</v>
      </c>
      <c r="C474">
        <v>0.32279999999999998</v>
      </c>
      <c r="D474">
        <v>0.57740000000000002</v>
      </c>
      <c r="E474">
        <v>1.1967000000000001</v>
      </c>
      <c r="F474">
        <v>2.4266999999999999</v>
      </c>
      <c r="G474">
        <v>4.4654999999999996</v>
      </c>
      <c r="H474">
        <v>6.7568999999999999</v>
      </c>
      <c r="I474">
        <v>8.2532999999999994</v>
      </c>
      <c r="J474">
        <v>11.7402</v>
      </c>
    </row>
    <row r="475" spans="1:10" x14ac:dyDescent="0.4">
      <c r="A475">
        <v>8</v>
      </c>
      <c r="B475">
        <v>2.8500000000000001E-2</v>
      </c>
      <c r="C475">
        <v>0.1545</v>
      </c>
      <c r="D475">
        <v>0.2858</v>
      </c>
      <c r="E475">
        <v>0.61629999999999996</v>
      </c>
      <c r="F475">
        <v>1.2609999999999999</v>
      </c>
      <c r="G475">
        <v>2.3733</v>
      </c>
      <c r="H475">
        <v>3.6846999999999999</v>
      </c>
      <c r="I475">
        <v>4.548</v>
      </c>
      <c r="J475">
        <v>6.5475000000000003</v>
      </c>
    </row>
    <row r="476" spans="1:10" x14ac:dyDescent="0.4">
      <c r="A476">
        <v>9</v>
      </c>
      <c r="B476">
        <v>2.92E-2</v>
      </c>
      <c r="C476">
        <v>0.16239999999999999</v>
      </c>
      <c r="D476">
        <v>0.29680000000000001</v>
      </c>
      <c r="E476">
        <v>0.62029999999999996</v>
      </c>
      <c r="F476">
        <v>1.1594</v>
      </c>
      <c r="G476">
        <v>1.9336</v>
      </c>
      <c r="H476">
        <v>2.8822000000000001</v>
      </c>
      <c r="I476">
        <v>3.5703999999999998</v>
      </c>
      <c r="J476">
        <v>5.0625999999999998</v>
      </c>
    </row>
    <row r="477" spans="1:10" x14ac:dyDescent="0.4">
      <c r="A477">
        <v>10</v>
      </c>
      <c r="B477">
        <v>1.06E-2</v>
      </c>
      <c r="C477">
        <v>5.7299999999999997E-2</v>
      </c>
      <c r="D477">
        <v>0.1027</v>
      </c>
      <c r="E477">
        <v>0.2127</v>
      </c>
      <c r="F477">
        <v>0.3831</v>
      </c>
      <c r="G477">
        <v>0.60350000000000004</v>
      </c>
      <c r="H477">
        <v>0.85219999999999996</v>
      </c>
      <c r="I477">
        <v>1.0333000000000001</v>
      </c>
      <c r="J477">
        <v>1.4281999999999999</v>
      </c>
    </row>
    <row r="478" spans="1:10" x14ac:dyDescent="0.4">
      <c r="A478">
        <v>11</v>
      </c>
      <c r="B478">
        <v>5.8999999999999999E-3</v>
      </c>
      <c r="C478">
        <v>2.9700000000000001E-2</v>
      </c>
      <c r="D478">
        <v>5.2299999999999999E-2</v>
      </c>
      <c r="E478">
        <v>0.1056</v>
      </c>
      <c r="F478">
        <v>0.1883</v>
      </c>
      <c r="G478">
        <v>0.2949</v>
      </c>
      <c r="H478">
        <v>0.42070000000000002</v>
      </c>
      <c r="I478">
        <v>0.51500000000000001</v>
      </c>
      <c r="J478">
        <v>0.74180000000000001</v>
      </c>
    </row>
    <row r="479" spans="1:10" x14ac:dyDescent="0.4">
      <c r="A479">
        <v>12</v>
      </c>
      <c r="B479">
        <v>1E-3</v>
      </c>
      <c r="C479">
        <v>5.0000000000000001E-3</v>
      </c>
      <c r="D479">
        <v>8.8000000000000005E-3</v>
      </c>
      <c r="E479">
        <v>1.8100000000000002E-2</v>
      </c>
      <c r="F479">
        <v>3.2300000000000002E-2</v>
      </c>
      <c r="G479">
        <v>5.1299999999999998E-2</v>
      </c>
      <c r="H479">
        <v>7.5700000000000003E-2</v>
      </c>
      <c r="I479">
        <v>9.7000000000000003E-2</v>
      </c>
      <c r="J479">
        <v>0.16250000000000001</v>
      </c>
    </row>
    <row r="480" spans="1:10" x14ac:dyDescent="0.4">
      <c r="A480">
        <v>13</v>
      </c>
      <c r="B480">
        <v>2.9999999999999997E-4</v>
      </c>
      <c r="C480">
        <v>1.5E-3</v>
      </c>
      <c r="D480">
        <v>2.5000000000000001E-3</v>
      </c>
      <c r="E480">
        <v>5.1000000000000004E-3</v>
      </c>
      <c r="F480">
        <v>9.2999999999999992E-3</v>
      </c>
      <c r="G480">
        <v>1.52E-2</v>
      </c>
      <c r="H480">
        <v>2.3300000000000001E-2</v>
      </c>
      <c r="I480">
        <v>3.1399999999999997E-2</v>
      </c>
      <c r="J480">
        <v>6.4699999999999994E-2</v>
      </c>
    </row>
    <row r="481" spans="1:10" x14ac:dyDescent="0.4">
      <c r="A481">
        <v>14</v>
      </c>
      <c r="B481">
        <v>1E-4</v>
      </c>
      <c r="C481">
        <v>5.0000000000000001E-4</v>
      </c>
      <c r="D481">
        <v>8.9999999999999998E-4</v>
      </c>
      <c r="E481">
        <v>1.8E-3</v>
      </c>
      <c r="F481">
        <v>3.3999999999999998E-3</v>
      </c>
      <c r="G481">
        <v>5.7999999999999996E-3</v>
      </c>
      <c r="H481">
        <v>0.01</v>
      </c>
      <c r="I481">
        <v>1.41E-2</v>
      </c>
      <c r="J481">
        <v>4.2500000000000003E-2</v>
      </c>
    </row>
    <row r="482" spans="1:10" x14ac:dyDescent="0.4">
      <c r="A482" t="s">
        <v>29</v>
      </c>
      <c r="B482">
        <v>0</v>
      </c>
      <c r="C482">
        <v>1E-4</v>
      </c>
      <c r="D482">
        <v>2.0000000000000001E-4</v>
      </c>
      <c r="E482">
        <v>5.0000000000000001E-4</v>
      </c>
      <c r="F482">
        <v>1E-3</v>
      </c>
      <c r="G482">
        <v>1.9E-3</v>
      </c>
      <c r="H482">
        <v>3.7000000000000002E-3</v>
      </c>
      <c r="I482">
        <v>5.4999999999999997E-3</v>
      </c>
      <c r="J482">
        <v>4.3299999999999998E-2</v>
      </c>
    </row>
    <row r="484" spans="1:10" x14ac:dyDescent="0.4">
      <c r="A484">
        <v>2030</v>
      </c>
    </row>
    <row r="486" spans="1:10" x14ac:dyDescent="0.4">
      <c r="A486" t="s">
        <v>0</v>
      </c>
      <c r="B486" s="2">
        <v>0.01</v>
      </c>
      <c r="C486" s="2">
        <v>0.05</v>
      </c>
      <c r="D486" s="2">
        <v>0.1</v>
      </c>
      <c r="E486" s="2">
        <v>0.25</v>
      </c>
      <c r="F486" s="2">
        <v>0.5</v>
      </c>
      <c r="G486" s="2">
        <v>0.75</v>
      </c>
      <c r="H486" s="2">
        <v>0.9</v>
      </c>
      <c r="I486" s="2">
        <v>0.95</v>
      </c>
      <c r="J486" s="2">
        <v>0.99</v>
      </c>
    </row>
    <row r="487" spans="1:10" x14ac:dyDescent="0.4">
      <c r="A487">
        <v>1</v>
      </c>
      <c r="B487">
        <v>68.665800000000004</v>
      </c>
      <c r="C487">
        <v>70.812399999999997</v>
      </c>
      <c r="D487">
        <v>79.1143</v>
      </c>
      <c r="E487">
        <v>104.8463</v>
      </c>
      <c r="F487">
        <v>168.5275</v>
      </c>
      <c r="G487">
        <v>236.56870000000001</v>
      </c>
      <c r="H487">
        <v>280.00130000000001</v>
      </c>
      <c r="I487">
        <v>306.67450000000002</v>
      </c>
      <c r="J487">
        <v>327.81569999999999</v>
      </c>
    </row>
    <row r="488" spans="1:10" x14ac:dyDescent="0.4">
      <c r="A488">
        <v>2</v>
      </c>
      <c r="B488">
        <v>37.9358</v>
      </c>
      <c r="C488">
        <v>42.069400000000002</v>
      </c>
      <c r="D488">
        <v>46.093699999999998</v>
      </c>
      <c r="E488">
        <v>61.131500000000003</v>
      </c>
      <c r="F488">
        <v>98.7089</v>
      </c>
      <c r="G488">
        <v>139.81229999999999</v>
      </c>
      <c r="H488">
        <v>167.8535</v>
      </c>
      <c r="I488">
        <v>182.33109999999999</v>
      </c>
      <c r="J488">
        <v>210.18260000000001</v>
      </c>
    </row>
    <row r="489" spans="1:10" x14ac:dyDescent="0.4">
      <c r="A489">
        <v>3</v>
      </c>
      <c r="B489">
        <v>14.209300000000001</v>
      </c>
      <c r="C489">
        <v>20.035799999999998</v>
      </c>
      <c r="D489">
        <v>22.942399999999999</v>
      </c>
      <c r="E489">
        <v>31.109200000000001</v>
      </c>
      <c r="F489">
        <v>51.419400000000003</v>
      </c>
      <c r="G489">
        <v>74.593900000000005</v>
      </c>
      <c r="H489">
        <v>93.539199999999994</v>
      </c>
      <c r="I489">
        <v>102.9751</v>
      </c>
      <c r="J489">
        <v>123.2657</v>
      </c>
    </row>
    <row r="490" spans="1:10" x14ac:dyDescent="0.4">
      <c r="A490">
        <v>4</v>
      </c>
      <c r="B490">
        <v>3.1484999999999999</v>
      </c>
      <c r="C490">
        <v>7.1264000000000003</v>
      </c>
      <c r="D490">
        <v>9.3003999999999998</v>
      </c>
      <c r="E490">
        <v>13.902200000000001</v>
      </c>
      <c r="F490">
        <v>24.096399999999999</v>
      </c>
      <c r="G490">
        <v>37.239699999999999</v>
      </c>
      <c r="H490">
        <v>49.578699999999998</v>
      </c>
      <c r="I490">
        <v>55.8035</v>
      </c>
      <c r="J490">
        <v>70.068799999999996</v>
      </c>
    </row>
    <row r="491" spans="1:10" x14ac:dyDescent="0.4">
      <c r="A491">
        <v>5</v>
      </c>
      <c r="B491">
        <v>0.59150000000000003</v>
      </c>
      <c r="C491">
        <v>2.2483</v>
      </c>
      <c r="D491">
        <v>3.4192999999999998</v>
      </c>
      <c r="E491">
        <v>5.9424000000000001</v>
      </c>
      <c r="F491">
        <v>10.962</v>
      </c>
      <c r="G491">
        <v>18.2347</v>
      </c>
      <c r="H491">
        <v>25.5823</v>
      </c>
      <c r="I491">
        <v>29.705300000000001</v>
      </c>
      <c r="J491">
        <v>39.4129</v>
      </c>
    </row>
    <row r="492" spans="1:10" x14ac:dyDescent="0.4">
      <c r="A492">
        <v>6</v>
      </c>
      <c r="B492">
        <v>0.1168</v>
      </c>
      <c r="C492">
        <v>0.69069999999999998</v>
      </c>
      <c r="D492">
        <v>1.2262</v>
      </c>
      <c r="E492">
        <v>2.4882</v>
      </c>
      <c r="F492">
        <v>4.8728999999999996</v>
      </c>
      <c r="G492">
        <v>8.7462</v>
      </c>
      <c r="H492">
        <v>12.871600000000001</v>
      </c>
      <c r="I492">
        <v>15.4497</v>
      </c>
      <c r="J492">
        <v>21.4939</v>
      </c>
    </row>
    <row r="493" spans="1:10" x14ac:dyDescent="0.4">
      <c r="A493">
        <v>7</v>
      </c>
      <c r="B493">
        <v>2.8299999999999999E-2</v>
      </c>
      <c r="C493">
        <v>0.23319999999999999</v>
      </c>
      <c r="D493">
        <v>0.4632</v>
      </c>
      <c r="E493">
        <v>1.0622</v>
      </c>
      <c r="F493">
        <v>2.2219000000000002</v>
      </c>
      <c r="G493">
        <v>4.1966000000000001</v>
      </c>
      <c r="H493">
        <v>6.4898999999999996</v>
      </c>
      <c r="I493">
        <v>8.0050000000000008</v>
      </c>
      <c r="J493">
        <v>11.6921</v>
      </c>
    </row>
    <row r="494" spans="1:10" x14ac:dyDescent="0.4">
      <c r="A494">
        <v>8</v>
      </c>
      <c r="B494">
        <v>0.01</v>
      </c>
      <c r="C494">
        <v>9.5899999999999999E-2</v>
      </c>
      <c r="D494">
        <v>0.2014</v>
      </c>
      <c r="E494">
        <v>0.49249999999999999</v>
      </c>
      <c r="F494">
        <v>1.0934999999999999</v>
      </c>
      <c r="G494">
        <v>2.1486000000000001</v>
      </c>
      <c r="H494">
        <v>3.4188000000000001</v>
      </c>
      <c r="I494">
        <v>4.3040000000000003</v>
      </c>
      <c r="J494">
        <v>6.3883999999999999</v>
      </c>
    </row>
    <row r="495" spans="1:10" x14ac:dyDescent="0.4">
      <c r="A495">
        <v>9</v>
      </c>
      <c r="B495">
        <v>4.5999999999999999E-3</v>
      </c>
      <c r="C495">
        <v>4.7199999999999999E-2</v>
      </c>
      <c r="D495">
        <v>0.1019</v>
      </c>
      <c r="E495">
        <v>0.25890000000000002</v>
      </c>
      <c r="F495">
        <v>0.57869999999999999</v>
      </c>
      <c r="G495">
        <v>1.1608000000000001</v>
      </c>
      <c r="H495">
        <v>1.8866000000000001</v>
      </c>
      <c r="I495">
        <v>2.3965000000000001</v>
      </c>
      <c r="J495">
        <v>3.5973999999999999</v>
      </c>
    </row>
    <row r="496" spans="1:10" x14ac:dyDescent="0.4">
      <c r="A496">
        <v>10</v>
      </c>
      <c r="B496">
        <v>5.0000000000000001E-3</v>
      </c>
      <c r="C496">
        <v>5.0999999999999997E-2</v>
      </c>
      <c r="D496">
        <v>0.107</v>
      </c>
      <c r="E496">
        <v>0.26390000000000002</v>
      </c>
      <c r="F496">
        <v>0.54390000000000005</v>
      </c>
      <c r="G496">
        <v>0.96870000000000001</v>
      </c>
      <c r="H496">
        <v>1.5022</v>
      </c>
      <c r="I496">
        <v>1.9046000000000001</v>
      </c>
      <c r="J496">
        <v>2.7934999999999999</v>
      </c>
    </row>
    <row r="497" spans="1:10" x14ac:dyDescent="0.4">
      <c r="A497">
        <v>11</v>
      </c>
      <c r="B497">
        <v>1.9E-3</v>
      </c>
      <c r="C497">
        <v>1.8499999999999999E-2</v>
      </c>
      <c r="D497">
        <v>3.8100000000000002E-2</v>
      </c>
      <c r="E497">
        <v>9.1700000000000004E-2</v>
      </c>
      <c r="F497">
        <v>0.1822</v>
      </c>
      <c r="G497">
        <v>0.30649999999999999</v>
      </c>
      <c r="H497">
        <v>0.45119999999999999</v>
      </c>
      <c r="I497">
        <v>0.55840000000000001</v>
      </c>
      <c r="J497">
        <v>0.79749999999999999</v>
      </c>
    </row>
    <row r="498" spans="1:10" x14ac:dyDescent="0.4">
      <c r="A498">
        <v>12</v>
      </c>
      <c r="B498">
        <v>1.1000000000000001E-3</v>
      </c>
      <c r="C498">
        <v>9.9000000000000008E-3</v>
      </c>
      <c r="D498">
        <v>1.9699999999999999E-2</v>
      </c>
      <c r="E498">
        <v>4.6199999999999998E-2</v>
      </c>
      <c r="F498">
        <v>9.0499999999999997E-2</v>
      </c>
      <c r="G498">
        <v>0.15110000000000001</v>
      </c>
      <c r="H498">
        <v>0.2243</v>
      </c>
      <c r="I498">
        <v>0.27879999999999999</v>
      </c>
      <c r="J498">
        <v>0.40849999999999997</v>
      </c>
    </row>
    <row r="499" spans="1:10" x14ac:dyDescent="0.4">
      <c r="A499">
        <v>13</v>
      </c>
      <c r="B499">
        <v>2.0000000000000001E-4</v>
      </c>
      <c r="C499">
        <v>1.6999999999999999E-3</v>
      </c>
      <c r="D499">
        <v>3.3999999999999998E-3</v>
      </c>
      <c r="E499">
        <v>8.0000000000000002E-3</v>
      </c>
      <c r="F499">
        <v>1.5699999999999999E-2</v>
      </c>
      <c r="G499">
        <v>2.6499999999999999E-2</v>
      </c>
      <c r="H499">
        <v>4.0399999999999998E-2</v>
      </c>
      <c r="I499">
        <v>5.2299999999999999E-2</v>
      </c>
      <c r="J499">
        <v>8.77E-2</v>
      </c>
    </row>
    <row r="500" spans="1:10" x14ac:dyDescent="0.4">
      <c r="A500">
        <v>14</v>
      </c>
      <c r="B500">
        <v>1E-4</v>
      </c>
      <c r="C500">
        <v>5.0000000000000001E-4</v>
      </c>
      <c r="D500">
        <v>1E-3</v>
      </c>
      <c r="E500">
        <v>2.3E-3</v>
      </c>
      <c r="F500">
        <v>4.4999999999999997E-3</v>
      </c>
      <c r="G500">
        <v>7.7999999999999996E-3</v>
      </c>
      <c r="H500">
        <v>1.24E-2</v>
      </c>
      <c r="I500">
        <v>1.6799999999999999E-2</v>
      </c>
      <c r="J500">
        <v>3.4200000000000001E-2</v>
      </c>
    </row>
    <row r="501" spans="1:10" x14ac:dyDescent="0.4">
      <c r="A501" t="s">
        <v>29</v>
      </c>
      <c r="B501">
        <v>0</v>
      </c>
      <c r="C501">
        <v>2.0000000000000001E-4</v>
      </c>
      <c r="D501">
        <v>5.0000000000000001E-4</v>
      </c>
      <c r="E501">
        <v>1.1000000000000001E-3</v>
      </c>
      <c r="F501">
        <v>2.2000000000000001E-3</v>
      </c>
      <c r="G501">
        <v>4.0000000000000001E-3</v>
      </c>
      <c r="H501">
        <v>7.1000000000000004E-3</v>
      </c>
      <c r="I501">
        <v>1.0500000000000001E-2</v>
      </c>
      <c r="J501">
        <v>4.4200000000000003E-2</v>
      </c>
    </row>
    <row r="503" spans="1:10" x14ac:dyDescent="0.4">
      <c r="A503">
        <v>2031</v>
      </c>
    </row>
    <row r="505" spans="1:10" x14ac:dyDescent="0.4">
      <c r="A505" t="s">
        <v>0</v>
      </c>
      <c r="B505" s="2">
        <v>0.01</v>
      </c>
      <c r="C505" s="2">
        <v>0.05</v>
      </c>
      <c r="D505" s="2">
        <v>0.1</v>
      </c>
      <c r="E505" s="2">
        <v>0.25</v>
      </c>
      <c r="F505" s="2">
        <v>0.5</v>
      </c>
      <c r="G505" s="2">
        <v>0.75</v>
      </c>
      <c r="H505" s="2">
        <v>0.9</v>
      </c>
      <c r="I505" s="2">
        <v>0.95</v>
      </c>
      <c r="J505" s="2">
        <v>0.99</v>
      </c>
    </row>
    <row r="506" spans="1:10" x14ac:dyDescent="0.4">
      <c r="A506">
        <v>1</v>
      </c>
      <c r="B506">
        <v>68.645600000000002</v>
      </c>
      <c r="C506">
        <v>70.723799999999997</v>
      </c>
      <c r="D506">
        <v>79.150499999999994</v>
      </c>
      <c r="E506">
        <v>104.8477</v>
      </c>
      <c r="F506">
        <v>168.542</v>
      </c>
      <c r="G506">
        <v>236.30459999999999</v>
      </c>
      <c r="H506">
        <v>279.40839999999997</v>
      </c>
      <c r="I506">
        <v>306.24430000000001</v>
      </c>
      <c r="J506">
        <v>327.5265</v>
      </c>
    </row>
    <row r="507" spans="1:10" x14ac:dyDescent="0.4">
      <c r="A507">
        <v>2</v>
      </c>
      <c r="B507">
        <v>37.7637</v>
      </c>
      <c r="C507">
        <v>41.978499999999997</v>
      </c>
      <c r="D507">
        <v>45.938499999999998</v>
      </c>
      <c r="E507">
        <v>60.942799999999998</v>
      </c>
      <c r="F507">
        <v>98.627799999999993</v>
      </c>
      <c r="G507">
        <v>139.76939999999999</v>
      </c>
      <c r="H507">
        <v>167.83430000000001</v>
      </c>
      <c r="I507">
        <v>182.22749999999999</v>
      </c>
      <c r="J507">
        <v>206.92019999999999</v>
      </c>
    </row>
    <row r="508" spans="1:10" x14ac:dyDescent="0.4">
      <c r="A508">
        <v>3</v>
      </c>
      <c r="B508">
        <v>13.424899999999999</v>
      </c>
      <c r="C508">
        <v>19.549700000000001</v>
      </c>
      <c r="D508">
        <v>22.6432</v>
      </c>
      <c r="E508">
        <v>30.727499999999999</v>
      </c>
      <c r="F508">
        <v>50.9636</v>
      </c>
      <c r="G508">
        <v>74.301100000000005</v>
      </c>
      <c r="H508">
        <v>93.283299999999997</v>
      </c>
      <c r="I508">
        <v>102.5676</v>
      </c>
      <c r="J508">
        <v>123.1524</v>
      </c>
    </row>
    <row r="509" spans="1:10" x14ac:dyDescent="0.4">
      <c r="A509">
        <v>4</v>
      </c>
      <c r="B509">
        <v>2.6032000000000002</v>
      </c>
      <c r="C509">
        <v>6.6825999999999999</v>
      </c>
      <c r="D509">
        <v>8.89</v>
      </c>
      <c r="E509">
        <v>13.5726</v>
      </c>
      <c r="F509">
        <v>23.589500000000001</v>
      </c>
      <c r="G509">
        <v>36.5396</v>
      </c>
      <c r="H509">
        <v>48.797800000000002</v>
      </c>
      <c r="I509">
        <v>55.133600000000001</v>
      </c>
      <c r="J509">
        <v>69.2898</v>
      </c>
    </row>
    <row r="510" spans="1:10" x14ac:dyDescent="0.4">
      <c r="A510">
        <v>5</v>
      </c>
      <c r="B510">
        <v>0.44519999999999998</v>
      </c>
      <c r="C510">
        <v>1.9932000000000001</v>
      </c>
      <c r="D510">
        <v>3.1877</v>
      </c>
      <c r="E510">
        <v>5.6944999999999997</v>
      </c>
      <c r="F510">
        <v>10.588200000000001</v>
      </c>
      <c r="G510">
        <v>17.854700000000001</v>
      </c>
      <c r="H510">
        <v>25.151499999999999</v>
      </c>
      <c r="I510">
        <v>29.295000000000002</v>
      </c>
      <c r="J510">
        <v>38.815899999999999</v>
      </c>
    </row>
    <row r="511" spans="1:10" x14ac:dyDescent="0.4">
      <c r="A511">
        <v>6</v>
      </c>
      <c r="B511">
        <v>7.4700000000000003E-2</v>
      </c>
      <c r="C511">
        <v>0.60189999999999999</v>
      </c>
      <c r="D511">
        <v>1.1094999999999999</v>
      </c>
      <c r="E511">
        <v>2.3603000000000001</v>
      </c>
      <c r="F511">
        <v>4.7601000000000004</v>
      </c>
      <c r="G511">
        <v>8.6109000000000009</v>
      </c>
      <c r="H511">
        <v>12.765599999999999</v>
      </c>
      <c r="I511">
        <v>15.380100000000001</v>
      </c>
      <c r="J511">
        <v>21.525600000000001</v>
      </c>
    </row>
    <row r="512" spans="1:10" x14ac:dyDescent="0.4">
      <c r="A512">
        <v>7</v>
      </c>
      <c r="B512">
        <v>1.4999999999999999E-2</v>
      </c>
      <c r="C512">
        <v>0.1862</v>
      </c>
      <c r="D512">
        <v>0.39989999999999998</v>
      </c>
      <c r="E512">
        <v>0.98819999999999997</v>
      </c>
      <c r="F512">
        <v>2.1400999999999999</v>
      </c>
      <c r="G512">
        <v>4.1279000000000003</v>
      </c>
      <c r="H512">
        <v>6.4447000000000001</v>
      </c>
      <c r="I512">
        <v>7.9877000000000002</v>
      </c>
      <c r="J512">
        <v>11.7677</v>
      </c>
    </row>
    <row r="513" spans="1:10" x14ac:dyDescent="0.4">
      <c r="A513">
        <v>8</v>
      </c>
      <c r="B513">
        <v>4.0000000000000001E-3</v>
      </c>
      <c r="C513">
        <v>6.4899999999999999E-2</v>
      </c>
      <c r="D513">
        <v>0.1542</v>
      </c>
      <c r="E513">
        <v>0.42649999999999999</v>
      </c>
      <c r="F513">
        <v>0.99519999999999997</v>
      </c>
      <c r="G513">
        <v>2.0041000000000002</v>
      </c>
      <c r="H513">
        <v>3.2730999999999999</v>
      </c>
      <c r="I513">
        <v>4.1771000000000003</v>
      </c>
      <c r="J513">
        <v>6.3680000000000003</v>
      </c>
    </row>
    <row r="514" spans="1:10" x14ac:dyDescent="0.4">
      <c r="A514">
        <v>9</v>
      </c>
      <c r="B514">
        <v>1.4E-3</v>
      </c>
      <c r="C514">
        <v>2.7699999999999999E-2</v>
      </c>
      <c r="D514">
        <v>6.93E-2</v>
      </c>
      <c r="E514">
        <v>0.20349999999999999</v>
      </c>
      <c r="F514">
        <v>0.4985</v>
      </c>
      <c r="G514">
        <v>1.0403</v>
      </c>
      <c r="H514">
        <v>1.7452000000000001</v>
      </c>
      <c r="I514">
        <v>2.2538</v>
      </c>
      <c r="J514">
        <v>3.5028999999999999</v>
      </c>
    </row>
    <row r="515" spans="1:10" x14ac:dyDescent="0.4">
      <c r="A515">
        <v>10</v>
      </c>
      <c r="B515">
        <v>8.0000000000000004E-4</v>
      </c>
      <c r="C515">
        <v>1.43E-2</v>
      </c>
      <c r="D515">
        <v>3.6200000000000003E-2</v>
      </c>
      <c r="E515">
        <v>0.109</v>
      </c>
      <c r="F515">
        <v>0.26740000000000003</v>
      </c>
      <c r="G515">
        <v>0.56999999999999995</v>
      </c>
      <c r="H515">
        <v>0.97140000000000004</v>
      </c>
      <c r="I515">
        <v>1.2661</v>
      </c>
      <c r="J515">
        <v>1.9837</v>
      </c>
    </row>
    <row r="516" spans="1:10" x14ac:dyDescent="0.4">
      <c r="A516">
        <v>11</v>
      </c>
      <c r="B516">
        <v>8.9999999999999998E-4</v>
      </c>
      <c r="C516">
        <v>1.55E-2</v>
      </c>
      <c r="D516">
        <v>3.8100000000000002E-2</v>
      </c>
      <c r="E516">
        <v>0.1118</v>
      </c>
      <c r="F516">
        <v>0.25569999999999998</v>
      </c>
      <c r="G516">
        <v>0.48730000000000001</v>
      </c>
      <c r="H516">
        <v>0.78620000000000001</v>
      </c>
      <c r="I516">
        <v>1.0165</v>
      </c>
      <c r="J516">
        <v>1.5521</v>
      </c>
    </row>
    <row r="517" spans="1:10" x14ac:dyDescent="0.4">
      <c r="A517">
        <v>12</v>
      </c>
      <c r="B517">
        <v>4.0000000000000002E-4</v>
      </c>
      <c r="C517">
        <v>5.7000000000000002E-3</v>
      </c>
      <c r="D517">
        <v>1.3899999999999999E-2</v>
      </c>
      <c r="E517">
        <v>3.9300000000000002E-2</v>
      </c>
      <c r="F517">
        <v>8.6400000000000005E-2</v>
      </c>
      <c r="G517">
        <v>0.15579999999999999</v>
      </c>
      <c r="H517">
        <v>0.2392</v>
      </c>
      <c r="I517">
        <v>0.3024</v>
      </c>
      <c r="J517">
        <v>0.4486</v>
      </c>
    </row>
    <row r="518" spans="1:10" x14ac:dyDescent="0.4">
      <c r="A518">
        <v>13</v>
      </c>
      <c r="B518">
        <v>2.0000000000000001E-4</v>
      </c>
      <c r="C518">
        <v>3.0999999999999999E-3</v>
      </c>
      <c r="D518">
        <v>7.1999999999999998E-3</v>
      </c>
      <c r="E518">
        <v>0.02</v>
      </c>
      <c r="F518">
        <v>4.3400000000000001E-2</v>
      </c>
      <c r="G518">
        <v>7.7399999999999997E-2</v>
      </c>
      <c r="H518">
        <v>0.1191</v>
      </c>
      <c r="I518">
        <v>0.15060000000000001</v>
      </c>
      <c r="J518">
        <v>0.2288</v>
      </c>
    </row>
    <row r="519" spans="1:10" x14ac:dyDescent="0.4">
      <c r="A519">
        <v>14</v>
      </c>
      <c r="B519">
        <v>0</v>
      </c>
      <c r="C519">
        <v>5.9999999999999995E-4</v>
      </c>
      <c r="D519">
        <v>1.2999999999999999E-3</v>
      </c>
      <c r="E519">
        <v>3.5000000000000001E-3</v>
      </c>
      <c r="F519">
        <v>7.6E-3</v>
      </c>
      <c r="G519">
        <v>1.3599999999999999E-2</v>
      </c>
      <c r="H519">
        <v>2.1499999999999998E-2</v>
      </c>
      <c r="I519">
        <v>2.8199999999999999E-2</v>
      </c>
      <c r="J519">
        <v>4.7699999999999999E-2</v>
      </c>
    </row>
    <row r="520" spans="1:10" x14ac:dyDescent="0.4">
      <c r="A520" t="s">
        <v>29</v>
      </c>
      <c r="B520">
        <v>0</v>
      </c>
      <c r="C520">
        <v>2.9999999999999997E-4</v>
      </c>
      <c r="D520">
        <v>5.9999999999999995E-4</v>
      </c>
      <c r="E520">
        <v>1.5E-3</v>
      </c>
      <c r="F520">
        <v>3.3E-3</v>
      </c>
      <c r="G520">
        <v>6.1000000000000004E-3</v>
      </c>
      <c r="H520">
        <v>1.03E-2</v>
      </c>
      <c r="I520">
        <v>1.4500000000000001E-2</v>
      </c>
      <c r="J520">
        <v>3.8699999999999998E-2</v>
      </c>
    </row>
    <row r="522" spans="1:10" x14ac:dyDescent="0.4">
      <c r="A522">
        <v>2032</v>
      </c>
    </row>
    <row r="524" spans="1:10" x14ac:dyDescent="0.4">
      <c r="A524" t="s">
        <v>0</v>
      </c>
      <c r="B524" s="2">
        <v>0.01</v>
      </c>
      <c r="C524" s="2">
        <v>0.05</v>
      </c>
      <c r="D524" s="2">
        <v>0.1</v>
      </c>
      <c r="E524" s="2">
        <v>0.25</v>
      </c>
      <c r="F524" s="2">
        <v>0.5</v>
      </c>
      <c r="G524" s="2">
        <v>0.75</v>
      </c>
      <c r="H524" s="2">
        <v>0.9</v>
      </c>
      <c r="I524" s="2">
        <v>0.95</v>
      </c>
      <c r="J524" s="2">
        <v>0.99</v>
      </c>
    </row>
    <row r="525" spans="1:10" x14ac:dyDescent="0.4">
      <c r="A525">
        <v>1</v>
      </c>
      <c r="B525">
        <v>68.658000000000001</v>
      </c>
      <c r="C525">
        <v>70.573400000000007</v>
      </c>
      <c r="D525">
        <v>78.949100000000001</v>
      </c>
      <c r="E525">
        <v>104.94329999999999</v>
      </c>
      <c r="F525">
        <v>168.55869999999999</v>
      </c>
      <c r="G525">
        <v>236.68219999999999</v>
      </c>
      <c r="H525">
        <v>279.09449999999998</v>
      </c>
      <c r="I525">
        <v>306.78120000000001</v>
      </c>
      <c r="J525">
        <v>329.84519999999998</v>
      </c>
    </row>
    <row r="526" spans="1:10" x14ac:dyDescent="0.4">
      <c r="A526">
        <v>2</v>
      </c>
      <c r="B526">
        <v>37.493200000000002</v>
      </c>
      <c r="C526">
        <v>41.875900000000001</v>
      </c>
      <c r="D526">
        <v>45.939399999999999</v>
      </c>
      <c r="E526">
        <v>60.966700000000003</v>
      </c>
      <c r="F526">
        <v>98.564700000000002</v>
      </c>
      <c r="G526">
        <v>139.23830000000001</v>
      </c>
      <c r="H526">
        <v>167.22989999999999</v>
      </c>
      <c r="I526">
        <v>181.79640000000001</v>
      </c>
      <c r="J526">
        <v>206.81790000000001</v>
      </c>
    </row>
    <row r="527" spans="1:10" x14ac:dyDescent="0.4">
      <c r="A527">
        <v>3</v>
      </c>
      <c r="B527">
        <v>12.4011</v>
      </c>
      <c r="C527">
        <v>19.320499999999999</v>
      </c>
      <c r="D527">
        <v>22.398399999999999</v>
      </c>
      <c r="E527">
        <v>30.5322</v>
      </c>
      <c r="F527">
        <v>50.6798</v>
      </c>
      <c r="G527">
        <v>74.032200000000003</v>
      </c>
      <c r="H527">
        <v>93.089399999999998</v>
      </c>
      <c r="I527">
        <v>102.3403</v>
      </c>
      <c r="J527">
        <v>121.3227</v>
      </c>
    </row>
    <row r="528" spans="1:10" x14ac:dyDescent="0.4">
      <c r="A528">
        <v>4</v>
      </c>
      <c r="B528">
        <v>2.1663999999999999</v>
      </c>
      <c r="C528">
        <v>6.2362000000000002</v>
      </c>
      <c r="D528">
        <v>8.5881000000000007</v>
      </c>
      <c r="E528">
        <v>13.2669</v>
      </c>
      <c r="F528">
        <v>23.2407</v>
      </c>
      <c r="G528">
        <v>36.250100000000003</v>
      </c>
      <c r="H528">
        <v>48.604500000000002</v>
      </c>
      <c r="I528">
        <v>54.846499999999999</v>
      </c>
      <c r="J528">
        <v>69.082599999999999</v>
      </c>
    </row>
    <row r="529" spans="1:10" x14ac:dyDescent="0.4">
      <c r="A529">
        <v>5</v>
      </c>
      <c r="B529">
        <v>0.30080000000000001</v>
      </c>
      <c r="C529">
        <v>1.7836000000000001</v>
      </c>
      <c r="D529">
        <v>2.9672000000000001</v>
      </c>
      <c r="E529">
        <v>5.4894999999999996</v>
      </c>
      <c r="F529">
        <v>10.312200000000001</v>
      </c>
      <c r="G529">
        <v>17.418299999999999</v>
      </c>
      <c r="H529">
        <v>24.769400000000001</v>
      </c>
      <c r="I529">
        <v>28.871700000000001</v>
      </c>
      <c r="J529">
        <v>38.352800000000002</v>
      </c>
    </row>
    <row r="530" spans="1:10" x14ac:dyDescent="0.4">
      <c r="A530">
        <v>6</v>
      </c>
      <c r="B530">
        <v>4.58E-2</v>
      </c>
      <c r="C530">
        <v>0.50219999999999998</v>
      </c>
      <c r="D530">
        <v>1.0043</v>
      </c>
      <c r="E530">
        <v>2.2342</v>
      </c>
      <c r="F530">
        <v>4.5810000000000004</v>
      </c>
      <c r="G530">
        <v>8.3781999999999996</v>
      </c>
      <c r="H530">
        <v>12.502800000000001</v>
      </c>
      <c r="I530">
        <v>15.0915</v>
      </c>
      <c r="J530">
        <v>21.155000000000001</v>
      </c>
    </row>
    <row r="531" spans="1:10" x14ac:dyDescent="0.4">
      <c r="A531">
        <v>7</v>
      </c>
      <c r="B531">
        <v>7.7000000000000002E-3</v>
      </c>
      <c r="C531">
        <v>0.1525</v>
      </c>
      <c r="D531">
        <v>0.34720000000000001</v>
      </c>
      <c r="E531">
        <v>0.92520000000000002</v>
      </c>
      <c r="F531">
        <v>2.0775999999999999</v>
      </c>
      <c r="G531">
        <v>4.0658000000000003</v>
      </c>
      <c r="H531">
        <v>6.3852000000000002</v>
      </c>
      <c r="I531">
        <v>7.9467999999999996</v>
      </c>
      <c r="J531">
        <v>11.682499999999999</v>
      </c>
    </row>
    <row r="532" spans="1:10" x14ac:dyDescent="0.4">
      <c r="A532">
        <v>8</v>
      </c>
      <c r="B532">
        <v>1.9E-3</v>
      </c>
      <c r="C532">
        <v>4.8800000000000003E-2</v>
      </c>
      <c r="D532">
        <v>0.12920000000000001</v>
      </c>
      <c r="E532">
        <v>0.39169999999999999</v>
      </c>
      <c r="F532">
        <v>0.95209999999999995</v>
      </c>
      <c r="G532">
        <v>1.9641</v>
      </c>
      <c r="H532">
        <v>3.2425000000000002</v>
      </c>
      <c r="I532">
        <v>4.1384999999999996</v>
      </c>
      <c r="J532">
        <v>6.3773</v>
      </c>
    </row>
    <row r="533" spans="1:10" x14ac:dyDescent="0.4">
      <c r="A533">
        <v>9</v>
      </c>
      <c r="B533">
        <v>5.9999999999999995E-4</v>
      </c>
      <c r="C533">
        <v>1.78E-2</v>
      </c>
      <c r="D533">
        <v>5.1200000000000002E-2</v>
      </c>
      <c r="E533">
        <v>0.17299999999999999</v>
      </c>
      <c r="F533">
        <v>0.45050000000000001</v>
      </c>
      <c r="G533">
        <v>0.96689999999999998</v>
      </c>
      <c r="H533">
        <v>1.6629</v>
      </c>
      <c r="I533">
        <v>2.1835</v>
      </c>
      <c r="J533">
        <v>3.4843000000000002</v>
      </c>
    </row>
    <row r="534" spans="1:10" x14ac:dyDescent="0.4">
      <c r="A534">
        <v>10</v>
      </c>
      <c r="B534">
        <v>2.9999999999999997E-4</v>
      </c>
      <c r="C534">
        <v>7.7999999999999996E-3</v>
      </c>
      <c r="D534">
        <v>2.3599999999999999E-2</v>
      </c>
      <c r="E534">
        <v>8.3799999999999999E-2</v>
      </c>
      <c r="F534">
        <v>0.22850000000000001</v>
      </c>
      <c r="G534">
        <v>0.50839999999999996</v>
      </c>
      <c r="H534">
        <v>0.8931</v>
      </c>
      <c r="I534">
        <v>1.1870000000000001</v>
      </c>
      <c r="J534">
        <v>1.9312</v>
      </c>
    </row>
    <row r="535" spans="1:10" x14ac:dyDescent="0.4">
      <c r="A535">
        <v>11</v>
      </c>
      <c r="B535">
        <v>1E-4</v>
      </c>
      <c r="C535">
        <v>4.1999999999999997E-3</v>
      </c>
      <c r="D535">
        <v>1.26E-2</v>
      </c>
      <c r="E535">
        <v>4.5600000000000002E-2</v>
      </c>
      <c r="F535">
        <v>0.1244</v>
      </c>
      <c r="G535">
        <v>0.28179999999999999</v>
      </c>
      <c r="H535">
        <v>0.50349999999999995</v>
      </c>
      <c r="I535">
        <v>0.67230000000000001</v>
      </c>
      <c r="J535">
        <v>1.0959000000000001</v>
      </c>
    </row>
    <row r="536" spans="1:10" x14ac:dyDescent="0.4">
      <c r="A536">
        <v>12</v>
      </c>
      <c r="B536">
        <v>2.0000000000000001E-4</v>
      </c>
      <c r="C536">
        <v>4.5999999999999999E-3</v>
      </c>
      <c r="D536">
        <v>1.3599999999999999E-2</v>
      </c>
      <c r="E536">
        <v>4.7E-2</v>
      </c>
      <c r="F536">
        <v>0.1205</v>
      </c>
      <c r="G536">
        <v>0.24529999999999999</v>
      </c>
      <c r="H536">
        <v>0.41289999999999999</v>
      </c>
      <c r="I536">
        <v>0.54430000000000001</v>
      </c>
      <c r="J536">
        <v>0.86299999999999999</v>
      </c>
    </row>
    <row r="537" spans="1:10" x14ac:dyDescent="0.4">
      <c r="A537">
        <v>13</v>
      </c>
      <c r="B537">
        <v>1E-4</v>
      </c>
      <c r="C537">
        <v>1.6999999999999999E-3</v>
      </c>
      <c r="D537">
        <v>5.0000000000000001E-3</v>
      </c>
      <c r="E537">
        <v>1.67E-2</v>
      </c>
      <c r="F537">
        <v>4.0899999999999999E-2</v>
      </c>
      <c r="G537">
        <v>7.9100000000000004E-2</v>
      </c>
      <c r="H537">
        <v>0.127</v>
      </c>
      <c r="I537">
        <v>0.16370000000000001</v>
      </c>
      <c r="J537">
        <v>0.25069999999999998</v>
      </c>
    </row>
    <row r="538" spans="1:10" x14ac:dyDescent="0.4">
      <c r="A538">
        <v>14</v>
      </c>
      <c r="B538">
        <v>0</v>
      </c>
      <c r="C538">
        <v>1E-3</v>
      </c>
      <c r="D538">
        <v>2.5999999999999999E-3</v>
      </c>
      <c r="E538">
        <v>8.6E-3</v>
      </c>
      <c r="F538">
        <v>2.07E-2</v>
      </c>
      <c r="G538">
        <v>3.95E-2</v>
      </c>
      <c r="H538">
        <v>6.3399999999999998E-2</v>
      </c>
      <c r="I538">
        <v>8.1600000000000006E-2</v>
      </c>
      <c r="J538">
        <v>0.127</v>
      </c>
    </row>
    <row r="539" spans="1:10" x14ac:dyDescent="0.4">
      <c r="A539" t="s">
        <v>29</v>
      </c>
      <c r="B539">
        <v>0</v>
      </c>
      <c r="C539">
        <v>2.9999999999999997E-4</v>
      </c>
      <c r="D539">
        <v>6.9999999999999999E-4</v>
      </c>
      <c r="E539">
        <v>2.2000000000000001E-3</v>
      </c>
      <c r="F539">
        <v>5.3E-3</v>
      </c>
      <c r="G539">
        <v>1.0200000000000001E-2</v>
      </c>
      <c r="H539">
        <v>1.7000000000000001E-2</v>
      </c>
      <c r="I539">
        <v>2.29E-2</v>
      </c>
      <c r="J539">
        <v>4.4900000000000002E-2</v>
      </c>
    </row>
    <row r="541" spans="1:10" x14ac:dyDescent="0.4">
      <c r="A541">
        <v>2033</v>
      </c>
    </row>
    <row r="543" spans="1:10" x14ac:dyDescent="0.4">
      <c r="A543" t="s">
        <v>0</v>
      </c>
      <c r="B543" s="2">
        <v>0.01</v>
      </c>
      <c r="C543" s="2">
        <v>0.05</v>
      </c>
      <c r="D543" s="2">
        <v>0.1</v>
      </c>
      <c r="E543" s="2">
        <v>0.25</v>
      </c>
      <c r="F543" s="2">
        <v>0.5</v>
      </c>
      <c r="G543" s="2">
        <v>0.75</v>
      </c>
      <c r="H543" s="2">
        <v>0.9</v>
      </c>
      <c r="I543" s="2">
        <v>0.95</v>
      </c>
      <c r="J543" s="2">
        <v>0.99</v>
      </c>
    </row>
    <row r="544" spans="1:10" x14ac:dyDescent="0.4">
      <c r="A544">
        <v>1</v>
      </c>
      <c r="B544">
        <v>68.631600000000006</v>
      </c>
      <c r="C544">
        <v>70.505499999999998</v>
      </c>
      <c r="D544">
        <v>78.856300000000005</v>
      </c>
      <c r="E544">
        <v>104.7714</v>
      </c>
      <c r="F544">
        <v>168.5301</v>
      </c>
      <c r="G544">
        <v>236.93639999999999</v>
      </c>
      <c r="H544">
        <v>280.255</v>
      </c>
      <c r="I544">
        <v>307.17700000000002</v>
      </c>
      <c r="J544">
        <v>328.59620000000001</v>
      </c>
    </row>
    <row r="545" spans="1:10" x14ac:dyDescent="0.4">
      <c r="A545">
        <v>2</v>
      </c>
      <c r="B545">
        <v>37.683799999999998</v>
      </c>
      <c r="C545">
        <v>41.8812</v>
      </c>
      <c r="D545">
        <v>45.811500000000002</v>
      </c>
      <c r="E545">
        <v>61.066699999999997</v>
      </c>
      <c r="F545">
        <v>98.798100000000005</v>
      </c>
      <c r="G545">
        <v>139.74250000000001</v>
      </c>
      <c r="H545">
        <v>167.71850000000001</v>
      </c>
      <c r="I545">
        <v>182.26779999999999</v>
      </c>
      <c r="J545">
        <v>206.99270000000001</v>
      </c>
    </row>
    <row r="546" spans="1:10" x14ac:dyDescent="0.4">
      <c r="A546">
        <v>3</v>
      </c>
      <c r="B546">
        <v>12.4998</v>
      </c>
      <c r="C546">
        <v>19.507300000000001</v>
      </c>
      <c r="D546">
        <v>22.6203</v>
      </c>
      <c r="E546">
        <v>30.8276</v>
      </c>
      <c r="F546">
        <v>51.036099999999998</v>
      </c>
      <c r="G546">
        <v>74.325500000000005</v>
      </c>
      <c r="H546">
        <v>93.465699999999998</v>
      </c>
      <c r="I546">
        <v>102.9025</v>
      </c>
      <c r="J546">
        <v>122.5004</v>
      </c>
    </row>
    <row r="547" spans="1:10" x14ac:dyDescent="0.4">
      <c r="A547">
        <v>4</v>
      </c>
      <c r="B547">
        <v>1.9809000000000001</v>
      </c>
      <c r="C547">
        <v>6.2716000000000003</v>
      </c>
      <c r="D547">
        <v>8.7053999999999991</v>
      </c>
      <c r="E547">
        <v>13.3911</v>
      </c>
      <c r="F547">
        <v>23.371099999999998</v>
      </c>
      <c r="G547">
        <v>36.648099999999999</v>
      </c>
      <c r="H547">
        <v>49.007100000000001</v>
      </c>
      <c r="I547">
        <v>55.267099999999999</v>
      </c>
      <c r="J547">
        <v>68.601200000000006</v>
      </c>
    </row>
    <row r="548" spans="1:10" x14ac:dyDescent="0.4">
      <c r="A548">
        <v>5</v>
      </c>
      <c r="B548">
        <v>0.248</v>
      </c>
      <c r="C548">
        <v>1.6969000000000001</v>
      </c>
      <c r="D548">
        <v>2.8973</v>
      </c>
      <c r="E548">
        <v>5.4936999999999996</v>
      </c>
      <c r="F548">
        <v>10.3491</v>
      </c>
      <c r="G548">
        <v>17.5273</v>
      </c>
      <c r="H548">
        <v>24.853899999999999</v>
      </c>
      <c r="I548">
        <v>29.027000000000001</v>
      </c>
      <c r="J548">
        <v>38.501899999999999</v>
      </c>
    </row>
    <row r="549" spans="1:10" x14ac:dyDescent="0.4">
      <c r="A549">
        <v>6</v>
      </c>
      <c r="B549">
        <v>3.1800000000000002E-2</v>
      </c>
      <c r="C549">
        <v>0.4577</v>
      </c>
      <c r="D549">
        <v>0.9587</v>
      </c>
      <c r="E549">
        <v>2.1928000000000001</v>
      </c>
      <c r="F549">
        <v>4.5377000000000001</v>
      </c>
      <c r="G549">
        <v>8.2963000000000005</v>
      </c>
      <c r="H549">
        <v>12.5001</v>
      </c>
      <c r="I549">
        <v>15.0807</v>
      </c>
      <c r="J549">
        <v>21.0246</v>
      </c>
    </row>
    <row r="550" spans="1:10" x14ac:dyDescent="0.4">
      <c r="A550">
        <v>7</v>
      </c>
      <c r="B550">
        <v>5.0000000000000001E-3</v>
      </c>
      <c r="C550">
        <v>0.13</v>
      </c>
      <c r="D550">
        <v>0.3221</v>
      </c>
      <c r="E550">
        <v>0.89149999999999996</v>
      </c>
      <c r="F550">
        <v>2.0383</v>
      </c>
      <c r="G550">
        <v>3.9929999999999999</v>
      </c>
      <c r="H550">
        <v>6.3136999999999999</v>
      </c>
      <c r="I550">
        <v>7.8704999999999998</v>
      </c>
      <c r="J550">
        <v>11.5694</v>
      </c>
    </row>
    <row r="551" spans="1:10" x14ac:dyDescent="0.4">
      <c r="A551">
        <v>8</v>
      </c>
      <c r="B551">
        <v>1E-3</v>
      </c>
      <c r="C551">
        <v>4.07E-2</v>
      </c>
      <c r="D551">
        <v>0.1142</v>
      </c>
      <c r="E551">
        <v>0.37290000000000001</v>
      </c>
      <c r="F551">
        <v>0.93559999999999999</v>
      </c>
      <c r="G551">
        <v>1.9623999999999999</v>
      </c>
      <c r="H551">
        <v>3.2513999999999998</v>
      </c>
      <c r="I551">
        <v>4.1673</v>
      </c>
      <c r="J551">
        <v>6.4375</v>
      </c>
    </row>
    <row r="552" spans="1:10" x14ac:dyDescent="0.4">
      <c r="A552">
        <v>9</v>
      </c>
      <c r="B552">
        <v>2.9999999999999997E-4</v>
      </c>
      <c r="C552">
        <v>1.3599999999999999E-2</v>
      </c>
      <c r="D552">
        <v>4.3200000000000002E-2</v>
      </c>
      <c r="E552">
        <v>0.1608</v>
      </c>
      <c r="F552">
        <v>0.43640000000000001</v>
      </c>
      <c r="G552">
        <v>0.96350000000000002</v>
      </c>
      <c r="H552">
        <v>1.6708000000000001</v>
      </c>
      <c r="I552">
        <v>2.1937000000000002</v>
      </c>
      <c r="J552">
        <v>3.5324</v>
      </c>
    </row>
    <row r="553" spans="1:10" x14ac:dyDescent="0.4">
      <c r="A553">
        <v>10</v>
      </c>
      <c r="B553">
        <v>1E-4</v>
      </c>
      <c r="C553">
        <v>5.1999999999999998E-3</v>
      </c>
      <c r="D553">
        <v>1.77E-2</v>
      </c>
      <c r="E553">
        <v>7.1900000000000006E-2</v>
      </c>
      <c r="F553">
        <v>0.20899999999999999</v>
      </c>
      <c r="G553">
        <v>0.47849999999999998</v>
      </c>
      <c r="H553">
        <v>0.86509999999999998</v>
      </c>
      <c r="I553">
        <v>1.1626000000000001</v>
      </c>
      <c r="J553">
        <v>1.9429000000000001</v>
      </c>
    </row>
    <row r="554" spans="1:10" x14ac:dyDescent="0.4">
      <c r="A554">
        <v>11</v>
      </c>
      <c r="B554">
        <v>0</v>
      </c>
      <c r="C554">
        <v>2.3999999999999998E-3</v>
      </c>
      <c r="D554">
        <v>8.3999999999999995E-3</v>
      </c>
      <c r="E554">
        <v>3.5799999999999998E-2</v>
      </c>
      <c r="F554">
        <v>0.10780000000000001</v>
      </c>
      <c r="G554">
        <v>0.25340000000000001</v>
      </c>
      <c r="H554">
        <v>0.46679999999999999</v>
      </c>
      <c r="I554">
        <v>0.63649999999999995</v>
      </c>
      <c r="J554">
        <v>1.0789</v>
      </c>
    </row>
    <row r="555" spans="1:10" x14ac:dyDescent="0.4">
      <c r="A555">
        <v>12</v>
      </c>
      <c r="B555">
        <v>0</v>
      </c>
      <c r="C555">
        <v>1.2999999999999999E-3</v>
      </c>
      <c r="D555">
        <v>4.5999999999999999E-3</v>
      </c>
      <c r="E555">
        <v>1.9699999999999999E-2</v>
      </c>
      <c r="F555">
        <v>5.91E-2</v>
      </c>
      <c r="G555">
        <v>0.1421</v>
      </c>
      <c r="H555">
        <v>0.26450000000000001</v>
      </c>
      <c r="I555">
        <v>0.36259999999999998</v>
      </c>
      <c r="J555">
        <v>0.61099999999999999</v>
      </c>
    </row>
    <row r="556" spans="1:10" x14ac:dyDescent="0.4">
      <c r="A556">
        <v>13</v>
      </c>
      <c r="B556">
        <v>0</v>
      </c>
      <c r="C556">
        <v>1.4E-3</v>
      </c>
      <c r="D556">
        <v>5.0000000000000001E-3</v>
      </c>
      <c r="E556">
        <v>2.0299999999999999E-2</v>
      </c>
      <c r="F556">
        <v>5.7700000000000001E-2</v>
      </c>
      <c r="G556">
        <v>0.12540000000000001</v>
      </c>
      <c r="H556">
        <v>0.2203</v>
      </c>
      <c r="I556">
        <v>0.29409999999999997</v>
      </c>
      <c r="J556">
        <v>0.48409999999999997</v>
      </c>
    </row>
    <row r="557" spans="1:10" x14ac:dyDescent="0.4">
      <c r="A557">
        <v>14</v>
      </c>
      <c r="B557">
        <v>0</v>
      </c>
      <c r="C557">
        <v>5.9999999999999995E-4</v>
      </c>
      <c r="D557">
        <v>1.9E-3</v>
      </c>
      <c r="E557">
        <v>7.3000000000000001E-3</v>
      </c>
      <c r="F557">
        <v>1.9699999999999999E-2</v>
      </c>
      <c r="G557">
        <v>4.0800000000000003E-2</v>
      </c>
      <c r="H557">
        <v>6.8099999999999994E-2</v>
      </c>
      <c r="I557">
        <v>8.9499999999999996E-2</v>
      </c>
      <c r="J557">
        <v>0.14099999999999999</v>
      </c>
    </row>
    <row r="558" spans="1:10" x14ac:dyDescent="0.4">
      <c r="A558" t="s">
        <v>29</v>
      </c>
      <c r="B558">
        <v>0</v>
      </c>
      <c r="C558">
        <v>4.0000000000000002E-4</v>
      </c>
      <c r="D558">
        <v>1.2999999999999999E-3</v>
      </c>
      <c r="E558">
        <v>4.7999999999999996E-3</v>
      </c>
      <c r="F558">
        <v>1.2699999999999999E-2</v>
      </c>
      <c r="G558">
        <v>2.5899999999999999E-2</v>
      </c>
      <c r="H558">
        <v>4.3200000000000002E-2</v>
      </c>
      <c r="I558">
        <v>5.7000000000000002E-2</v>
      </c>
      <c r="J558">
        <v>9.4700000000000006E-2</v>
      </c>
    </row>
    <row r="560" spans="1:10" x14ac:dyDescent="0.4">
      <c r="A560">
        <v>2034</v>
      </c>
    </row>
    <row r="562" spans="1:10" x14ac:dyDescent="0.4">
      <c r="A562" t="s">
        <v>0</v>
      </c>
      <c r="B562" s="2">
        <v>0.01</v>
      </c>
      <c r="C562" s="2">
        <v>0.05</v>
      </c>
      <c r="D562" s="2">
        <v>0.1</v>
      </c>
      <c r="E562" s="2">
        <v>0.25</v>
      </c>
      <c r="F562" s="2">
        <v>0.5</v>
      </c>
      <c r="G562" s="2">
        <v>0.75</v>
      </c>
      <c r="H562" s="2">
        <v>0.9</v>
      </c>
      <c r="I562" s="2">
        <v>0.95</v>
      </c>
      <c r="J562" s="2">
        <v>0.99</v>
      </c>
    </row>
    <row r="563" spans="1:10" x14ac:dyDescent="0.4">
      <c r="A563">
        <v>1</v>
      </c>
      <c r="B563">
        <v>68.659300000000002</v>
      </c>
      <c r="C563">
        <v>70.656700000000001</v>
      </c>
      <c r="D563">
        <v>79.067599999999999</v>
      </c>
      <c r="E563">
        <v>104.85590000000001</v>
      </c>
      <c r="F563">
        <v>168.44229999999999</v>
      </c>
      <c r="G563">
        <v>236.7124</v>
      </c>
      <c r="H563">
        <v>280.27280000000002</v>
      </c>
      <c r="I563">
        <v>306.47280000000001</v>
      </c>
      <c r="J563">
        <v>327.53949999999998</v>
      </c>
    </row>
    <row r="564" spans="1:10" x14ac:dyDescent="0.4">
      <c r="A564">
        <v>2</v>
      </c>
      <c r="B564">
        <v>37.430399999999999</v>
      </c>
      <c r="C564">
        <v>41.858899999999998</v>
      </c>
      <c r="D564">
        <v>45.791600000000003</v>
      </c>
      <c r="E564">
        <v>60.871400000000001</v>
      </c>
      <c r="F564">
        <v>98.778000000000006</v>
      </c>
      <c r="G564">
        <v>140.0685</v>
      </c>
      <c r="H564">
        <v>168.1635</v>
      </c>
      <c r="I564">
        <v>182.5539</v>
      </c>
      <c r="J564">
        <v>207.7029</v>
      </c>
    </row>
    <row r="565" spans="1:10" x14ac:dyDescent="0.4">
      <c r="A565">
        <v>3</v>
      </c>
      <c r="B565">
        <v>12.356299999999999</v>
      </c>
      <c r="C565">
        <v>19.555800000000001</v>
      </c>
      <c r="D565">
        <v>22.660900000000002</v>
      </c>
      <c r="E565">
        <v>30.870200000000001</v>
      </c>
      <c r="F565">
        <v>51.321199999999997</v>
      </c>
      <c r="G565">
        <v>74.600499999999997</v>
      </c>
      <c r="H565">
        <v>93.771500000000003</v>
      </c>
      <c r="I565">
        <v>103.2</v>
      </c>
      <c r="J565">
        <v>122.8117</v>
      </c>
    </row>
    <row r="566" spans="1:10" x14ac:dyDescent="0.4">
      <c r="A566">
        <v>4</v>
      </c>
      <c r="B566">
        <v>1.9592000000000001</v>
      </c>
      <c r="C566">
        <v>6.3498999999999999</v>
      </c>
      <c r="D566">
        <v>8.7797000000000001</v>
      </c>
      <c r="E566">
        <v>13.5335</v>
      </c>
      <c r="F566">
        <v>23.5794</v>
      </c>
      <c r="G566">
        <v>36.762300000000003</v>
      </c>
      <c r="H566">
        <v>49.208300000000001</v>
      </c>
      <c r="I566">
        <v>55.7196</v>
      </c>
      <c r="J566">
        <v>69.388800000000003</v>
      </c>
    </row>
    <row r="567" spans="1:10" x14ac:dyDescent="0.4">
      <c r="A567">
        <v>5</v>
      </c>
      <c r="B567">
        <v>0.22539999999999999</v>
      </c>
      <c r="C567">
        <v>1.7023999999999999</v>
      </c>
      <c r="D567">
        <v>2.9535999999999998</v>
      </c>
      <c r="E567">
        <v>5.5369999999999999</v>
      </c>
      <c r="F567">
        <v>10.4239</v>
      </c>
      <c r="G567">
        <v>17.7544</v>
      </c>
      <c r="H567">
        <v>25.065799999999999</v>
      </c>
      <c r="I567">
        <v>29.2807</v>
      </c>
      <c r="J567">
        <v>38.275100000000002</v>
      </c>
    </row>
    <row r="568" spans="1:10" x14ac:dyDescent="0.4">
      <c r="A568">
        <v>6</v>
      </c>
      <c r="B568">
        <v>2.5000000000000001E-2</v>
      </c>
      <c r="C568">
        <v>0.43330000000000002</v>
      </c>
      <c r="D568">
        <v>0.93169999999999997</v>
      </c>
      <c r="E568">
        <v>2.1937000000000002</v>
      </c>
      <c r="F568">
        <v>4.5659999999999998</v>
      </c>
      <c r="G568">
        <v>8.3678000000000008</v>
      </c>
      <c r="H568">
        <v>12.5366</v>
      </c>
      <c r="I568">
        <v>15.1319</v>
      </c>
      <c r="J568">
        <v>21.177099999999999</v>
      </c>
    </row>
    <row r="569" spans="1:10" x14ac:dyDescent="0.4">
      <c r="A569">
        <v>7</v>
      </c>
      <c r="B569">
        <v>3.2000000000000002E-3</v>
      </c>
      <c r="C569">
        <v>0.1179</v>
      </c>
      <c r="D569">
        <v>0.30470000000000003</v>
      </c>
      <c r="E569">
        <v>0.87260000000000004</v>
      </c>
      <c r="F569">
        <v>2.0251000000000001</v>
      </c>
      <c r="G569">
        <v>3.9748999999999999</v>
      </c>
      <c r="H569">
        <v>6.3251999999999997</v>
      </c>
      <c r="I569">
        <v>7.8674999999999997</v>
      </c>
      <c r="J569">
        <v>11.5322</v>
      </c>
    </row>
    <row r="570" spans="1:10" x14ac:dyDescent="0.4">
      <c r="A570">
        <v>8</v>
      </c>
      <c r="B570">
        <v>8.0000000000000004E-4</v>
      </c>
      <c r="C570">
        <v>3.4500000000000003E-2</v>
      </c>
      <c r="D570">
        <v>0.1047</v>
      </c>
      <c r="E570">
        <v>0.3594</v>
      </c>
      <c r="F570">
        <v>0.92190000000000005</v>
      </c>
      <c r="G570">
        <v>1.9293</v>
      </c>
      <c r="H570">
        <v>3.2248999999999999</v>
      </c>
      <c r="I570">
        <v>4.1412000000000004</v>
      </c>
      <c r="J570">
        <v>6.3632999999999997</v>
      </c>
    </row>
    <row r="571" spans="1:10" x14ac:dyDescent="0.4">
      <c r="A571">
        <v>9</v>
      </c>
      <c r="B571">
        <v>2.0000000000000001E-4</v>
      </c>
      <c r="C571">
        <v>1.11E-2</v>
      </c>
      <c r="D571">
        <v>3.8600000000000002E-2</v>
      </c>
      <c r="E571">
        <v>0.1535</v>
      </c>
      <c r="F571">
        <v>0.43059999999999998</v>
      </c>
      <c r="G571">
        <v>0.96419999999999995</v>
      </c>
      <c r="H571">
        <v>1.6741999999999999</v>
      </c>
      <c r="I571">
        <v>2.2006999999999999</v>
      </c>
      <c r="J571">
        <v>3.5398000000000001</v>
      </c>
    </row>
    <row r="572" spans="1:10" x14ac:dyDescent="0.4">
      <c r="A572">
        <v>10</v>
      </c>
      <c r="B572">
        <v>0</v>
      </c>
      <c r="C572">
        <v>4.0000000000000001E-3</v>
      </c>
      <c r="D572">
        <v>1.4999999999999999E-2</v>
      </c>
      <c r="E572">
        <v>6.7199999999999996E-2</v>
      </c>
      <c r="F572">
        <v>0.20330000000000001</v>
      </c>
      <c r="G572">
        <v>0.47770000000000001</v>
      </c>
      <c r="H572">
        <v>0.86470000000000002</v>
      </c>
      <c r="I572">
        <v>1.1701999999999999</v>
      </c>
      <c r="J572">
        <v>1.9474</v>
      </c>
    </row>
    <row r="573" spans="1:10" x14ac:dyDescent="0.4">
      <c r="A573">
        <v>11</v>
      </c>
      <c r="B573">
        <v>0</v>
      </c>
      <c r="C573">
        <v>1.6000000000000001E-3</v>
      </c>
      <c r="D573">
        <v>6.4000000000000003E-3</v>
      </c>
      <c r="E573">
        <v>3.04E-2</v>
      </c>
      <c r="F573">
        <v>9.8500000000000004E-2</v>
      </c>
      <c r="G573">
        <v>0.23910000000000001</v>
      </c>
      <c r="H573">
        <v>0.45250000000000001</v>
      </c>
      <c r="I573">
        <v>0.62019999999999997</v>
      </c>
      <c r="J573">
        <v>1.0768</v>
      </c>
    </row>
    <row r="574" spans="1:10" x14ac:dyDescent="0.4">
      <c r="A574">
        <v>12</v>
      </c>
      <c r="B574">
        <v>0</v>
      </c>
      <c r="C574">
        <v>8.0000000000000004E-4</v>
      </c>
      <c r="D574">
        <v>3.0999999999999999E-3</v>
      </c>
      <c r="E574">
        <v>1.5299999999999999E-2</v>
      </c>
      <c r="F574">
        <v>5.1200000000000002E-2</v>
      </c>
      <c r="G574">
        <v>0.12759999999999999</v>
      </c>
      <c r="H574">
        <v>0.246</v>
      </c>
      <c r="I574">
        <v>0.34279999999999999</v>
      </c>
      <c r="J574">
        <v>0.59660000000000002</v>
      </c>
    </row>
    <row r="575" spans="1:10" x14ac:dyDescent="0.4">
      <c r="A575">
        <v>13</v>
      </c>
      <c r="B575">
        <v>0</v>
      </c>
      <c r="C575">
        <v>4.0000000000000002E-4</v>
      </c>
      <c r="D575">
        <v>1.6999999999999999E-3</v>
      </c>
      <c r="E575">
        <v>8.6E-3</v>
      </c>
      <c r="F575">
        <v>2.8299999999999999E-2</v>
      </c>
      <c r="G575">
        <v>7.1999999999999995E-2</v>
      </c>
      <c r="H575">
        <v>0.13969999999999999</v>
      </c>
      <c r="I575">
        <v>0.19570000000000001</v>
      </c>
      <c r="J575">
        <v>0.34179999999999999</v>
      </c>
    </row>
    <row r="576" spans="1:10" x14ac:dyDescent="0.4">
      <c r="A576">
        <v>14</v>
      </c>
      <c r="B576">
        <v>0</v>
      </c>
      <c r="C576">
        <v>5.0000000000000001E-4</v>
      </c>
      <c r="D576">
        <v>1.8E-3</v>
      </c>
      <c r="E576">
        <v>8.8999999999999999E-3</v>
      </c>
      <c r="F576">
        <v>2.7900000000000001E-2</v>
      </c>
      <c r="G576">
        <v>6.4399999999999999E-2</v>
      </c>
      <c r="H576">
        <v>0.1174</v>
      </c>
      <c r="I576">
        <v>0.1603</v>
      </c>
      <c r="J576">
        <v>0.27239999999999998</v>
      </c>
    </row>
    <row r="577" spans="1:10" x14ac:dyDescent="0.4">
      <c r="A577" t="s">
        <v>29</v>
      </c>
      <c r="B577">
        <v>0</v>
      </c>
      <c r="C577">
        <v>2.9999999999999997E-4</v>
      </c>
      <c r="D577">
        <v>1.1999999999999999E-3</v>
      </c>
      <c r="E577">
        <v>5.3E-3</v>
      </c>
      <c r="F577">
        <v>1.5900000000000001E-2</v>
      </c>
      <c r="G577">
        <v>3.4700000000000002E-2</v>
      </c>
      <c r="H577">
        <v>0.06</v>
      </c>
      <c r="I577">
        <v>8.0100000000000005E-2</v>
      </c>
      <c r="J577">
        <v>0.12889999999999999</v>
      </c>
    </row>
    <row r="579" spans="1:10" x14ac:dyDescent="0.4">
      <c r="A579" t="s">
        <v>21</v>
      </c>
      <c r="B579" t="s">
        <v>10</v>
      </c>
      <c r="C579" t="s">
        <v>3</v>
      </c>
      <c r="D579" t="s">
        <v>6</v>
      </c>
      <c r="E579" t="s">
        <v>23</v>
      </c>
      <c r="F579" t="s">
        <v>20</v>
      </c>
      <c r="G579">
        <v>3.66</v>
      </c>
      <c r="H579" t="s">
        <v>28</v>
      </c>
      <c r="I579" t="s">
        <v>27</v>
      </c>
    </row>
    <row r="581" spans="1:10" x14ac:dyDescent="0.4">
      <c r="A581" t="s">
        <v>22</v>
      </c>
      <c r="B581" t="s">
        <v>21</v>
      </c>
    </row>
    <row r="583" spans="1:10" x14ac:dyDescent="0.4">
      <c r="A583">
        <v>2021</v>
      </c>
      <c r="B583">
        <v>5.8209999999999998E-2</v>
      </c>
    </row>
    <row r="584" spans="1:10" x14ac:dyDescent="0.4">
      <c r="A584">
        <v>2022</v>
      </c>
      <c r="B584">
        <v>0.66879999999999995</v>
      </c>
    </row>
    <row r="585" spans="1:10" x14ac:dyDescent="0.4">
      <c r="A585">
        <v>2023</v>
      </c>
      <c r="B585">
        <v>0.94228999999999996</v>
      </c>
    </row>
    <row r="586" spans="1:10" x14ac:dyDescent="0.4">
      <c r="A586">
        <v>2024</v>
      </c>
      <c r="B586">
        <v>0.91768000000000005</v>
      </c>
    </row>
    <row r="587" spans="1:10" x14ac:dyDescent="0.4">
      <c r="A587">
        <v>2025</v>
      </c>
      <c r="B587">
        <v>0.84860999999999998</v>
      </c>
    </row>
    <row r="588" spans="1:10" x14ac:dyDescent="0.4">
      <c r="A588">
        <v>2026</v>
      </c>
      <c r="B588">
        <v>0.77056999999999998</v>
      </c>
    </row>
    <row r="589" spans="1:10" x14ac:dyDescent="0.4">
      <c r="A589">
        <v>2027</v>
      </c>
      <c r="B589">
        <v>0.70940000000000003</v>
      </c>
    </row>
    <row r="590" spans="1:10" x14ac:dyDescent="0.4">
      <c r="A590">
        <v>2028</v>
      </c>
      <c r="B590">
        <v>0.67095000000000005</v>
      </c>
    </row>
    <row r="591" spans="1:10" x14ac:dyDescent="0.4">
      <c r="A591">
        <v>2029</v>
      </c>
      <c r="B591">
        <v>0.64449999999999996</v>
      </c>
    </row>
    <row r="592" spans="1:10" x14ac:dyDescent="0.4">
      <c r="A592">
        <v>2030</v>
      </c>
      <c r="B592">
        <v>0.62251999999999996</v>
      </c>
    </row>
    <row r="593" spans="1:8" x14ac:dyDescent="0.4">
      <c r="A593">
        <v>2031</v>
      </c>
      <c r="B593">
        <v>0.60619999999999996</v>
      </c>
    </row>
    <row r="594" spans="1:8" x14ac:dyDescent="0.4">
      <c r="A594">
        <v>2032</v>
      </c>
      <c r="B594">
        <v>0.59907999999999995</v>
      </c>
    </row>
    <row r="595" spans="1:8" x14ac:dyDescent="0.4">
      <c r="A595">
        <v>2033</v>
      </c>
      <c r="B595">
        <v>0.60043000000000002</v>
      </c>
    </row>
    <row r="596" spans="1:8" x14ac:dyDescent="0.4">
      <c r="A596">
        <v>2034</v>
      </c>
      <c r="B596">
        <v>0.60440000000000005</v>
      </c>
    </row>
    <row r="598" spans="1:8" x14ac:dyDescent="0.4">
      <c r="A598" t="s">
        <v>21</v>
      </c>
      <c r="B598" t="s">
        <v>20</v>
      </c>
      <c r="C598" t="s">
        <v>19</v>
      </c>
      <c r="D598" t="s">
        <v>1</v>
      </c>
      <c r="E598" t="s">
        <v>18</v>
      </c>
      <c r="F598" t="s">
        <v>17</v>
      </c>
      <c r="G598" t="s">
        <v>13</v>
      </c>
      <c r="H598">
        <v>0.98809999999999998</v>
      </c>
    </row>
    <row r="600" spans="1:8" x14ac:dyDescent="0.4">
      <c r="A600" t="s">
        <v>21</v>
      </c>
      <c r="B600" t="s">
        <v>26</v>
      </c>
      <c r="C600" t="s">
        <v>25</v>
      </c>
      <c r="D600" t="s">
        <v>24</v>
      </c>
      <c r="E600" t="s">
        <v>23</v>
      </c>
      <c r="F600" t="s">
        <v>20</v>
      </c>
      <c r="G600">
        <v>0.84130000000000005</v>
      </c>
    </row>
    <row r="602" spans="1:8" x14ac:dyDescent="0.4">
      <c r="A602" t="s">
        <v>22</v>
      </c>
      <c r="B602" t="s">
        <v>21</v>
      </c>
    </row>
    <row r="604" spans="1:8" x14ac:dyDescent="0.4">
      <c r="A604">
        <v>2021</v>
      </c>
      <c r="B604">
        <v>7.1500000000000001E-3</v>
      </c>
    </row>
    <row r="605" spans="1:8" x14ac:dyDescent="0.4">
      <c r="A605">
        <v>2022</v>
      </c>
      <c r="B605">
        <v>0</v>
      </c>
    </row>
    <row r="606" spans="1:8" x14ac:dyDescent="0.4">
      <c r="A606">
        <v>2023</v>
      </c>
      <c r="B606">
        <v>1.4999999999999999E-4</v>
      </c>
    </row>
    <row r="607" spans="1:8" x14ac:dyDescent="0.4">
      <c r="A607">
        <v>2024</v>
      </c>
      <c r="B607">
        <v>6.3499999999999997E-3</v>
      </c>
    </row>
    <row r="608" spans="1:8" x14ac:dyDescent="0.4">
      <c r="A608">
        <v>2025</v>
      </c>
      <c r="B608">
        <v>3.8699999999999998E-2</v>
      </c>
    </row>
    <row r="609" spans="1:8" x14ac:dyDescent="0.4">
      <c r="A609">
        <v>2026</v>
      </c>
      <c r="B609">
        <v>8.1500000000000003E-2</v>
      </c>
    </row>
    <row r="610" spans="1:8" x14ac:dyDescent="0.4">
      <c r="A610">
        <v>2027</v>
      </c>
      <c r="B610">
        <v>0.12095</v>
      </c>
    </row>
    <row r="611" spans="1:8" x14ac:dyDescent="0.4">
      <c r="A611">
        <v>2028</v>
      </c>
      <c r="B611">
        <v>0.12548000000000001</v>
      </c>
    </row>
    <row r="612" spans="1:8" x14ac:dyDescent="0.4">
      <c r="A612">
        <v>2029</v>
      </c>
      <c r="B612">
        <v>0.14484</v>
      </c>
    </row>
    <row r="613" spans="1:8" x14ac:dyDescent="0.4">
      <c r="A613">
        <v>2030</v>
      </c>
      <c r="B613">
        <v>0.16106999999999999</v>
      </c>
    </row>
    <row r="614" spans="1:8" x14ac:dyDescent="0.4">
      <c r="A614">
        <v>2031</v>
      </c>
      <c r="B614">
        <v>0.17505000000000001</v>
      </c>
    </row>
    <row r="615" spans="1:8" x14ac:dyDescent="0.4">
      <c r="A615">
        <v>2032</v>
      </c>
      <c r="B615">
        <v>0.16178999999999999</v>
      </c>
    </row>
    <row r="616" spans="1:8" x14ac:dyDescent="0.4">
      <c r="A616">
        <v>2033</v>
      </c>
      <c r="B616">
        <v>0.15976000000000001</v>
      </c>
    </row>
    <row r="617" spans="1:8" x14ac:dyDescent="0.4">
      <c r="A617">
        <v>2034</v>
      </c>
      <c r="B617">
        <v>0.15856999999999999</v>
      </c>
    </row>
    <row r="619" spans="1:8" x14ac:dyDescent="0.4">
      <c r="A619" t="s">
        <v>21</v>
      </c>
      <c r="B619" t="s">
        <v>20</v>
      </c>
      <c r="C619" t="s">
        <v>19</v>
      </c>
      <c r="D619" t="s">
        <v>1</v>
      </c>
      <c r="E619" t="s">
        <v>18</v>
      </c>
      <c r="F619" t="s">
        <v>17</v>
      </c>
      <c r="G619" t="s">
        <v>13</v>
      </c>
      <c r="H619">
        <v>0.3498</v>
      </c>
    </row>
    <row r="622" spans="1:8" x14ac:dyDescent="0.4">
      <c r="A622" t="s">
        <v>16</v>
      </c>
      <c r="B622" t="s">
        <v>14</v>
      </c>
      <c r="C622" t="s">
        <v>15</v>
      </c>
    </row>
    <row r="624" spans="1:8" x14ac:dyDescent="0.4">
      <c r="A624" t="s">
        <v>14</v>
      </c>
      <c r="B624" t="s">
        <v>13</v>
      </c>
      <c r="C624">
        <v>40</v>
      </c>
      <c r="D624" t="s">
        <v>12</v>
      </c>
    </row>
    <row r="626" spans="1:20" x14ac:dyDescent="0.4">
      <c r="B626">
        <v>2021</v>
      </c>
      <c r="C626">
        <v>2022</v>
      </c>
      <c r="D626">
        <v>2023</v>
      </c>
      <c r="E626">
        <v>2024</v>
      </c>
      <c r="F626">
        <v>2025</v>
      </c>
      <c r="G626">
        <v>2026</v>
      </c>
      <c r="H626">
        <v>2027</v>
      </c>
      <c r="I626">
        <v>2028</v>
      </c>
      <c r="J626">
        <v>2029</v>
      </c>
      <c r="K626">
        <v>2030</v>
      </c>
      <c r="L626">
        <v>2031</v>
      </c>
      <c r="M626">
        <v>2032</v>
      </c>
      <c r="N626">
        <v>2033</v>
      </c>
      <c r="O626">
        <v>2034</v>
      </c>
    </row>
    <row r="628" spans="1:20" x14ac:dyDescent="0.4">
      <c r="A628" t="s">
        <v>11</v>
      </c>
      <c r="B628">
        <v>145.78890000000001</v>
      </c>
      <c r="C628">
        <v>145.78739999999999</v>
      </c>
      <c r="D628">
        <v>146.16739999999999</v>
      </c>
      <c r="E628">
        <v>146.36500000000001</v>
      </c>
      <c r="F628">
        <v>146.4248</v>
      </c>
      <c r="G628">
        <v>145.9075</v>
      </c>
      <c r="H628">
        <v>146.69049999999999</v>
      </c>
      <c r="I628">
        <v>144.9365</v>
      </c>
      <c r="J628">
        <v>145.09700000000001</v>
      </c>
      <c r="K628">
        <v>145.34979999999999</v>
      </c>
      <c r="L628">
        <v>146.09309999999999</v>
      </c>
      <c r="M628">
        <v>145.5204</v>
      </c>
      <c r="N628">
        <v>143.91890000000001</v>
      </c>
      <c r="O628">
        <v>144.6181</v>
      </c>
    </row>
    <row r="629" spans="1:20" x14ac:dyDescent="0.4">
      <c r="A629" t="s">
        <v>10</v>
      </c>
      <c r="B629" t="s">
        <v>3</v>
      </c>
      <c r="C629" t="s">
        <v>6</v>
      </c>
      <c r="D629">
        <v>2.5146999999999999</v>
      </c>
      <c r="E629">
        <v>3.7934000000000001</v>
      </c>
      <c r="F629">
        <v>5.1813000000000002</v>
      </c>
      <c r="G629">
        <v>5.2981999999999996</v>
      </c>
      <c r="H629">
        <v>4.9490999999999996</v>
      </c>
      <c r="I629">
        <v>4.5373999999999999</v>
      </c>
      <c r="J629">
        <v>4.2111000000000001</v>
      </c>
      <c r="K629">
        <v>4.0204000000000004</v>
      </c>
      <c r="L629">
        <v>3.8875000000000002</v>
      </c>
      <c r="M629">
        <v>3.7673999999999999</v>
      </c>
      <c r="N629">
        <v>3.6903000000000001</v>
      </c>
      <c r="O629">
        <v>3.6558999999999999</v>
      </c>
      <c r="P629">
        <v>3.6617999999999999</v>
      </c>
      <c r="Q629">
        <v>3.6823000000000001</v>
      </c>
      <c r="S629">
        <f t="array" ref="S629:S642">TRANSPOSE(D629:Q629)</f>
        <v>2.5146999999999999</v>
      </c>
      <c r="T629">
        <f>S629*1000</f>
        <v>2514.6999999999998</v>
      </c>
    </row>
    <row r="630" spans="1:20" x14ac:dyDescent="0.4">
      <c r="A630" s="1">
        <v>45658</v>
      </c>
      <c r="B630" t="s">
        <v>3</v>
      </c>
      <c r="C630" t="s">
        <v>6</v>
      </c>
      <c r="D630">
        <v>8.8025000000000002</v>
      </c>
      <c r="E630">
        <v>9.9482999999999997</v>
      </c>
      <c r="F630">
        <v>10.7774</v>
      </c>
      <c r="G630">
        <v>11.152900000000001</v>
      </c>
      <c r="H630">
        <v>10.8971</v>
      </c>
      <c r="I630">
        <v>10.4421</v>
      </c>
      <c r="J630">
        <v>10.056900000000001</v>
      </c>
      <c r="K630">
        <v>9.7499000000000002</v>
      </c>
      <c r="L630">
        <v>9.5786999999999995</v>
      </c>
      <c r="M630">
        <v>9.4376999999999995</v>
      </c>
      <c r="N630">
        <v>9.3323</v>
      </c>
      <c r="O630">
        <v>9.2472999999999992</v>
      </c>
      <c r="P630">
        <v>9.2666000000000004</v>
      </c>
      <c r="Q630">
        <v>9.2627000000000006</v>
      </c>
      <c r="S630">
        <v>3.7934000000000001</v>
      </c>
      <c r="T630">
        <f t="shared" ref="T630:T642" si="6">S630*1000</f>
        <v>3793.4</v>
      </c>
    </row>
    <row r="631" spans="1:20" x14ac:dyDescent="0.4">
      <c r="A631" t="s">
        <v>9</v>
      </c>
      <c r="B631" t="s">
        <v>6</v>
      </c>
      <c r="C631">
        <v>8.5343</v>
      </c>
      <c r="D631">
        <v>9.4641000000000002</v>
      </c>
      <c r="E631">
        <v>10.035</v>
      </c>
      <c r="F631">
        <v>10.058400000000001</v>
      </c>
      <c r="G631">
        <v>9.6722999999999999</v>
      </c>
      <c r="H631">
        <v>9.2492000000000001</v>
      </c>
      <c r="I631">
        <v>8.9019999999999992</v>
      </c>
      <c r="J631">
        <v>8.6636000000000006</v>
      </c>
      <c r="K631">
        <v>8.5152000000000001</v>
      </c>
      <c r="L631">
        <v>8.3964999999999996</v>
      </c>
      <c r="M631">
        <v>8.2857000000000003</v>
      </c>
      <c r="N631">
        <v>8.2629000000000001</v>
      </c>
      <c r="O631">
        <v>8.2840000000000007</v>
      </c>
      <c r="P631">
        <v>8.2950999999999997</v>
      </c>
      <c r="S631">
        <v>5.1813000000000002</v>
      </c>
      <c r="T631">
        <f t="shared" si="6"/>
        <v>5181.3</v>
      </c>
    </row>
    <row r="632" spans="1:20" x14ac:dyDescent="0.4">
      <c r="A632" t="s">
        <v>8</v>
      </c>
      <c r="B632" t="s">
        <v>7</v>
      </c>
      <c r="C632" t="s">
        <v>6</v>
      </c>
      <c r="D632">
        <v>1.5398000000000001</v>
      </c>
      <c r="E632">
        <v>1.4739</v>
      </c>
      <c r="F632">
        <v>1.6854</v>
      </c>
      <c r="G632">
        <v>2.1566999999999998</v>
      </c>
      <c r="H632">
        <v>2.4</v>
      </c>
      <c r="I632">
        <v>2.4</v>
      </c>
      <c r="J632">
        <v>2.4</v>
      </c>
      <c r="K632">
        <v>2.2999999999999998</v>
      </c>
      <c r="L632">
        <v>2.2999999999999998</v>
      </c>
      <c r="M632">
        <v>2.2999999999999998</v>
      </c>
      <c r="N632">
        <v>2.2999999999999998</v>
      </c>
      <c r="O632">
        <v>2.2000000000000002</v>
      </c>
      <c r="P632">
        <v>2.2000000000000002</v>
      </c>
      <c r="Q632">
        <v>2.2000000000000002</v>
      </c>
      <c r="S632">
        <v>5.2981999999999996</v>
      </c>
      <c r="T632">
        <f t="shared" si="6"/>
        <v>5298.2</v>
      </c>
    </row>
    <row r="633" spans="1:20" x14ac:dyDescent="0.4">
      <c r="A633" t="s">
        <v>5</v>
      </c>
      <c r="B633">
        <v>1.5398000000000001</v>
      </c>
      <c r="C633">
        <v>1.4739</v>
      </c>
      <c r="D633">
        <v>1.6854</v>
      </c>
      <c r="E633">
        <v>2.1566999999999998</v>
      </c>
      <c r="F633">
        <v>2.4</v>
      </c>
      <c r="G633">
        <v>2.4</v>
      </c>
      <c r="H633">
        <v>2.4</v>
      </c>
      <c r="I633">
        <v>2.2999999999999998</v>
      </c>
      <c r="J633">
        <v>2.2999999999999998</v>
      </c>
      <c r="K633">
        <v>2.2999999999999998</v>
      </c>
      <c r="L633">
        <v>2.2999999999999998</v>
      </c>
      <c r="M633">
        <v>2.2000000000000002</v>
      </c>
      <c r="N633">
        <v>2.2000000000000002</v>
      </c>
      <c r="O633">
        <v>2.2000000000000002</v>
      </c>
      <c r="S633">
        <v>4.9490999999999996</v>
      </c>
      <c r="T633">
        <f t="shared" si="6"/>
        <v>4949.0999999999995</v>
      </c>
    </row>
    <row r="634" spans="1:20" x14ac:dyDescent="0.4">
      <c r="A634" t="s">
        <v>4</v>
      </c>
      <c r="B634">
        <v>0.50360000000000005</v>
      </c>
      <c r="C634">
        <v>0.34910000000000002</v>
      </c>
      <c r="D634">
        <v>0.34920000000000001</v>
      </c>
      <c r="E634">
        <v>0.37730000000000002</v>
      </c>
      <c r="F634">
        <v>0.41620000000000001</v>
      </c>
      <c r="G634">
        <v>0.44069999999999998</v>
      </c>
      <c r="H634">
        <v>0.46350000000000002</v>
      </c>
      <c r="I634">
        <v>0.45600000000000002</v>
      </c>
      <c r="J634">
        <v>0.46639999999999998</v>
      </c>
      <c r="K634">
        <v>0.47520000000000001</v>
      </c>
      <c r="L634">
        <v>0.48209999999999997</v>
      </c>
      <c r="M634">
        <v>0.46410000000000001</v>
      </c>
      <c r="N634">
        <v>0.46310000000000001</v>
      </c>
      <c r="O634">
        <v>0.46150000000000002</v>
      </c>
      <c r="S634">
        <v>4.5373999999999999</v>
      </c>
      <c r="T634">
        <f t="shared" si="6"/>
        <v>4537.3999999999996</v>
      </c>
    </row>
    <row r="635" spans="1:20" x14ac:dyDescent="0.4">
      <c r="S635">
        <v>4.2111000000000001</v>
      </c>
      <c r="T635">
        <f t="shared" si="6"/>
        <v>4211.1000000000004</v>
      </c>
    </row>
    <row r="636" spans="1:20" x14ac:dyDescent="0.4">
      <c r="A636" t="s">
        <v>3</v>
      </c>
      <c r="B636" t="s">
        <v>2</v>
      </c>
      <c r="C636" t="s">
        <v>1</v>
      </c>
      <c r="D636" t="s">
        <v>0</v>
      </c>
      <c r="S636">
        <v>4.0204000000000004</v>
      </c>
      <c r="T636">
        <f t="shared" si="6"/>
        <v>4020.4000000000005</v>
      </c>
    </row>
    <row r="637" spans="1:20" x14ac:dyDescent="0.4">
      <c r="A637" t="s">
        <v>0</v>
      </c>
      <c r="B637">
        <v>1</v>
      </c>
      <c r="C637">
        <v>244.97399999999999</v>
      </c>
      <c r="D637">
        <v>145.78890000000001</v>
      </c>
      <c r="E637">
        <v>145.78739999999999</v>
      </c>
      <c r="F637">
        <v>146.16739999999999</v>
      </c>
      <c r="G637">
        <v>146.36500000000001</v>
      </c>
      <c r="H637">
        <v>146.4248</v>
      </c>
      <c r="I637">
        <v>145.9075</v>
      </c>
      <c r="J637">
        <v>146.69049999999999</v>
      </c>
      <c r="K637">
        <v>144.9365</v>
      </c>
      <c r="L637">
        <v>145.09700000000001</v>
      </c>
      <c r="M637">
        <v>145.34979999999999</v>
      </c>
      <c r="N637">
        <v>146.09309999999999</v>
      </c>
      <c r="O637">
        <v>145.5204</v>
      </c>
      <c r="P637">
        <v>143.91890000000001</v>
      </c>
      <c r="S637">
        <v>3.8875000000000002</v>
      </c>
      <c r="T637">
        <f t="shared" si="6"/>
        <v>3887.5</v>
      </c>
    </row>
    <row r="638" spans="1:20" x14ac:dyDescent="0.4">
      <c r="A638" t="s">
        <v>0</v>
      </c>
      <c r="B638">
        <v>2</v>
      </c>
      <c r="C638">
        <v>93.8626</v>
      </c>
      <c r="D638">
        <v>145.4256</v>
      </c>
      <c r="E638">
        <v>87.744</v>
      </c>
      <c r="F638">
        <v>88.127499999999998</v>
      </c>
      <c r="G638">
        <v>86.543700000000001</v>
      </c>
      <c r="H638">
        <v>87.204400000000007</v>
      </c>
      <c r="I638">
        <v>86.8215</v>
      </c>
      <c r="J638">
        <v>86.239900000000006</v>
      </c>
      <c r="K638">
        <v>85.714200000000005</v>
      </c>
      <c r="L638">
        <v>84.689700000000002</v>
      </c>
      <c r="M638">
        <v>84.569800000000001</v>
      </c>
      <c r="N638">
        <v>84.222099999999998</v>
      </c>
      <c r="O638">
        <v>84.718400000000003</v>
      </c>
      <c r="P638">
        <v>84.5745</v>
      </c>
      <c r="S638">
        <v>3.7673999999999999</v>
      </c>
      <c r="T638">
        <f t="shared" si="6"/>
        <v>3767.3999999999996</v>
      </c>
    </row>
    <row r="639" spans="1:20" x14ac:dyDescent="0.4">
      <c r="A639" t="s">
        <v>0</v>
      </c>
      <c r="B639">
        <v>3</v>
      </c>
      <c r="C639">
        <v>51.2273</v>
      </c>
      <c r="D639">
        <v>51.022799999999997</v>
      </c>
      <c r="E639">
        <v>83.453400000000002</v>
      </c>
      <c r="F639">
        <v>50.539099999999998</v>
      </c>
      <c r="G639">
        <v>48.139200000000002</v>
      </c>
      <c r="H639">
        <v>45.936599999999999</v>
      </c>
      <c r="I639">
        <v>45.307299999999998</v>
      </c>
      <c r="J639">
        <v>44.482399999999998</v>
      </c>
      <c r="K639">
        <v>43.452599999999997</v>
      </c>
      <c r="L639">
        <v>42.885100000000001</v>
      </c>
      <c r="M639">
        <v>42.192599999999999</v>
      </c>
      <c r="N639">
        <v>41.970100000000002</v>
      </c>
      <c r="O639">
        <v>42.244599999999998</v>
      </c>
      <c r="P639">
        <v>42.417700000000004</v>
      </c>
      <c r="S639">
        <v>3.6903000000000001</v>
      </c>
      <c r="T639">
        <f t="shared" si="6"/>
        <v>3690.3</v>
      </c>
    </row>
    <row r="640" spans="1:20" x14ac:dyDescent="0.4">
      <c r="A640" t="s">
        <v>0</v>
      </c>
      <c r="B640">
        <v>4</v>
      </c>
      <c r="C640">
        <v>9.1702999999999992</v>
      </c>
      <c r="D640">
        <v>24.980599999999999</v>
      </c>
      <c r="E640">
        <v>27.597300000000001</v>
      </c>
      <c r="F640">
        <v>45.459099999999999</v>
      </c>
      <c r="G640">
        <v>25.427499999999998</v>
      </c>
      <c r="H640">
        <v>22.604900000000001</v>
      </c>
      <c r="I640">
        <v>20.997800000000002</v>
      </c>
      <c r="J640">
        <v>20.1934</v>
      </c>
      <c r="K640">
        <v>20.0442</v>
      </c>
      <c r="L640">
        <v>19.461099999999998</v>
      </c>
      <c r="M640">
        <v>19.011399999999998</v>
      </c>
      <c r="N640">
        <v>18.683700000000002</v>
      </c>
      <c r="O640">
        <v>18.867599999999999</v>
      </c>
      <c r="P640">
        <v>18.9892</v>
      </c>
      <c r="S640">
        <v>3.6558999999999999</v>
      </c>
      <c r="T640">
        <f t="shared" si="6"/>
        <v>3655.9</v>
      </c>
    </row>
    <row r="641" spans="1:20" x14ac:dyDescent="0.4">
      <c r="A641" t="s">
        <v>0</v>
      </c>
      <c r="B641">
        <v>5</v>
      </c>
      <c r="C641">
        <v>2.4695999999999998</v>
      </c>
      <c r="D641">
        <v>4.2323000000000004</v>
      </c>
      <c r="E641">
        <v>13.067299999999999</v>
      </c>
      <c r="F641">
        <v>14.618399999999999</v>
      </c>
      <c r="G641">
        <v>22.684899999999999</v>
      </c>
      <c r="H641">
        <v>11.5002</v>
      </c>
      <c r="I641">
        <v>9.99</v>
      </c>
      <c r="J641">
        <v>9.0632000000000001</v>
      </c>
      <c r="K641">
        <v>8.8524999999999991</v>
      </c>
      <c r="L641">
        <v>8.6684999999999999</v>
      </c>
      <c r="M641">
        <v>8.3703000000000003</v>
      </c>
      <c r="N641">
        <v>8.1143999999999998</v>
      </c>
      <c r="O641">
        <v>8.1240000000000006</v>
      </c>
      <c r="P641">
        <v>8.2112999999999996</v>
      </c>
      <c r="S641">
        <v>3.6617999999999999</v>
      </c>
      <c r="T641">
        <f t="shared" si="6"/>
        <v>3661.7999999999997</v>
      </c>
    </row>
    <row r="642" spans="1:20" x14ac:dyDescent="0.4">
      <c r="A642" t="s">
        <v>0</v>
      </c>
      <c r="B642">
        <v>6</v>
      </c>
      <c r="C642">
        <v>0.84919999999999995</v>
      </c>
      <c r="D642">
        <v>1.1149</v>
      </c>
      <c r="E642">
        <v>2.1414</v>
      </c>
      <c r="F642">
        <v>6.7441000000000004</v>
      </c>
      <c r="G642">
        <v>7.2126999999999999</v>
      </c>
      <c r="H642">
        <v>10.3713</v>
      </c>
      <c r="I642">
        <v>5.0380000000000003</v>
      </c>
      <c r="J642">
        <v>4.2638999999999996</v>
      </c>
      <c r="K642">
        <v>3.9363999999999999</v>
      </c>
      <c r="L642">
        <v>3.8029999999999999</v>
      </c>
      <c r="M642">
        <v>3.6837</v>
      </c>
      <c r="N642">
        <v>3.5232999999999999</v>
      </c>
      <c r="O642">
        <v>3.4788000000000001</v>
      </c>
      <c r="P642">
        <v>3.5</v>
      </c>
      <c r="S642">
        <v>3.6823000000000001</v>
      </c>
      <c r="T642">
        <f t="shared" si="6"/>
        <v>3682.3</v>
      </c>
    </row>
    <row r="643" spans="1:20" x14ac:dyDescent="0.4">
      <c r="A643" t="s">
        <v>0</v>
      </c>
      <c r="B643">
        <v>7</v>
      </c>
      <c r="C643">
        <v>0.1227</v>
      </c>
      <c r="D643">
        <v>0.37930000000000003</v>
      </c>
      <c r="E643">
        <v>0.56740000000000002</v>
      </c>
      <c r="F643">
        <v>1.0765</v>
      </c>
      <c r="G643">
        <v>3.3210999999999999</v>
      </c>
      <c r="H643">
        <v>3.3342999999999998</v>
      </c>
      <c r="I643">
        <v>4.6380999999999997</v>
      </c>
      <c r="J643">
        <v>2.1785000000000001</v>
      </c>
      <c r="K643">
        <v>1.869</v>
      </c>
      <c r="L643">
        <v>1.7003999999999999</v>
      </c>
      <c r="M643">
        <v>1.6238999999999999</v>
      </c>
      <c r="N643">
        <v>1.5624</v>
      </c>
      <c r="O643">
        <v>1.5209999999999999</v>
      </c>
      <c r="P643">
        <v>1.5011000000000001</v>
      </c>
    </row>
    <row r="644" spans="1:20" x14ac:dyDescent="0.4">
      <c r="A644" t="s">
        <v>0</v>
      </c>
      <c r="B644">
        <v>8</v>
      </c>
      <c r="C644">
        <v>9.0200000000000002E-2</v>
      </c>
      <c r="D644">
        <v>5.6300000000000003E-2</v>
      </c>
      <c r="E644">
        <v>0.193</v>
      </c>
      <c r="F644">
        <v>0.28960000000000002</v>
      </c>
      <c r="G644">
        <v>0.53249999999999997</v>
      </c>
      <c r="H644">
        <v>1.5570999999999999</v>
      </c>
      <c r="I644">
        <v>1.5123</v>
      </c>
      <c r="J644">
        <v>2.0548000000000002</v>
      </c>
      <c r="K644">
        <v>0.96809999999999996</v>
      </c>
      <c r="L644">
        <v>0.82369999999999999</v>
      </c>
      <c r="M644">
        <v>0.73899999999999999</v>
      </c>
      <c r="N644">
        <v>0.70089999999999997</v>
      </c>
      <c r="O644">
        <v>0.68089999999999995</v>
      </c>
      <c r="P644">
        <v>0.66510000000000002</v>
      </c>
    </row>
    <row r="645" spans="1:20" x14ac:dyDescent="0.4">
      <c r="A645" t="s">
        <v>0</v>
      </c>
      <c r="B645">
        <v>9</v>
      </c>
      <c r="C645">
        <v>6.3E-3</v>
      </c>
      <c r="D645">
        <v>4.0899999999999999E-2</v>
      </c>
      <c r="E645">
        <v>2.87E-2</v>
      </c>
      <c r="F645">
        <v>9.8599999999999993E-2</v>
      </c>
      <c r="G645">
        <v>0.14510000000000001</v>
      </c>
      <c r="H645">
        <v>0.25430000000000003</v>
      </c>
      <c r="I645">
        <v>0.72060000000000002</v>
      </c>
      <c r="J645">
        <v>0.68010000000000004</v>
      </c>
      <c r="K645">
        <v>0.93079999999999996</v>
      </c>
      <c r="L645">
        <v>0.43380000000000002</v>
      </c>
      <c r="M645">
        <v>0.36459999999999998</v>
      </c>
      <c r="N645">
        <v>0.32290000000000002</v>
      </c>
      <c r="O645">
        <v>0.31180000000000002</v>
      </c>
      <c r="P645">
        <v>0.30199999999999999</v>
      </c>
    </row>
    <row r="646" spans="1:20" x14ac:dyDescent="0.4">
      <c r="A646" t="s">
        <v>0</v>
      </c>
      <c r="B646">
        <v>10</v>
      </c>
      <c r="C646">
        <v>3.2000000000000002E-3</v>
      </c>
      <c r="D646">
        <v>3.0000000000000001E-3</v>
      </c>
      <c r="E646">
        <v>2.06E-2</v>
      </c>
      <c r="F646">
        <v>1.47E-2</v>
      </c>
      <c r="G646">
        <v>5.0099999999999999E-2</v>
      </c>
      <c r="H646">
        <v>7.0199999999999999E-2</v>
      </c>
      <c r="I646">
        <v>0.12</v>
      </c>
      <c r="J646">
        <v>0.33040000000000003</v>
      </c>
      <c r="K646">
        <v>0.31269999999999998</v>
      </c>
      <c r="L646">
        <v>0.4234</v>
      </c>
      <c r="M646">
        <v>0.19439999999999999</v>
      </c>
      <c r="N646">
        <v>0.16239999999999999</v>
      </c>
      <c r="O646">
        <v>0.1457</v>
      </c>
      <c r="P646">
        <v>0.1401</v>
      </c>
    </row>
    <row r="647" spans="1:20" x14ac:dyDescent="0.4">
      <c r="A647" t="s">
        <v>0</v>
      </c>
      <c r="B647">
        <v>11</v>
      </c>
      <c r="C647">
        <v>8.9999999999999998E-4</v>
      </c>
      <c r="D647">
        <v>1.5E-3</v>
      </c>
      <c r="E647">
        <v>1.5E-3</v>
      </c>
      <c r="F647">
        <v>1.03E-2</v>
      </c>
      <c r="G647">
        <v>7.7000000000000002E-3</v>
      </c>
      <c r="H647">
        <v>2.46E-2</v>
      </c>
      <c r="I647">
        <v>3.3500000000000002E-2</v>
      </c>
      <c r="J647">
        <v>5.5899999999999998E-2</v>
      </c>
      <c r="K647">
        <v>0.154</v>
      </c>
      <c r="L647">
        <v>0.1439</v>
      </c>
      <c r="M647">
        <v>0.1928</v>
      </c>
      <c r="N647">
        <v>8.77E-2</v>
      </c>
      <c r="O647">
        <v>7.3999999999999996E-2</v>
      </c>
      <c r="P647">
        <v>6.6400000000000001E-2</v>
      </c>
    </row>
    <row r="648" spans="1:20" x14ac:dyDescent="0.4">
      <c r="A648" t="s">
        <v>0</v>
      </c>
      <c r="B648">
        <v>12</v>
      </c>
      <c r="C648">
        <v>1E-4</v>
      </c>
      <c r="D648">
        <v>4.0000000000000002E-4</v>
      </c>
      <c r="E648">
        <v>8.0000000000000004E-4</v>
      </c>
      <c r="F648">
        <v>8.0000000000000004E-4</v>
      </c>
      <c r="G648">
        <v>5.1999999999999998E-3</v>
      </c>
      <c r="H648">
        <v>3.8E-3</v>
      </c>
      <c r="I648">
        <v>1.1900000000000001E-2</v>
      </c>
      <c r="J648">
        <v>1.5800000000000002E-2</v>
      </c>
      <c r="K648">
        <v>2.6499999999999999E-2</v>
      </c>
      <c r="L648">
        <v>7.1900000000000006E-2</v>
      </c>
      <c r="M648">
        <v>6.6199999999999995E-2</v>
      </c>
      <c r="N648">
        <v>8.7800000000000003E-2</v>
      </c>
      <c r="O648">
        <v>4.0399999999999998E-2</v>
      </c>
      <c r="P648">
        <v>3.4000000000000002E-2</v>
      </c>
    </row>
    <row r="649" spans="1:20" x14ac:dyDescent="0.4">
      <c r="A649" t="s">
        <v>0</v>
      </c>
      <c r="B649">
        <v>13</v>
      </c>
      <c r="C649">
        <v>0</v>
      </c>
      <c r="D649">
        <v>0</v>
      </c>
      <c r="E649">
        <v>2.0000000000000001E-4</v>
      </c>
      <c r="F649">
        <v>4.0000000000000002E-4</v>
      </c>
      <c r="G649">
        <v>4.0000000000000002E-4</v>
      </c>
      <c r="H649">
        <v>2.5999999999999999E-3</v>
      </c>
      <c r="I649">
        <v>1.9E-3</v>
      </c>
      <c r="J649">
        <v>5.5999999999999999E-3</v>
      </c>
      <c r="K649">
        <v>7.4999999999999997E-3</v>
      </c>
      <c r="L649">
        <v>1.2500000000000001E-2</v>
      </c>
      <c r="M649">
        <v>3.3399999999999999E-2</v>
      </c>
      <c r="N649">
        <v>3.0300000000000001E-2</v>
      </c>
      <c r="O649">
        <v>4.07E-2</v>
      </c>
      <c r="P649">
        <v>1.8800000000000001E-2</v>
      </c>
    </row>
    <row r="650" spans="1:20" x14ac:dyDescent="0.4">
      <c r="A650" t="s">
        <v>0</v>
      </c>
      <c r="B650">
        <v>14</v>
      </c>
      <c r="C650">
        <v>0</v>
      </c>
      <c r="D650">
        <v>0</v>
      </c>
      <c r="E650">
        <v>0</v>
      </c>
      <c r="F650">
        <v>1E-4</v>
      </c>
      <c r="G650">
        <v>2.0000000000000001E-4</v>
      </c>
      <c r="H650">
        <v>2.0000000000000001E-4</v>
      </c>
      <c r="I650">
        <v>1.2999999999999999E-3</v>
      </c>
      <c r="J650">
        <v>8.9999999999999998E-4</v>
      </c>
      <c r="K650">
        <v>2.7000000000000001E-3</v>
      </c>
      <c r="L650">
        <v>3.5999999999999999E-3</v>
      </c>
      <c r="M650">
        <v>5.7999999999999996E-3</v>
      </c>
      <c r="N650">
        <v>1.54E-2</v>
      </c>
      <c r="O650">
        <v>1.41E-2</v>
      </c>
      <c r="P650">
        <v>1.9E-2</v>
      </c>
    </row>
    <row r="651" spans="1:20" x14ac:dyDescent="0.4">
      <c r="A651" t="s">
        <v>0</v>
      </c>
      <c r="B651">
        <v>15</v>
      </c>
      <c r="C651">
        <v>0</v>
      </c>
      <c r="D651">
        <v>0</v>
      </c>
      <c r="E651">
        <v>0</v>
      </c>
      <c r="F651">
        <v>0</v>
      </c>
      <c r="G651">
        <v>1E-4</v>
      </c>
      <c r="H651">
        <v>1E-4</v>
      </c>
      <c r="I651">
        <v>2.0000000000000001E-4</v>
      </c>
      <c r="J651">
        <v>6.9999999999999999E-4</v>
      </c>
      <c r="K651">
        <v>8.0000000000000004E-4</v>
      </c>
      <c r="L651">
        <v>1.6999999999999999E-3</v>
      </c>
      <c r="M651">
        <v>2.5000000000000001E-3</v>
      </c>
      <c r="N651">
        <v>3.8999999999999998E-3</v>
      </c>
      <c r="O651">
        <v>9.1000000000000004E-3</v>
      </c>
      <c r="P651">
        <v>1.0999999999999999E-2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FD08-8508-4091-A71B-FAE3527AE060}">
  <dimension ref="A1:U651"/>
  <sheetViews>
    <sheetView topLeftCell="F259" workbookViewId="0">
      <selection activeCell="M260" sqref="M260:S273"/>
    </sheetView>
  </sheetViews>
  <sheetFormatPr defaultRowHeight="14.6" x14ac:dyDescent="0.4"/>
  <sheetData>
    <row r="1" spans="1:9" x14ac:dyDescent="0.4">
      <c r="A1" t="s">
        <v>69</v>
      </c>
      <c r="B1" t="s">
        <v>68</v>
      </c>
      <c r="C1">
        <v>4.2</v>
      </c>
    </row>
    <row r="3" spans="1:9" x14ac:dyDescent="0.4">
      <c r="A3" t="s">
        <v>163</v>
      </c>
    </row>
    <row r="5" spans="1:9" x14ac:dyDescent="0.4">
      <c r="A5" t="s">
        <v>67</v>
      </c>
      <c r="B5" t="s">
        <v>66</v>
      </c>
      <c r="C5" t="s">
        <v>65</v>
      </c>
      <c r="D5" t="s">
        <v>47</v>
      </c>
      <c r="E5" t="s">
        <v>64</v>
      </c>
      <c r="F5">
        <v>10</v>
      </c>
      <c r="G5" t="s">
        <v>160</v>
      </c>
      <c r="H5">
        <v>2025</v>
      </c>
      <c r="I5" s="3">
        <v>0.59375</v>
      </c>
    </row>
    <row r="7" spans="1:9" x14ac:dyDescent="0.4">
      <c r="A7" t="s">
        <v>45</v>
      </c>
      <c r="B7" t="s">
        <v>52</v>
      </c>
      <c r="C7" t="s">
        <v>51</v>
      </c>
      <c r="D7" t="s">
        <v>162</v>
      </c>
    </row>
    <row r="9" spans="1:9" x14ac:dyDescent="0.4">
      <c r="A9" t="s">
        <v>63</v>
      </c>
      <c r="B9" t="s">
        <v>0</v>
      </c>
      <c r="C9" t="s">
        <v>62</v>
      </c>
      <c r="D9">
        <v>1</v>
      </c>
    </row>
    <row r="10" spans="1:9" x14ac:dyDescent="0.4">
      <c r="A10" t="s">
        <v>50</v>
      </c>
      <c r="B10" t="s">
        <v>47</v>
      </c>
      <c r="C10" t="s">
        <v>0</v>
      </c>
      <c r="D10" t="s">
        <v>61</v>
      </c>
      <c r="E10">
        <v>15</v>
      </c>
    </row>
    <row r="11" spans="1:9" x14ac:dyDescent="0.4">
      <c r="A11" t="s">
        <v>50</v>
      </c>
      <c r="B11" t="s">
        <v>47</v>
      </c>
      <c r="C11" t="s">
        <v>60</v>
      </c>
      <c r="D11" t="s">
        <v>59</v>
      </c>
      <c r="E11" t="s">
        <v>58</v>
      </c>
      <c r="F11">
        <v>14</v>
      </c>
    </row>
    <row r="12" spans="1:9" x14ac:dyDescent="0.4">
      <c r="A12" t="s">
        <v>50</v>
      </c>
      <c r="B12" t="s">
        <v>47</v>
      </c>
      <c r="C12" t="s">
        <v>57</v>
      </c>
      <c r="D12">
        <v>9</v>
      </c>
    </row>
    <row r="13" spans="1:9" x14ac:dyDescent="0.4">
      <c r="A13" t="s">
        <v>50</v>
      </c>
      <c r="B13" t="s">
        <v>47</v>
      </c>
      <c r="C13" t="s">
        <v>41</v>
      </c>
      <c r="D13" t="s">
        <v>56</v>
      </c>
      <c r="E13">
        <v>3</v>
      </c>
    </row>
    <row r="14" spans="1:9" x14ac:dyDescent="0.4">
      <c r="A14" t="s">
        <v>50</v>
      </c>
      <c r="B14" t="s">
        <v>47</v>
      </c>
      <c r="C14" t="s">
        <v>55</v>
      </c>
      <c r="D14">
        <v>100</v>
      </c>
    </row>
    <row r="15" spans="1:9" x14ac:dyDescent="0.4">
      <c r="A15" t="s">
        <v>50</v>
      </c>
      <c r="B15" t="s">
        <v>47</v>
      </c>
      <c r="C15" t="s">
        <v>54</v>
      </c>
      <c r="D15">
        <v>1000</v>
      </c>
    </row>
    <row r="17" spans="1:11" x14ac:dyDescent="0.4">
      <c r="A17" t="s">
        <v>53</v>
      </c>
      <c r="B17" t="s">
        <v>52</v>
      </c>
      <c r="C17" t="s">
        <v>51</v>
      </c>
      <c r="D17" t="s">
        <v>75</v>
      </c>
      <c r="E17" t="s">
        <v>76</v>
      </c>
      <c r="F17" t="s">
        <v>77</v>
      </c>
      <c r="G17" t="s">
        <v>78</v>
      </c>
    </row>
    <row r="19" spans="1:11" x14ac:dyDescent="0.4">
      <c r="A19" t="s">
        <v>50</v>
      </c>
      <c r="B19" t="s">
        <v>47</v>
      </c>
      <c r="C19" t="s">
        <v>49</v>
      </c>
      <c r="D19" t="s">
        <v>48</v>
      </c>
      <c r="E19">
        <v>99855</v>
      </c>
      <c r="F19" t="s">
        <v>47</v>
      </c>
      <c r="G19">
        <v>100000</v>
      </c>
      <c r="H19" t="s">
        <v>46</v>
      </c>
    </row>
    <row r="21" spans="1:11" x14ac:dyDescent="0.4">
      <c r="A21" t="s">
        <v>45</v>
      </c>
      <c r="B21" t="s">
        <v>44</v>
      </c>
      <c r="C21" t="s">
        <v>43</v>
      </c>
    </row>
    <row r="23" spans="1:11" x14ac:dyDescent="0.4">
      <c r="A23" t="s">
        <v>22</v>
      </c>
      <c r="B23" t="s">
        <v>42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</row>
    <row r="25" spans="1:11" x14ac:dyDescent="0.4">
      <c r="A25">
        <v>2021</v>
      </c>
      <c r="B25" t="s">
        <v>5</v>
      </c>
      <c r="C25">
        <v>118</v>
      </c>
      <c r="D25">
        <v>100</v>
      </c>
      <c r="E25">
        <v>551</v>
      </c>
      <c r="F25">
        <v>72</v>
      </c>
      <c r="G25">
        <v>89</v>
      </c>
      <c r="H25">
        <v>37</v>
      </c>
      <c r="I25">
        <v>58</v>
      </c>
      <c r="J25">
        <v>265</v>
      </c>
      <c r="K25">
        <v>249</v>
      </c>
    </row>
    <row r="26" spans="1:11" x14ac:dyDescent="0.4">
      <c r="A26">
        <v>2022</v>
      </c>
      <c r="B26" t="s">
        <v>5</v>
      </c>
      <c r="C26">
        <v>75</v>
      </c>
      <c r="D26">
        <v>99</v>
      </c>
      <c r="E26">
        <v>464</v>
      </c>
      <c r="F26">
        <v>36</v>
      </c>
      <c r="G26">
        <v>80</v>
      </c>
      <c r="H26">
        <v>54</v>
      </c>
      <c r="I26">
        <v>84</v>
      </c>
      <c r="J26">
        <v>298</v>
      </c>
      <c r="K26">
        <v>284</v>
      </c>
    </row>
    <row r="27" spans="1:11" x14ac:dyDescent="0.4">
      <c r="A27">
        <v>2023</v>
      </c>
      <c r="B27" t="s">
        <v>5</v>
      </c>
      <c r="C27">
        <v>129</v>
      </c>
      <c r="D27">
        <v>80</v>
      </c>
      <c r="E27">
        <v>526</v>
      </c>
      <c r="F27">
        <v>28</v>
      </c>
      <c r="G27">
        <v>110</v>
      </c>
      <c r="H27">
        <v>54</v>
      </c>
      <c r="I27">
        <v>84</v>
      </c>
      <c r="J27">
        <v>214</v>
      </c>
      <c r="K27">
        <v>461</v>
      </c>
    </row>
    <row r="28" spans="1:11" x14ac:dyDescent="0.4">
      <c r="A28">
        <v>2024</v>
      </c>
      <c r="B28" t="s">
        <v>5</v>
      </c>
      <c r="C28">
        <v>83</v>
      </c>
      <c r="D28">
        <v>176</v>
      </c>
      <c r="E28">
        <v>578</v>
      </c>
      <c r="F28">
        <v>27</v>
      </c>
      <c r="G28">
        <v>110</v>
      </c>
      <c r="H28">
        <v>54</v>
      </c>
      <c r="I28">
        <v>84</v>
      </c>
      <c r="J28">
        <v>584</v>
      </c>
      <c r="K28">
        <v>461</v>
      </c>
    </row>
    <row r="29" spans="1:11" x14ac:dyDescent="0.4">
      <c r="A29">
        <v>2025</v>
      </c>
      <c r="B29" t="s">
        <v>5</v>
      </c>
      <c r="C29">
        <v>351</v>
      </c>
      <c r="D29">
        <v>139</v>
      </c>
      <c r="E29">
        <v>1296</v>
      </c>
      <c r="F29">
        <v>65</v>
      </c>
      <c r="G29">
        <v>213</v>
      </c>
      <c r="H29">
        <v>95</v>
      </c>
      <c r="I29">
        <v>197</v>
      </c>
      <c r="J29">
        <v>393</v>
      </c>
      <c r="K29">
        <v>476</v>
      </c>
    </row>
    <row r="30" spans="1:11" x14ac:dyDescent="0.4">
      <c r="A30">
        <v>2026</v>
      </c>
      <c r="B30" t="s">
        <v>5</v>
      </c>
      <c r="C30">
        <v>316</v>
      </c>
      <c r="D30">
        <v>125</v>
      </c>
      <c r="E30">
        <v>904</v>
      </c>
      <c r="F30">
        <v>58</v>
      </c>
      <c r="G30">
        <v>191</v>
      </c>
      <c r="H30">
        <v>85</v>
      </c>
      <c r="I30">
        <v>166</v>
      </c>
      <c r="J30">
        <v>228</v>
      </c>
      <c r="K30">
        <v>326</v>
      </c>
    </row>
    <row r="31" spans="1:11" x14ac:dyDescent="0.4">
      <c r="A31">
        <v>2027</v>
      </c>
      <c r="B31" t="s">
        <v>5</v>
      </c>
      <c r="C31">
        <v>316</v>
      </c>
      <c r="D31">
        <v>125</v>
      </c>
      <c r="E31">
        <v>904</v>
      </c>
      <c r="F31">
        <v>58</v>
      </c>
      <c r="G31">
        <v>191</v>
      </c>
      <c r="H31">
        <v>85</v>
      </c>
      <c r="I31">
        <v>166</v>
      </c>
      <c r="J31">
        <v>228</v>
      </c>
      <c r="K31">
        <v>326</v>
      </c>
    </row>
    <row r="32" spans="1:11" x14ac:dyDescent="0.4">
      <c r="A32">
        <v>2028</v>
      </c>
      <c r="B32" t="s">
        <v>5</v>
      </c>
      <c r="C32">
        <v>189</v>
      </c>
      <c r="D32">
        <v>125</v>
      </c>
      <c r="E32">
        <v>708</v>
      </c>
      <c r="F32">
        <v>68</v>
      </c>
      <c r="G32">
        <v>162</v>
      </c>
      <c r="H32">
        <v>90</v>
      </c>
      <c r="I32">
        <v>173</v>
      </c>
      <c r="J32">
        <v>381</v>
      </c>
      <c r="K32">
        <v>304</v>
      </c>
    </row>
    <row r="33" spans="1:11" x14ac:dyDescent="0.4">
      <c r="A33">
        <v>2029</v>
      </c>
      <c r="B33" t="s">
        <v>5</v>
      </c>
      <c r="C33">
        <v>189</v>
      </c>
      <c r="D33">
        <v>125</v>
      </c>
      <c r="E33">
        <v>708</v>
      </c>
      <c r="F33">
        <v>68</v>
      </c>
      <c r="G33">
        <v>162</v>
      </c>
      <c r="H33">
        <v>90</v>
      </c>
      <c r="I33">
        <v>173</v>
      </c>
      <c r="J33">
        <v>381</v>
      </c>
      <c r="K33">
        <v>304</v>
      </c>
    </row>
    <row r="34" spans="1:11" x14ac:dyDescent="0.4">
      <c r="A34">
        <v>2030</v>
      </c>
      <c r="B34" t="s">
        <v>5</v>
      </c>
      <c r="C34">
        <v>189</v>
      </c>
      <c r="D34">
        <v>125</v>
      </c>
      <c r="E34">
        <v>708</v>
      </c>
      <c r="F34">
        <v>68</v>
      </c>
      <c r="G34">
        <v>162</v>
      </c>
      <c r="H34">
        <v>90</v>
      </c>
      <c r="I34">
        <v>173</v>
      </c>
      <c r="J34">
        <v>381</v>
      </c>
      <c r="K34">
        <v>304</v>
      </c>
    </row>
    <row r="35" spans="1:11" x14ac:dyDescent="0.4">
      <c r="A35">
        <v>2031</v>
      </c>
      <c r="B35" t="s">
        <v>5</v>
      </c>
      <c r="C35">
        <v>189</v>
      </c>
      <c r="D35">
        <v>125</v>
      </c>
      <c r="E35">
        <v>708</v>
      </c>
      <c r="F35">
        <v>68</v>
      </c>
      <c r="G35">
        <v>162</v>
      </c>
      <c r="H35">
        <v>90</v>
      </c>
      <c r="I35">
        <v>173</v>
      </c>
      <c r="J35">
        <v>381</v>
      </c>
      <c r="K35">
        <v>304</v>
      </c>
    </row>
    <row r="36" spans="1:11" x14ac:dyDescent="0.4">
      <c r="A36">
        <v>2032</v>
      </c>
      <c r="B36" t="s">
        <v>5</v>
      </c>
      <c r="C36">
        <v>189</v>
      </c>
      <c r="D36">
        <v>125</v>
      </c>
      <c r="E36">
        <v>708</v>
      </c>
      <c r="F36">
        <v>68</v>
      </c>
      <c r="G36">
        <v>162</v>
      </c>
      <c r="H36">
        <v>90</v>
      </c>
      <c r="I36">
        <v>173</v>
      </c>
      <c r="J36">
        <v>381</v>
      </c>
      <c r="K36">
        <v>304</v>
      </c>
    </row>
    <row r="37" spans="1:11" x14ac:dyDescent="0.4">
      <c r="A37">
        <v>2033</v>
      </c>
      <c r="B37" t="s">
        <v>5</v>
      </c>
      <c r="C37">
        <v>189</v>
      </c>
      <c r="D37">
        <v>125</v>
      </c>
      <c r="E37">
        <v>708</v>
      </c>
      <c r="F37">
        <v>68</v>
      </c>
      <c r="G37">
        <v>162</v>
      </c>
      <c r="H37">
        <v>90</v>
      </c>
      <c r="I37">
        <v>173</v>
      </c>
      <c r="J37">
        <v>381</v>
      </c>
      <c r="K37">
        <v>304</v>
      </c>
    </row>
    <row r="38" spans="1:11" x14ac:dyDescent="0.4">
      <c r="A38">
        <v>2034</v>
      </c>
      <c r="B38" t="s">
        <v>5</v>
      </c>
      <c r="C38">
        <v>189</v>
      </c>
      <c r="D38">
        <v>125</v>
      </c>
      <c r="E38">
        <v>708</v>
      </c>
      <c r="F38">
        <v>68</v>
      </c>
      <c r="G38">
        <v>162</v>
      </c>
      <c r="H38">
        <v>90</v>
      </c>
      <c r="I38">
        <v>173</v>
      </c>
      <c r="J38">
        <v>381</v>
      </c>
      <c r="K38">
        <v>304</v>
      </c>
    </row>
    <row r="40" spans="1:11" x14ac:dyDescent="0.4">
      <c r="A40" t="s">
        <v>41</v>
      </c>
      <c r="B40" t="s">
        <v>40</v>
      </c>
      <c r="C40" t="s">
        <v>32</v>
      </c>
    </row>
    <row r="42" spans="1:11" x14ac:dyDescent="0.4">
      <c r="A42" t="s">
        <v>22</v>
      </c>
      <c r="B42" t="s">
        <v>39</v>
      </c>
      <c r="C42" t="s">
        <v>38</v>
      </c>
      <c r="D42" t="s">
        <v>88</v>
      </c>
    </row>
    <row r="44" spans="1:11" x14ac:dyDescent="0.4">
      <c r="A44">
        <v>2021</v>
      </c>
      <c r="B44">
        <v>0.11990000000000001</v>
      </c>
      <c r="C44">
        <v>0.84030000000000005</v>
      </c>
      <c r="D44">
        <v>3.9800000000000002E-2</v>
      </c>
    </row>
    <row r="45" spans="1:11" x14ac:dyDescent="0.4">
      <c r="A45">
        <v>2022</v>
      </c>
      <c r="B45">
        <v>0.1198</v>
      </c>
      <c r="C45">
        <v>0.84079999999999999</v>
      </c>
      <c r="D45">
        <v>3.9399999999999998E-2</v>
      </c>
    </row>
    <row r="46" spans="1:11" x14ac:dyDescent="0.4">
      <c r="A46">
        <v>2023</v>
      </c>
      <c r="B46">
        <v>0.12130000000000001</v>
      </c>
      <c r="C46">
        <v>0.83899999999999997</v>
      </c>
      <c r="D46">
        <v>3.9699999999999999E-2</v>
      </c>
    </row>
    <row r="47" spans="1:11" x14ac:dyDescent="0.4">
      <c r="A47">
        <v>2024</v>
      </c>
      <c r="B47">
        <v>0.11890000000000001</v>
      </c>
      <c r="C47">
        <v>0.84160000000000001</v>
      </c>
      <c r="D47">
        <v>3.95E-2</v>
      </c>
    </row>
    <row r="48" spans="1:11" x14ac:dyDescent="0.4">
      <c r="A48">
        <v>2025</v>
      </c>
      <c r="B48">
        <v>0.1225</v>
      </c>
      <c r="C48">
        <v>0.83730000000000004</v>
      </c>
      <c r="D48">
        <v>4.02E-2</v>
      </c>
    </row>
    <row r="49" spans="1:4" x14ac:dyDescent="0.4">
      <c r="A49">
        <v>2026</v>
      </c>
      <c r="B49">
        <v>0.1183</v>
      </c>
      <c r="C49">
        <v>0.8427</v>
      </c>
      <c r="D49">
        <v>3.9E-2</v>
      </c>
    </row>
    <row r="50" spans="1:4" x14ac:dyDescent="0.4">
      <c r="A50">
        <v>2027</v>
      </c>
      <c r="B50">
        <v>0.1197</v>
      </c>
      <c r="C50">
        <v>0.8397</v>
      </c>
      <c r="D50">
        <v>4.0599999999999997E-2</v>
      </c>
    </row>
    <row r="51" spans="1:4" x14ac:dyDescent="0.4">
      <c r="A51">
        <v>2028</v>
      </c>
      <c r="B51">
        <v>0.11899999999999999</v>
      </c>
      <c r="C51">
        <v>0.84160000000000001</v>
      </c>
      <c r="D51">
        <v>3.95E-2</v>
      </c>
    </row>
    <row r="52" spans="1:4" x14ac:dyDescent="0.4">
      <c r="A52">
        <v>2029</v>
      </c>
      <c r="B52">
        <v>0.11990000000000001</v>
      </c>
      <c r="C52">
        <v>0.84009999999999996</v>
      </c>
      <c r="D52">
        <v>3.9899999999999998E-2</v>
      </c>
    </row>
    <row r="53" spans="1:4" x14ac:dyDescent="0.4">
      <c r="A53">
        <v>2030</v>
      </c>
      <c r="B53">
        <v>0.11940000000000001</v>
      </c>
      <c r="C53">
        <v>0.8407</v>
      </c>
      <c r="D53">
        <v>3.9899999999999998E-2</v>
      </c>
    </row>
    <row r="54" spans="1:4" x14ac:dyDescent="0.4">
      <c r="A54">
        <v>2031</v>
      </c>
      <c r="B54">
        <v>0.12</v>
      </c>
      <c r="C54">
        <v>0.83919999999999995</v>
      </c>
      <c r="D54">
        <v>4.0800000000000003E-2</v>
      </c>
    </row>
    <row r="55" spans="1:4" x14ac:dyDescent="0.4">
      <c r="A55">
        <v>2032</v>
      </c>
      <c r="B55">
        <v>0.1191</v>
      </c>
      <c r="C55">
        <v>0.84060000000000001</v>
      </c>
      <c r="D55">
        <v>4.0300000000000002E-2</v>
      </c>
    </row>
    <row r="56" spans="1:4" x14ac:dyDescent="0.4">
      <c r="A56">
        <v>2033</v>
      </c>
      <c r="B56">
        <v>0.1191</v>
      </c>
      <c r="C56">
        <v>0.84030000000000005</v>
      </c>
      <c r="D56">
        <v>4.0599999999999997E-2</v>
      </c>
    </row>
    <row r="57" spans="1:4" x14ac:dyDescent="0.4">
      <c r="A57">
        <v>2034</v>
      </c>
      <c r="B57">
        <v>0.11940000000000001</v>
      </c>
      <c r="C57">
        <v>0.84030000000000005</v>
      </c>
      <c r="D57">
        <v>4.0300000000000002E-2</v>
      </c>
    </row>
    <row r="59" spans="1:4" x14ac:dyDescent="0.4">
      <c r="A59" t="s">
        <v>11</v>
      </c>
      <c r="B59">
        <v>1000</v>
      </c>
      <c r="C59" t="s">
        <v>30</v>
      </c>
    </row>
    <row r="61" spans="1:4" x14ac:dyDescent="0.4">
      <c r="A61" t="s">
        <v>22</v>
      </c>
      <c r="B61" t="s">
        <v>37</v>
      </c>
      <c r="C61" t="s">
        <v>34</v>
      </c>
      <c r="D61" t="s">
        <v>33</v>
      </c>
    </row>
    <row r="62" spans="1:4" x14ac:dyDescent="0.4">
      <c r="A62">
        <v>2021</v>
      </c>
      <c r="B62">
        <v>173.3092</v>
      </c>
      <c r="C62">
        <v>80.350800000000007</v>
      </c>
    </row>
    <row r="63" spans="1:4" x14ac:dyDescent="0.4">
      <c r="A63">
        <v>2022</v>
      </c>
      <c r="B63">
        <v>174.40979999999999</v>
      </c>
      <c r="C63">
        <v>82.947100000000006</v>
      </c>
    </row>
    <row r="64" spans="1:4" x14ac:dyDescent="0.4">
      <c r="A64">
        <v>2023</v>
      </c>
      <c r="B64">
        <v>174.5386</v>
      </c>
      <c r="C64">
        <v>84.498000000000005</v>
      </c>
    </row>
    <row r="65" spans="1:11" x14ac:dyDescent="0.4">
      <c r="A65">
        <v>2024</v>
      </c>
      <c r="B65">
        <v>174.82409999999999</v>
      </c>
      <c r="C65">
        <v>83.752399999999994</v>
      </c>
    </row>
    <row r="66" spans="1:11" x14ac:dyDescent="0.4">
      <c r="A66">
        <v>2025</v>
      </c>
      <c r="B66">
        <v>174.16560000000001</v>
      </c>
      <c r="C66">
        <v>83.522099999999995</v>
      </c>
    </row>
    <row r="67" spans="1:11" x14ac:dyDescent="0.4">
      <c r="A67">
        <v>2026</v>
      </c>
      <c r="B67">
        <v>174.37139999999999</v>
      </c>
      <c r="C67">
        <v>82.781599999999997</v>
      </c>
    </row>
    <row r="68" spans="1:11" x14ac:dyDescent="0.4">
      <c r="A68">
        <v>2027</v>
      </c>
      <c r="B68">
        <v>174.17160000000001</v>
      </c>
      <c r="C68">
        <v>82.432100000000005</v>
      </c>
    </row>
    <row r="69" spans="1:11" x14ac:dyDescent="0.4">
      <c r="A69">
        <v>2028</v>
      </c>
      <c r="B69">
        <v>174.08920000000001</v>
      </c>
      <c r="C69">
        <v>83.063500000000005</v>
      </c>
    </row>
    <row r="70" spans="1:11" x14ac:dyDescent="0.4">
      <c r="A70">
        <v>2029</v>
      </c>
      <c r="B70">
        <v>173.82900000000001</v>
      </c>
      <c r="C70">
        <v>83.078500000000005</v>
      </c>
    </row>
    <row r="71" spans="1:11" x14ac:dyDescent="0.4">
      <c r="A71">
        <v>2030</v>
      </c>
      <c r="B71">
        <v>174.18899999999999</v>
      </c>
      <c r="C71">
        <v>82.755200000000002</v>
      </c>
    </row>
    <row r="72" spans="1:11" x14ac:dyDescent="0.4">
      <c r="A72">
        <v>2031</v>
      </c>
      <c r="B72">
        <v>173.876</v>
      </c>
      <c r="C72">
        <v>82.872399999999999</v>
      </c>
    </row>
    <row r="73" spans="1:11" x14ac:dyDescent="0.4">
      <c r="A73">
        <v>2032</v>
      </c>
      <c r="B73">
        <v>174.31569999999999</v>
      </c>
      <c r="C73">
        <v>83.1477</v>
      </c>
    </row>
    <row r="74" spans="1:11" x14ac:dyDescent="0.4">
      <c r="A74">
        <v>2033</v>
      </c>
      <c r="B74">
        <v>174.00299999999999</v>
      </c>
      <c r="C74">
        <v>83.080100000000002</v>
      </c>
    </row>
    <row r="75" spans="1:11" x14ac:dyDescent="0.4">
      <c r="A75">
        <v>2034</v>
      </c>
      <c r="B75">
        <v>173.50800000000001</v>
      </c>
      <c r="C75">
        <v>82.3322</v>
      </c>
    </row>
    <row r="77" spans="1:11" x14ac:dyDescent="0.4">
      <c r="A77" t="s">
        <v>11</v>
      </c>
      <c r="B77" t="s">
        <v>32</v>
      </c>
    </row>
    <row r="79" spans="1:11" x14ac:dyDescent="0.4">
      <c r="A79" t="s">
        <v>22</v>
      </c>
      <c r="B79" t="s">
        <v>37</v>
      </c>
      <c r="C79" s="2">
        <v>0.01</v>
      </c>
      <c r="D79" s="2">
        <v>0.05</v>
      </c>
      <c r="E79" s="2">
        <v>0.1</v>
      </c>
      <c r="F79" s="2">
        <v>0.25</v>
      </c>
      <c r="G79" s="2">
        <v>0.5</v>
      </c>
      <c r="H79" s="2">
        <v>0.75</v>
      </c>
      <c r="I79" s="2">
        <v>0.9</v>
      </c>
      <c r="J79" s="2">
        <v>0.95</v>
      </c>
      <c r="K79" s="2">
        <v>0.99</v>
      </c>
    </row>
    <row r="80" spans="1:11" x14ac:dyDescent="0.4">
      <c r="A80">
        <v>2021</v>
      </c>
      <c r="B80">
        <v>68.625500000000002</v>
      </c>
      <c r="C80">
        <v>70.597399999999993</v>
      </c>
      <c r="D80">
        <v>79.130899999999997</v>
      </c>
      <c r="E80">
        <v>104.7516</v>
      </c>
      <c r="F80">
        <v>168.54839999999999</v>
      </c>
      <c r="G80">
        <v>236.24850000000001</v>
      </c>
      <c r="H80">
        <v>278.2079</v>
      </c>
      <c r="I80">
        <v>305.68669999999997</v>
      </c>
      <c r="J80">
        <v>325.32900000000001</v>
      </c>
    </row>
    <row r="81" spans="1:10" x14ac:dyDescent="0.4">
      <c r="A81">
        <v>2022</v>
      </c>
      <c r="B81">
        <v>68.652199999999993</v>
      </c>
      <c r="C81">
        <v>70.710599999999999</v>
      </c>
      <c r="D81">
        <v>79.007400000000004</v>
      </c>
      <c r="E81">
        <v>104.7086</v>
      </c>
      <c r="F81">
        <v>168.64400000000001</v>
      </c>
      <c r="G81">
        <v>237.34880000000001</v>
      </c>
      <c r="H81">
        <v>280.40120000000002</v>
      </c>
      <c r="I81">
        <v>307.08789999999999</v>
      </c>
      <c r="J81">
        <v>334.78089999999997</v>
      </c>
    </row>
    <row r="82" spans="1:10" x14ac:dyDescent="0.4">
      <c r="A82">
        <v>2023</v>
      </c>
      <c r="B82">
        <v>68.671000000000006</v>
      </c>
      <c r="C82">
        <v>70.550899999999999</v>
      </c>
      <c r="D82">
        <v>79.015000000000001</v>
      </c>
      <c r="E82">
        <v>104.67829999999999</v>
      </c>
      <c r="F82">
        <v>168.613</v>
      </c>
      <c r="G82">
        <v>236.90280000000001</v>
      </c>
      <c r="H82">
        <v>280.26029999999997</v>
      </c>
      <c r="I82">
        <v>307.48469999999998</v>
      </c>
      <c r="J82">
        <v>350.32069999999999</v>
      </c>
    </row>
    <row r="83" spans="1:10" x14ac:dyDescent="0.4">
      <c r="A83">
        <v>2024</v>
      </c>
      <c r="B83">
        <v>68.661799999999999</v>
      </c>
      <c r="C83">
        <v>70.7881</v>
      </c>
      <c r="D83">
        <v>79.104200000000006</v>
      </c>
      <c r="E83">
        <v>105.06399999999999</v>
      </c>
      <c r="F83">
        <v>168.631</v>
      </c>
      <c r="G83">
        <v>237.33680000000001</v>
      </c>
      <c r="H83">
        <v>281.30369999999999</v>
      </c>
      <c r="I83">
        <v>307.51990000000001</v>
      </c>
      <c r="J83">
        <v>357.50380000000001</v>
      </c>
    </row>
    <row r="84" spans="1:10" x14ac:dyDescent="0.4">
      <c r="A84">
        <v>2025</v>
      </c>
      <c r="B84">
        <v>68.661900000000003</v>
      </c>
      <c r="C84">
        <v>70.544799999999995</v>
      </c>
      <c r="D84">
        <v>78.931899999999999</v>
      </c>
      <c r="E84">
        <v>104.7484</v>
      </c>
      <c r="F84">
        <v>168.53120000000001</v>
      </c>
      <c r="G84">
        <v>236.76779999999999</v>
      </c>
      <c r="H84">
        <v>279.64359999999999</v>
      </c>
      <c r="I84">
        <v>306.91230000000002</v>
      </c>
      <c r="J84">
        <v>351.31369999999998</v>
      </c>
    </row>
    <row r="85" spans="1:10" x14ac:dyDescent="0.4">
      <c r="A85">
        <v>2026</v>
      </c>
      <c r="B85">
        <v>68.663300000000007</v>
      </c>
      <c r="C85">
        <v>70.835499999999996</v>
      </c>
      <c r="D85">
        <v>79.017700000000005</v>
      </c>
      <c r="E85">
        <v>104.8682</v>
      </c>
      <c r="F85">
        <v>168.58150000000001</v>
      </c>
      <c r="G85">
        <v>237.38919999999999</v>
      </c>
      <c r="H85">
        <v>280.54259999999999</v>
      </c>
      <c r="I85">
        <v>307.16180000000003</v>
      </c>
      <c r="J85">
        <v>338.14550000000003</v>
      </c>
    </row>
    <row r="86" spans="1:10" x14ac:dyDescent="0.4">
      <c r="A86">
        <v>2027</v>
      </c>
      <c r="B86">
        <v>68.668400000000005</v>
      </c>
      <c r="C86">
        <v>70.8262</v>
      </c>
      <c r="D86">
        <v>79.016900000000007</v>
      </c>
      <c r="E86">
        <v>105.01819999999999</v>
      </c>
      <c r="F86">
        <v>168.59829999999999</v>
      </c>
      <c r="G86">
        <v>237.08860000000001</v>
      </c>
      <c r="H86">
        <v>279.83850000000001</v>
      </c>
      <c r="I86">
        <v>307.02620000000002</v>
      </c>
      <c r="J86">
        <v>333.70030000000003</v>
      </c>
    </row>
    <row r="87" spans="1:10" x14ac:dyDescent="0.4">
      <c r="A87">
        <v>2028</v>
      </c>
      <c r="B87">
        <v>68.658500000000004</v>
      </c>
      <c r="C87">
        <v>70.7684</v>
      </c>
      <c r="D87">
        <v>79.092600000000004</v>
      </c>
      <c r="E87">
        <v>104.2825</v>
      </c>
      <c r="F87">
        <v>168.52629999999999</v>
      </c>
      <c r="G87">
        <v>237.17850000000001</v>
      </c>
      <c r="H87">
        <v>280.99829999999997</v>
      </c>
      <c r="I87">
        <v>307.55419999999998</v>
      </c>
      <c r="J87">
        <v>326.28429999999997</v>
      </c>
    </row>
    <row r="88" spans="1:10" x14ac:dyDescent="0.4">
      <c r="A88">
        <v>2029</v>
      </c>
      <c r="B88">
        <v>68.659800000000004</v>
      </c>
      <c r="C88">
        <v>70.732200000000006</v>
      </c>
      <c r="D88">
        <v>78.971800000000002</v>
      </c>
      <c r="E88">
        <v>104.381</v>
      </c>
      <c r="F88">
        <v>168.49799999999999</v>
      </c>
      <c r="G88">
        <v>236.7998</v>
      </c>
      <c r="H88">
        <v>279.5505</v>
      </c>
      <c r="I88">
        <v>306.78930000000003</v>
      </c>
      <c r="J88">
        <v>332.0204</v>
      </c>
    </row>
    <row r="89" spans="1:10" x14ac:dyDescent="0.4">
      <c r="A89">
        <v>2030</v>
      </c>
      <c r="B89">
        <v>68.63</v>
      </c>
      <c r="C89">
        <v>70.5946</v>
      </c>
      <c r="D89">
        <v>79.066199999999995</v>
      </c>
      <c r="E89">
        <v>104.9687</v>
      </c>
      <c r="F89">
        <v>168.56780000000001</v>
      </c>
      <c r="G89">
        <v>236.97280000000001</v>
      </c>
      <c r="H89">
        <v>280.0369</v>
      </c>
      <c r="I89">
        <v>306.65120000000002</v>
      </c>
      <c r="J89">
        <v>336.33409999999998</v>
      </c>
    </row>
    <row r="90" spans="1:10" x14ac:dyDescent="0.4">
      <c r="A90">
        <v>2031</v>
      </c>
      <c r="B90">
        <v>68.658799999999999</v>
      </c>
      <c r="C90">
        <v>70.774000000000001</v>
      </c>
      <c r="D90">
        <v>78.985799999999998</v>
      </c>
      <c r="E90">
        <v>104.56740000000001</v>
      </c>
      <c r="F90">
        <v>168.55600000000001</v>
      </c>
      <c r="G90">
        <v>236.8357</v>
      </c>
      <c r="H90">
        <v>278.9325</v>
      </c>
      <c r="I90">
        <v>306.1585</v>
      </c>
      <c r="J90">
        <v>333.82310000000001</v>
      </c>
    </row>
    <row r="91" spans="1:10" x14ac:dyDescent="0.4">
      <c r="A91">
        <v>2032</v>
      </c>
      <c r="B91">
        <v>68.659000000000006</v>
      </c>
      <c r="C91">
        <v>70.766900000000007</v>
      </c>
      <c r="D91">
        <v>79.235900000000001</v>
      </c>
      <c r="E91">
        <v>105.2966</v>
      </c>
      <c r="F91">
        <v>168.55080000000001</v>
      </c>
      <c r="G91">
        <v>236.62719999999999</v>
      </c>
      <c r="H91">
        <v>279.93970000000002</v>
      </c>
      <c r="I91">
        <v>306.70139999999998</v>
      </c>
      <c r="J91">
        <v>335.21890000000002</v>
      </c>
    </row>
    <row r="92" spans="1:10" x14ac:dyDescent="0.4">
      <c r="A92">
        <v>2033</v>
      </c>
      <c r="B92">
        <v>68.625</v>
      </c>
      <c r="C92">
        <v>70.495599999999996</v>
      </c>
      <c r="D92">
        <v>78.956999999999994</v>
      </c>
      <c r="E92">
        <v>105.0198</v>
      </c>
      <c r="F92">
        <v>168.53380000000001</v>
      </c>
      <c r="G92">
        <v>236.53620000000001</v>
      </c>
      <c r="H92">
        <v>280.37079999999997</v>
      </c>
      <c r="I92">
        <v>307.18599999999998</v>
      </c>
      <c r="J92">
        <v>340.94589999999999</v>
      </c>
    </row>
    <row r="93" spans="1:10" x14ac:dyDescent="0.4">
      <c r="A93">
        <v>2034</v>
      </c>
      <c r="B93">
        <v>68.646100000000004</v>
      </c>
      <c r="C93">
        <v>70.659899999999993</v>
      </c>
      <c r="D93">
        <v>78.935400000000001</v>
      </c>
      <c r="E93">
        <v>104.70350000000001</v>
      </c>
      <c r="F93">
        <v>168.4282</v>
      </c>
      <c r="G93">
        <v>236.10489999999999</v>
      </c>
      <c r="H93">
        <v>279.07049999999998</v>
      </c>
      <c r="I93">
        <v>306.05489999999998</v>
      </c>
      <c r="J93">
        <v>329.52969999999999</v>
      </c>
    </row>
    <row r="95" spans="1:10" x14ac:dyDescent="0.4">
      <c r="A95" t="s">
        <v>10</v>
      </c>
      <c r="B95" t="s">
        <v>3</v>
      </c>
      <c r="C95" t="s">
        <v>6</v>
      </c>
      <c r="D95" t="s">
        <v>36</v>
      </c>
      <c r="E95">
        <v>1000</v>
      </c>
      <c r="F95" t="s">
        <v>35</v>
      </c>
    </row>
    <row r="97" spans="1:3" x14ac:dyDescent="0.4">
      <c r="A97" t="s">
        <v>22</v>
      </c>
      <c r="B97" t="s">
        <v>34</v>
      </c>
      <c r="C97" t="s">
        <v>33</v>
      </c>
    </row>
    <row r="98" spans="1:3" x14ac:dyDescent="0.4">
      <c r="A98">
        <v>2021</v>
      </c>
      <c r="B98">
        <v>2.7364999999999999</v>
      </c>
      <c r="C98">
        <v>0.62680000000000002</v>
      </c>
    </row>
    <row r="99" spans="1:3" x14ac:dyDescent="0.4">
      <c r="A99">
        <v>2022</v>
      </c>
      <c r="B99">
        <v>4.0560999999999998</v>
      </c>
      <c r="C99">
        <v>0.86270000000000002</v>
      </c>
    </row>
    <row r="100" spans="1:3" x14ac:dyDescent="0.4">
      <c r="A100">
        <v>2023</v>
      </c>
      <c r="B100">
        <v>5.6532</v>
      </c>
      <c r="C100">
        <v>1.4194</v>
      </c>
    </row>
    <row r="101" spans="1:3" x14ac:dyDescent="0.4">
      <c r="A101">
        <v>2024</v>
      </c>
      <c r="B101">
        <v>5.8733000000000004</v>
      </c>
      <c r="C101">
        <v>1.7166999999999999</v>
      </c>
    </row>
    <row r="102" spans="1:3" x14ac:dyDescent="0.4">
      <c r="A102">
        <v>2025</v>
      </c>
      <c r="B102">
        <v>5.2275</v>
      </c>
      <c r="C102">
        <v>1.8917999999999999</v>
      </c>
    </row>
    <row r="103" spans="1:3" x14ac:dyDescent="0.4">
      <c r="A103">
        <v>2026</v>
      </c>
      <c r="B103">
        <v>4.6349</v>
      </c>
      <c r="C103">
        <v>1.978</v>
      </c>
    </row>
    <row r="104" spans="1:3" x14ac:dyDescent="0.4">
      <c r="A104">
        <v>2027</v>
      </c>
      <c r="B104">
        <v>4.4301000000000004</v>
      </c>
      <c r="C104">
        <v>2.0363000000000002</v>
      </c>
    </row>
    <row r="105" spans="1:3" x14ac:dyDescent="0.4">
      <c r="A105">
        <v>2028</v>
      </c>
      <c r="B105">
        <v>4.3883999999999999</v>
      </c>
      <c r="C105">
        <v>2.0729000000000002</v>
      </c>
    </row>
    <row r="106" spans="1:3" x14ac:dyDescent="0.4">
      <c r="A106">
        <v>2029</v>
      </c>
      <c r="B106">
        <v>4.4191000000000003</v>
      </c>
      <c r="C106">
        <v>2.0998000000000001</v>
      </c>
    </row>
    <row r="107" spans="1:3" x14ac:dyDescent="0.4">
      <c r="A107">
        <v>2030</v>
      </c>
      <c r="B107">
        <v>4.4344999999999999</v>
      </c>
      <c r="C107">
        <v>2.1194000000000002</v>
      </c>
    </row>
    <row r="108" spans="1:3" x14ac:dyDescent="0.4">
      <c r="A108">
        <v>2031</v>
      </c>
      <c r="B108">
        <v>4.4429999999999996</v>
      </c>
      <c r="C108">
        <v>2.1335999999999999</v>
      </c>
    </row>
    <row r="109" spans="1:3" x14ac:dyDescent="0.4">
      <c r="A109">
        <v>2032</v>
      </c>
      <c r="B109">
        <v>4.4481000000000002</v>
      </c>
      <c r="C109">
        <v>2.1457999999999999</v>
      </c>
    </row>
    <row r="110" spans="1:3" x14ac:dyDescent="0.4">
      <c r="A110">
        <v>2033</v>
      </c>
      <c r="B110">
        <v>4.4539</v>
      </c>
      <c r="C110">
        <v>2.1509999999999998</v>
      </c>
    </row>
    <row r="111" spans="1:3" x14ac:dyDescent="0.4">
      <c r="A111">
        <v>2034</v>
      </c>
      <c r="B111">
        <v>4.4569000000000001</v>
      </c>
      <c r="C111">
        <v>2.1516999999999999</v>
      </c>
    </row>
    <row r="113" spans="1:20" x14ac:dyDescent="0.4">
      <c r="A113" t="s">
        <v>10</v>
      </c>
      <c r="B113" t="s">
        <v>3</v>
      </c>
      <c r="C113" t="s">
        <v>6</v>
      </c>
      <c r="D113" t="s">
        <v>32</v>
      </c>
    </row>
    <row r="115" spans="1:20" x14ac:dyDescent="0.4">
      <c r="A115" t="s">
        <v>22</v>
      </c>
      <c r="B115" s="2">
        <v>0.01</v>
      </c>
      <c r="C115" s="2">
        <v>0.05</v>
      </c>
      <c r="D115" s="2">
        <v>0.1</v>
      </c>
      <c r="E115" s="2">
        <v>0.25</v>
      </c>
      <c r="F115" s="2">
        <v>0.5</v>
      </c>
      <c r="G115" s="2">
        <v>0.75</v>
      </c>
      <c r="H115" s="2">
        <v>0.9</v>
      </c>
      <c r="I115" s="2">
        <v>0.95</v>
      </c>
      <c r="J115" s="2">
        <v>0.99</v>
      </c>
      <c r="L115" s="2">
        <v>0.01</v>
      </c>
      <c r="M115" s="2">
        <v>0.05</v>
      </c>
      <c r="N115" s="2">
        <v>0.1</v>
      </c>
      <c r="O115" s="2">
        <v>0.25</v>
      </c>
      <c r="P115" s="2">
        <v>0.5</v>
      </c>
      <c r="Q115" s="2">
        <v>0.75</v>
      </c>
      <c r="R115" s="2">
        <v>0.9</v>
      </c>
      <c r="S115" s="2">
        <v>0.95</v>
      </c>
      <c r="T115" s="2">
        <v>0.99</v>
      </c>
    </row>
    <row r="116" spans="1:20" x14ac:dyDescent="0.4">
      <c r="A116">
        <v>2021</v>
      </c>
      <c r="B116">
        <v>1.6043000000000001</v>
      </c>
      <c r="C116">
        <v>1.9804999999999999</v>
      </c>
      <c r="D116">
        <v>2.1175999999999999</v>
      </c>
      <c r="E116">
        <v>2.3331</v>
      </c>
      <c r="F116">
        <v>2.6396000000000002</v>
      </c>
      <c r="G116">
        <v>3.0253999999999999</v>
      </c>
      <c r="H116">
        <v>3.4241000000000001</v>
      </c>
      <c r="I116">
        <v>3.7320000000000002</v>
      </c>
      <c r="J116">
        <v>5.3769</v>
      </c>
      <c r="L116">
        <f>B116*1000</f>
        <v>1604.3</v>
      </c>
      <c r="M116">
        <f t="shared" ref="M116:T129" si="0">C116*1000</f>
        <v>1980.5</v>
      </c>
      <c r="N116">
        <f t="shared" si="0"/>
        <v>2117.6</v>
      </c>
      <c r="O116">
        <f t="shared" si="0"/>
        <v>2333.1</v>
      </c>
      <c r="P116">
        <f t="shared" si="0"/>
        <v>2639.6000000000004</v>
      </c>
      <c r="Q116">
        <f t="shared" si="0"/>
        <v>3025.4</v>
      </c>
      <c r="R116">
        <f t="shared" si="0"/>
        <v>3424.1000000000004</v>
      </c>
      <c r="S116">
        <f t="shared" si="0"/>
        <v>3732</v>
      </c>
      <c r="T116">
        <f t="shared" si="0"/>
        <v>5376.9</v>
      </c>
    </row>
    <row r="117" spans="1:20" x14ac:dyDescent="0.4">
      <c r="A117">
        <v>2022</v>
      </c>
      <c r="B117">
        <v>2.3041999999999998</v>
      </c>
      <c r="C117">
        <v>2.8142</v>
      </c>
      <c r="D117">
        <v>3.0385</v>
      </c>
      <c r="E117">
        <v>3.4781</v>
      </c>
      <c r="F117">
        <v>3.9723999999999999</v>
      </c>
      <c r="G117">
        <v>4.5145999999999997</v>
      </c>
      <c r="H117">
        <v>5.2051999999999996</v>
      </c>
      <c r="I117">
        <v>5.6439000000000004</v>
      </c>
      <c r="J117">
        <v>6.6003999999999996</v>
      </c>
      <c r="L117">
        <f t="shared" ref="L117:L129" si="1">B117*1000</f>
        <v>2304.1999999999998</v>
      </c>
      <c r="M117">
        <f t="shared" si="0"/>
        <v>2814.2</v>
      </c>
      <c r="N117">
        <f t="shared" si="0"/>
        <v>3038.5</v>
      </c>
      <c r="O117">
        <f t="shared" si="0"/>
        <v>3478.1</v>
      </c>
      <c r="P117">
        <f t="shared" si="0"/>
        <v>3972.4</v>
      </c>
      <c r="Q117">
        <f t="shared" si="0"/>
        <v>4514.5999999999995</v>
      </c>
      <c r="R117">
        <f t="shared" si="0"/>
        <v>5205.2</v>
      </c>
      <c r="S117">
        <f t="shared" si="0"/>
        <v>5643.9000000000005</v>
      </c>
      <c r="T117">
        <f t="shared" si="0"/>
        <v>6600.4</v>
      </c>
    </row>
    <row r="118" spans="1:20" x14ac:dyDescent="0.4">
      <c r="A118">
        <v>2023</v>
      </c>
      <c r="B118">
        <v>3.0320999999999998</v>
      </c>
      <c r="C118">
        <v>3.5941000000000001</v>
      </c>
      <c r="D118">
        <v>3.9434</v>
      </c>
      <c r="E118">
        <v>4.6283000000000003</v>
      </c>
      <c r="F118">
        <v>5.5137</v>
      </c>
      <c r="G118">
        <v>6.4802</v>
      </c>
      <c r="H118">
        <v>7.6021000000000001</v>
      </c>
      <c r="I118">
        <v>8.2887000000000004</v>
      </c>
      <c r="J118">
        <v>9.5447000000000006</v>
      </c>
      <c r="L118">
        <f t="shared" si="1"/>
        <v>3032.1</v>
      </c>
      <c r="M118">
        <f t="shared" si="0"/>
        <v>3594.1</v>
      </c>
      <c r="N118">
        <f t="shared" si="0"/>
        <v>3943.4</v>
      </c>
      <c r="O118">
        <f t="shared" si="0"/>
        <v>4628.3</v>
      </c>
      <c r="P118">
        <f t="shared" si="0"/>
        <v>5513.7</v>
      </c>
      <c r="Q118">
        <f t="shared" si="0"/>
        <v>6480.2</v>
      </c>
      <c r="R118">
        <f t="shared" si="0"/>
        <v>7602.1</v>
      </c>
      <c r="S118">
        <f t="shared" si="0"/>
        <v>8288.7000000000007</v>
      </c>
      <c r="T118">
        <f t="shared" si="0"/>
        <v>9544.7000000000007</v>
      </c>
    </row>
    <row r="119" spans="1:20" x14ac:dyDescent="0.4">
      <c r="A119">
        <v>2024</v>
      </c>
      <c r="B119">
        <v>2.6272000000000002</v>
      </c>
      <c r="C119">
        <v>3.3498999999999999</v>
      </c>
      <c r="D119">
        <v>3.7911000000000001</v>
      </c>
      <c r="E119">
        <v>4.6448999999999998</v>
      </c>
      <c r="F119">
        <v>5.7176</v>
      </c>
      <c r="G119">
        <v>6.9390999999999998</v>
      </c>
      <c r="H119">
        <v>8.1252999999999993</v>
      </c>
      <c r="I119">
        <v>8.8946000000000005</v>
      </c>
      <c r="J119">
        <v>10.450799999999999</v>
      </c>
      <c r="L119">
        <f t="shared" si="1"/>
        <v>2627.2000000000003</v>
      </c>
      <c r="M119">
        <f t="shared" si="0"/>
        <v>3349.9</v>
      </c>
      <c r="N119">
        <f t="shared" si="0"/>
        <v>3791.1000000000004</v>
      </c>
      <c r="O119">
        <f t="shared" si="0"/>
        <v>4644.8999999999996</v>
      </c>
      <c r="P119">
        <f t="shared" si="0"/>
        <v>5717.6</v>
      </c>
      <c r="Q119">
        <f t="shared" si="0"/>
        <v>6939.0999999999995</v>
      </c>
      <c r="R119">
        <f t="shared" si="0"/>
        <v>8125.2999999999993</v>
      </c>
      <c r="S119">
        <f t="shared" si="0"/>
        <v>8894.6</v>
      </c>
      <c r="T119">
        <f t="shared" si="0"/>
        <v>10450.799999999999</v>
      </c>
    </row>
    <row r="120" spans="1:20" x14ac:dyDescent="0.4">
      <c r="A120">
        <v>2025</v>
      </c>
      <c r="B120">
        <v>1.6255999999999999</v>
      </c>
      <c r="C120">
        <v>2.4329000000000001</v>
      </c>
      <c r="D120">
        <v>2.9390999999999998</v>
      </c>
      <c r="E120">
        <v>3.8896999999999999</v>
      </c>
      <c r="F120">
        <v>5.0811999999999999</v>
      </c>
      <c r="G120">
        <v>6.3818000000000001</v>
      </c>
      <c r="H120">
        <v>7.6566999999999998</v>
      </c>
      <c r="I120">
        <v>8.4923000000000002</v>
      </c>
      <c r="J120">
        <v>10.315099999999999</v>
      </c>
      <c r="L120">
        <f t="shared" si="1"/>
        <v>1625.6</v>
      </c>
      <c r="M120">
        <f t="shared" si="0"/>
        <v>2432.9</v>
      </c>
      <c r="N120">
        <f t="shared" si="0"/>
        <v>2939.1</v>
      </c>
      <c r="O120">
        <f t="shared" si="0"/>
        <v>3889.7</v>
      </c>
      <c r="P120">
        <f t="shared" si="0"/>
        <v>5081.2</v>
      </c>
      <c r="Q120">
        <f t="shared" si="0"/>
        <v>6381.8</v>
      </c>
      <c r="R120">
        <f t="shared" si="0"/>
        <v>7656.7</v>
      </c>
      <c r="S120">
        <f t="shared" si="0"/>
        <v>8492.2999999999993</v>
      </c>
      <c r="T120">
        <f t="shared" si="0"/>
        <v>10315.099999999999</v>
      </c>
    </row>
    <row r="121" spans="1:20" x14ac:dyDescent="0.4">
      <c r="A121">
        <v>2026</v>
      </c>
      <c r="B121">
        <v>0.98280000000000001</v>
      </c>
      <c r="C121">
        <v>1.7836000000000001</v>
      </c>
      <c r="D121">
        <v>2.2803</v>
      </c>
      <c r="E121">
        <v>3.2370999999999999</v>
      </c>
      <c r="F121">
        <v>4.4600999999999997</v>
      </c>
      <c r="G121">
        <v>5.8136999999999999</v>
      </c>
      <c r="H121">
        <v>7.1474000000000002</v>
      </c>
      <c r="I121">
        <v>8.0183</v>
      </c>
      <c r="J121">
        <v>10.1229</v>
      </c>
      <c r="L121">
        <f t="shared" si="1"/>
        <v>982.8</v>
      </c>
      <c r="M121">
        <f t="shared" si="0"/>
        <v>1783.6000000000001</v>
      </c>
      <c r="N121">
        <f t="shared" si="0"/>
        <v>2280.3000000000002</v>
      </c>
      <c r="O121">
        <f t="shared" si="0"/>
        <v>3237.1</v>
      </c>
      <c r="P121">
        <f t="shared" si="0"/>
        <v>4460.0999999999995</v>
      </c>
      <c r="Q121">
        <f t="shared" si="0"/>
        <v>5813.7</v>
      </c>
      <c r="R121">
        <f t="shared" si="0"/>
        <v>7147.4000000000005</v>
      </c>
      <c r="S121">
        <f t="shared" si="0"/>
        <v>8018.3</v>
      </c>
      <c r="T121">
        <f t="shared" si="0"/>
        <v>10122.9</v>
      </c>
    </row>
    <row r="122" spans="1:20" x14ac:dyDescent="0.4">
      <c r="A122">
        <v>2027</v>
      </c>
      <c r="B122">
        <v>0.7339</v>
      </c>
      <c r="C122">
        <v>1.5197000000000001</v>
      </c>
      <c r="D122">
        <v>2.0287000000000002</v>
      </c>
      <c r="E122">
        <v>2.9912000000000001</v>
      </c>
      <c r="F122">
        <v>4.2336</v>
      </c>
      <c r="G122">
        <v>5.6220999999999997</v>
      </c>
      <c r="H122">
        <v>7.0103</v>
      </c>
      <c r="I122">
        <v>7.9306000000000001</v>
      </c>
      <c r="J122">
        <v>10.163399999999999</v>
      </c>
      <c r="L122">
        <f t="shared" si="1"/>
        <v>733.9</v>
      </c>
      <c r="M122">
        <f t="shared" si="0"/>
        <v>1519.7</v>
      </c>
      <c r="N122">
        <f t="shared" si="0"/>
        <v>2028.7000000000003</v>
      </c>
      <c r="O122">
        <f t="shared" si="0"/>
        <v>2991.2000000000003</v>
      </c>
      <c r="P122">
        <f t="shared" si="0"/>
        <v>4233.6000000000004</v>
      </c>
      <c r="Q122">
        <f t="shared" si="0"/>
        <v>5622.0999999999995</v>
      </c>
      <c r="R122">
        <f t="shared" si="0"/>
        <v>7010.3</v>
      </c>
      <c r="S122">
        <f t="shared" si="0"/>
        <v>7930.6</v>
      </c>
      <c r="T122">
        <f t="shared" si="0"/>
        <v>10163.4</v>
      </c>
    </row>
    <row r="123" spans="1:20" x14ac:dyDescent="0.4">
      <c r="A123">
        <v>2028</v>
      </c>
      <c r="B123">
        <v>0.66439999999999999</v>
      </c>
      <c r="C123">
        <v>1.4419999999999999</v>
      </c>
      <c r="D123">
        <v>1.9416</v>
      </c>
      <c r="E123">
        <v>2.9266000000000001</v>
      </c>
      <c r="F123">
        <v>4.1837999999999997</v>
      </c>
      <c r="G123">
        <v>5.5923999999999996</v>
      </c>
      <c r="H123">
        <v>7.0129999999999999</v>
      </c>
      <c r="I123">
        <v>7.9569000000000001</v>
      </c>
      <c r="J123">
        <v>10.3185</v>
      </c>
      <c r="L123">
        <f t="shared" si="1"/>
        <v>664.4</v>
      </c>
      <c r="M123">
        <f t="shared" si="0"/>
        <v>1442</v>
      </c>
      <c r="N123">
        <f t="shared" si="0"/>
        <v>1941.6</v>
      </c>
      <c r="O123">
        <f t="shared" si="0"/>
        <v>2926.6</v>
      </c>
      <c r="P123">
        <f t="shared" si="0"/>
        <v>4183.8</v>
      </c>
      <c r="Q123">
        <f t="shared" si="0"/>
        <v>5592.4</v>
      </c>
      <c r="R123">
        <f t="shared" si="0"/>
        <v>7013</v>
      </c>
      <c r="S123">
        <f t="shared" si="0"/>
        <v>7956.9</v>
      </c>
      <c r="T123">
        <f t="shared" si="0"/>
        <v>10318.5</v>
      </c>
    </row>
    <row r="124" spans="1:20" x14ac:dyDescent="0.4">
      <c r="A124">
        <v>2029</v>
      </c>
      <c r="B124">
        <v>0.65400000000000003</v>
      </c>
      <c r="C124">
        <v>1.4272</v>
      </c>
      <c r="D124">
        <v>1.9453</v>
      </c>
      <c r="E124">
        <v>2.9365000000000001</v>
      </c>
      <c r="F124">
        <v>4.2126999999999999</v>
      </c>
      <c r="G124">
        <v>5.6378000000000004</v>
      </c>
      <c r="H124">
        <v>7.0856000000000003</v>
      </c>
      <c r="I124">
        <v>8.0633999999999997</v>
      </c>
      <c r="J124">
        <v>10.386699999999999</v>
      </c>
      <c r="L124">
        <f t="shared" si="1"/>
        <v>654</v>
      </c>
      <c r="M124">
        <f t="shared" si="0"/>
        <v>1427.2</v>
      </c>
      <c r="N124">
        <f t="shared" si="0"/>
        <v>1945.3</v>
      </c>
      <c r="O124">
        <f t="shared" si="0"/>
        <v>2936.5</v>
      </c>
      <c r="P124">
        <f t="shared" si="0"/>
        <v>4212.7</v>
      </c>
      <c r="Q124">
        <f t="shared" si="0"/>
        <v>5637.8</v>
      </c>
      <c r="R124">
        <f t="shared" si="0"/>
        <v>7085.6</v>
      </c>
      <c r="S124">
        <f t="shared" si="0"/>
        <v>8063.4</v>
      </c>
      <c r="T124">
        <f t="shared" si="0"/>
        <v>10386.699999999999</v>
      </c>
    </row>
    <row r="125" spans="1:20" x14ac:dyDescent="0.4">
      <c r="A125">
        <v>2030</v>
      </c>
      <c r="B125">
        <v>0.60880000000000001</v>
      </c>
      <c r="C125">
        <v>1.4115</v>
      </c>
      <c r="D125">
        <v>1.9351</v>
      </c>
      <c r="E125">
        <v>2.9350999999999998</v>
      </c>
      <c r="F125">
        <v>4.2232000000000003</v>
      </c>
      <c r="G125">
        <v>5.6638999999999999</v>
      </c>
      <c r="H125">
        <v>7.1384999999999996</v>
      </c>
      <c r="I125">
        <v>8.0883000000000003</v>
      </c>
      <c r="J125">
        <v>10.423999999999999</v>
      </c>
      <c r="L125">
        <f t="shared" si="1"/>
        <v>608.79999999999995</v>
      </c>
      <c r="M125">
        <f t="shared" si="0"/>
        <v>1411.5</v>
      </c>
      <c r="N125">
        <f t="shared" si="0"/>
        <v>1935.1000000000001</v>
      </c>
      <c r="O125">
        <f t="shared" si="0"/>
        <v>2935.1</v>
      </c>
      <c r="P125">
        <f t="shared" si="0"/>
        <v>4223.2000000000007</v>
      </c>
      <c r="Q125">
        <f t="shared" si="0"/>
        <v>5663.9</v>
      </c>
      <c r="R125">
        <f t="shared" si="0"/>
        <v>7138.5</v>
      </c>
      <c r="S125">
        <f t="shared" si="0"/>
        <v>8088.3</v>
      </c>
      <c r="T125">
        <f t="shared" si="0"/>
        <v>10424</v>
      </c>
    </row>
    <row r="126" spans="1:20" x14ac:dyDescent="0.4">
      <c r="A126">
        <v>2031</v>
      </c>
      <c r="B126">
        <v>0.57489999999999997</v>
      </c>
      <c r="C126">
        <v>1.3964000000000001</v>
      </c>
      <c r="D126">
        <v>1.9293</v>
      </c>
      <c r="E126">
        <v>2.9373999999999998</v>
      </c>
      <c r="F126">
        <v>4.2309999999999999</v>
      </c>
      <c r="G126">
        <v>5.6833999999999998</v>
      </c>
      <c r="H126">
        <v>7.1521999999999997</v>
      </c>
      <c r="I126">
        <v>8.1283999999999992</v>
      </c>
      <c r="J126">
        <v>10.4253</v>
      </c>
      <c r="L126">
        <f t="shared" si="1"/>
        <v>574.9</v>
      </c>
      <c r="M126">
        <f t="shared" si="0"/>
        <v>1396.4</v>
      </c>
      <c r="N126">
        <f t="shared" si="0"/>
        <v>1929.3</v>
      </c>
      <c r="O126">
        <f t="shared" si="0"/>
        <v>2937.3999999999996</v>
      </c>
      <c r="P126">
        <f t="shared" si="0"/>
        <v>4231</v>
      </c>
      <c r="Q126">
        <f t="shared" si="0"/>
        <v>5683.4</v>
      </c>
      <c r="R126">
        <f t="shared" si="0"/>
        <v>7152.2</v>
      </c>
      <c r="S126">
        <f t="shared" si="0"/>
        <v>8128.4</v>
      </c>
      <c r="T126">
        <f t="shared" si="0"/>
        <v>10425.299999999999</v>
      </c>
    </row>
    <row r="127" spans="1:20" x14ac:dyDescent="0.4">
      <c r="A127">
        <v>2032</v>
      </c>
      <c r="B127">
        <v>0.57799999999999996</v>
      </c>
      <c r="C127">
        <v>1.3876999999999999</v>
      </c>
      <c r="D127">
        <v>1.9248000000000001</v>
      </c>
      <c r="E127">
        <v>2.9361999999999999</v>
      </c>
      <c r="F127">
        <v>4.2447999999999997</v>
      </c>
      <c r="G127">
        <v>5.6985000000000001</v>
      </c>
      <c r="H127">
        <v>7.1539000000000001</v>
      </c>
      <c r="I127">
        <v>8.1495999999999995</v>
      </c>
      <c r="J127">
        <v>10.5238</v>
      </c>
      <c r="L127">
        <f t="shared" si="1"/>
        <v>578</v>
      </c>
      <c r="M127">
        <f t="shared" si="0"/>
        <v>1387.7</v>
      </c>
      <c r="N127">
        <f t="shared" si="0"/>
        <v>1924.8</v>
      </c>
      <c r="O127">
        <f t="shared" si="0"/>
        <v>2936.2</v>
      </c>
      <c r="P127">
        <f t="shared" si="0"/>
        <v>4244.7999999999993</v>
      </c>
      <c r="Q127">
        <f t="shared" si="0"/>
        <v>5698.5</v>
      </c>
      <c r="R127">
        <f t="shared" si="0"/>
        <v>7153.9000000000005</v>
      </c>
      <c r="S127">
        <f t="shared" si="0"/>
        <v>8149.5999999999995</v>
      </c>
      <c r="T127">
        <f t="shared" si="0"/>
        <v>10523.8</v>
      </c>
    </row>
    <row r="128" spans="1:20" x14ac:dyDescent="0.4">
      <c r="A128">
        <v>2033</v>
      </c>
      <c r="B128">
        <v>0.58030000000000004</v>
      </c>
      <c r="C128">
        <v>1.381</v>
      </c>
      <c r="D128">
        <v>1.9173</v>
      </c>
      <c r="E128">
        <v>2.9363000000000001</v>
      </c>
      <c r="F128">
        <v>4.2484000000000002</v>
      </c>
      <c r="G128">
        <v>5.7011000000000003</v>
      </c>
      <c r="H128">
        <v>7.1698000000000004</v>
      </c>
      <c r="I128">
        <v>8.1757000000000009</v>
      </c>
      <c r="J128">
        <v>10.494199999999999</v>
      </c>
      <c r="L128">
        <f t="shared" si="1"/>
        <v>580.30000000000007</v>
      </c>
      <c r="M128">
        <f t="shared" si="0"/>
        <v>1381</v>
      </c>
      <c r="N128">
        <f t="shared" si="0"/>
        <v>1917.3</v>
      </c>
      <c r="O128">
        <f t="shared" si="0"/>
        <v>2936.3</v>
      </c>
      <c r="P128">
        <f t="shared" si="0"/>
        <v>4248.4000000000005</v>
      </c>
      <c r="Q128">
        <f t="shared" si="0"/>
        <v>5701.1</v>
      </c>
      <c r="R128">
        <f t="shared" si="0"/>
        <v>7169.8</v>
      </c>
      <c r="S128">
        <f t="shared" si="0"/>
        <v>8175.7000000000007</v>
      </c>
      <c r="T128">
        <f t="shared" si="0"/>
        <v>10494.199999999999</v>
      </c>
    </row>
    <row r="129" spans="1:20" x14ac:dyDescent="0.4">
      <c r="A129">
        <v>2034</v>
      </c>
      <c r="B129">
        <v>0.56410000000000005</v>
      </c>
      <c r="C129">
        <v>1.3728</v>
      </c>
      <c r="D129">
        <v>1.9123000000000001</v>
      </c>
      <c r="E129">
        <v>2.94</v>
      </c>
      <c r="F129">
        <v>4.2492999999999999</v>
      </c>
      <c r="G129">
        <v>5.7141000000000002</v>
      </c>
      <c r="H129">
        <v>7.1798999999999999</v>
      </c>
      <c r="I129">
        <v>8.1651000000000007</v>
      </c>
      <c r="J129">
        <v>10.513</v>
      </c>
      <c r="L129">
        <f t="shared" si="1"/>
        <v>564.1</v>
      </c>
      <c r="M129">
        <f t="shared" si="0"/>
        <v>1372.8</v>
      </c>
      <c r="N129">
        <f t="shared" si="0"/>
        <v>1912.3000000000002</v>
      </c>
      <c r="O129">
        <f t="shared" si="0"/>
        <v>2940</v>
      </c>
      <c r="P129">
        <f t="shared" si="0"/>
        <v>4249.3</v>
      </c>
      <c r="Q129">
        <f t="shared" si="0"/>
        <v>5714.1</v>
      </c>
      <c r="R129">
        <f t="shared" si="0"/>
        <v>7179.9</v>
      </c>
      <c r="S129">
        <f t="shared" si="0"/>
        <v>8165.1</v>
      </c>
      <c r="T129">
        <f t="shared" si="0"/>
        <v>10513</v>
      </c>
    </row>
    <row r="131" spans="1:20" x14ac:dyDescent="0.4">
      <c r="A131" s="1">
        <v>45658</v>
      </c>
      <c r="B131" t="s">
        <v>3</v>
      </c>
      <c r="C131" t="s">
        <v>6</v>
      </c>
      <c r="D131" t="s">
        <v>36</v>
      </c>
      <c r="E131">
        <v>1000</v>
      </c>
      <c r="F131" t="s">
        <v>35</v>
      </c>
    </row>
    <row r="133" spans="1:20" x14ac:dyDescent="0.4">
      <c r="A133" t="s">
        <v>22</v>
      </c>
      <c r="B133" t="s">
        <v>34</v>
      </c>
      <c r="C133" t="s">
        <v>33</v>
      </c>
    </row>
    <row r="134" spans="1:20" x14ac:dyDescent="0.4">
      <c r="A134">
        <v>2021</v>
      </c>
      <c r="B134">
        <v>9.2942</v>
      </c>
      <c r="C134">
        <v>1.5938000000000001</v>
      </c>
    </row>
    <row r="135" spans="1:20" x14ac:dyDescent="0.4">
      <c r="A135">
        <v>2022</v>
      </c>
      <c r="B135">
        <v>10.620799999999999</v>
      </c>
      <c r="C135">
        <v>2.0384000000000002</v>
      </c>
    </row>
    <row r="136" spans="1:20" x14ac:dyDescent="0.4">
      <c r="A136">
        <v>2023</v>
      </c>
      <c r="B136">
        <v>11.5509</v>
      </c>
      <c r="C136">
        <v>2.4036</v>
      </c>
    </row>
    <row r="137" spans="1:20" x14ac:dyDescent="0.4">
      <c r="A137">
        <v>2024</v>
      </c>
      <c r="B137">
        <v>11.989000000000001</v>
      </c>
      <c r="C137">
        <v>2.6688999999999998</v>
      </c>
    </row>
    <row r="138" spans="1:20" x14ac:dyDescent="0.4">
      <c r="A138">
        <v>2025</v>
      </c>
      <c r="B138">
        <v>11.789899999999999</v>
      </c>
      <c r="C138">
        <v>2.8414000000000001</v>
      </c>
    </row>
    <row r="139" spans="1:20" x14ac:dyDescent="0.4">
      <c r="A139">
        <v>2026</v>
      </c>
      <c r="B139">
        <v>10.6639</v>
      </c>
      <c r="C139">
        <v>2.9525000000000001</v>
      </c>
    </row>
    <row r="140" spans="1:20" x14ac:dyDescent="0.4">
      <c r="A140">
        <v>2027</v>
      </c>
      <c r="B140">
        <v>10.432</v>
      </c>
      <c r="C140">
        <v>3.0207000000000002</v>
      </c>
    </row>
    <row r="141" spans="1:20" x14ac:dyDescent="0.4">
      <c r="A141">
        <v>2028</v>
      </c>
      <c r="B141">
        <v>10.264200000000001</v>
      </c>
      <c r="C141">
        <v>3.0587</v>
      </c>
    </row>
    <row r="142" spans="1:20" x14ac:dyDescent="0.4">
      <c r="A142">
        <v>2029</v>
      </c>
      <c r="B142">
        <v>10.283200000000001</v>
      </c>
      <c r="C142">
        <v>3.0958999999999999</v>
      </c>
    </row>
    <row r="143" spans="1:20" x14ac:dyDescent="0.4">
      <c r="A143">
        <v>2030</v>
      </c>
      <c r="B143">
        <v>10.293100000000001</v>
      </c>
      <c r="C143">
        <v>3.1198000000000001</v>
      </c>
    </row>
    <row r="144" spans="1:20" x14ac:dyDescent="0.4">
      <c r="A144">
        <v>2031</v>
      </c>
      <c r="B144">
        <v>10.305899999999999</v>
      </c>
      <c r="C144">
        <v>3.1385000000000001</v>
      </c>
    </row>
    <row r="145" spans="1:10" x14ac:dyDescent="0.4">
      <c r="A145">
        <v>2032</v>
      </c>
      <c r="B145">
        <v>10.309900000000001</v>
      </c>
      <c r="C145">
        <v>3.1473</v>
      </c>
    </row>
    <row r="146" spans="1:10" x14ac:dyDescent="0.4">
      <c r="A146">
        <v>2033</v>
      </c>
      <c r="B146">
        <v>10.318099999999999</v>
      </c>
      <c r="C146">
        <v>3.1568000000000001</v>
      </c>
    </row>
    <row r="147" spans="1:10" x14ac:dyDescent="0.4">
      <c r="A147">
        <v>2034</v>
      </c>
      <c r="B147">
        <v>10.323</v>
      </c>
      <c r="C147">
        <v>3.1674000000000002</v>
      </c>
    </row>
    <row r="149" spans="1:10" x14ac:dyDescent="0.4">
      <c r="A149" s="1">
        <v>45658</v>
      </c>
      <c r="B149" t="s">
        <v>3</v>
      </c>
      <c r="C149" t="s">
        <v>6</v>
      </c>
      <c r="D149" t="s">
        <v>32</v>
      </c>
    </row>
    <row r="151" spans="1:10" x14ac:dyDescent="0.4">
      <c r="A151" t="s">
        <v>22</v>
      </c>
      <c r="B151" s="2">
        <v>0.01</v>
      </c>
      <c r="C151" s="2">
        <v>0.05</v>
      </c>
      <c r="D151" s="2">
        <v>0.1</v>
      </c>
      <c r="E151" s="2">
        <v>0.25</v>
      </c>
      <c r="F151" s="2">
        <v>0.5</v>
      </c>
      <c r="G151" s="2">
        <v>0.75</v>
      </c>
      <c r="H151" s="2">
        <v>0.9</v>
      </c>
      <c r="I151" s="2">
        <v>0.95</v>
      </c>
      <c r="J151" s="2">
        <v>0.99</v>
      </c>
    </row>
    <row r="152" spans="1:10" x14ac:dyDescent="0.4">
      <c r="A152">
        <v>2021</v>
      </c>
      <c r="B152">
        <v>6.3350999999999997</v>
      </c>
      <c r="C152">
        <v>6.9535999999999998</v>
      </c>
      <c r="D152">
        <v>7.3707000000000003</v>
      </c>
      <c r="E152">
        <v>8.1694999999999993</v>
      </c>
      <c r="F152">
        <v>9.1689000000000007</v>
      </c>
      <c r="G152">
        <v>10.132999999999999</v>
      </c>
      <c r="H152">
        <v>11.538399999999999</v>
      </c>
      <c r="I152">
        <v>12.2859</v>
      </c>
      <c r="J152">
        <v>13.7262</v>
      </c>
    </row>
    <row r="153" spans="1:10" x14ac:dyDescent="0.4">
      <c r="A153">
        <v>2022</v>
      </c>
      <c r="B153">
        <v>6.7100999999999997</v>
      </c>
      <c r="C153">
        <v>7.5811999999999999</v>
      </c>
      <c r="D153">
        <v>8.1357999999999997</v>
      </c>
      <c r="E153">
        <v>9.1887000000000008</v>
      </c>
      <c r="F153">
        <v>10.436500000000001</v>
      </c>
      <c r="G153">
        <v>11.871600000000001</v>
      </c>
      <c r="H153">
        <v>13.297599999999999</v>
      </c>
      <c r="I153">
        <v>14.238799999999999</v>
      </c>
      <c r="J153">
        <v>16.0747</v>
      </c>
    </row>
    <row r="154" spans="1:10" x14ac:dyDescent="0.4">
      <c r="A154">
        <v>2023</v>
      </c>
      <c r="B154">
        <v>6.8533999999999997</v>
      </c>
      <c r="C154">
        <v>7.9570999999999996</v>
      </c>
      <c r="D154">
        <v>8.6242000000000001</v>
      </c>
      <c r="E154">
        <v>9.8580000000000005</v>
      </c>
      <c r="F154">
        <v>11.382</v>
      </c>
      <c r="G154">
        <v>13.0342</v>
      </c>
      <c r="H154">
        <v>14.6313</v>
      </c>
      <c r="I154">
        <v>15.7065</v>
      </c>
      <c r="J154">
        <v>17.895499999999998</v>
      </c>
    </row>
    <row r="155" spans="1:10" x14ac:dyDescent="0.4">
      <c r="A155">
        <v>2024</v>
      </c>
      <c r="B155">
        <v>6.7591000000000001</v>
      </c>
      <c r="C155">
        <v>8.0045999999999999</v>
      </c>
      <c r="D155">
        <v>8.7444000000000006</v>
      </c>
      <c r="E155">
        <v>10.1214</v>
      </c>
      <c r="F155">
        <v>11.8049</v>
      </c>
      <c r="G155">
        <v>13.617000000000001</v>
      </c>
      <c r="H155">
        <v>15.386200000000001</v>
      </c>
      <c r="I155">
        <v>16.5261</v>
      </c>
      <c r="J155">
        <v>19.155100000000001</v>
      </c>
    </row>
    <row r="156" spans="1:10" x14ac:dyDescent="0.4">
      <c r="A156">
        <v>2025</v>
      </c>
      <c r="B156">
        <v>6.1885000000000003</v>
      </c>
      <c r="C156">
        <v>7.5681000000000003</v>
      </c>
      <c r="D156">
        <v>8.3645999999999994</v>
      </c>
      <c r="E156">
        <v>9.8056999999999999</v>
      </c>
      <c r="F156">
        <v>11.585900000000001</v>
      </c>
      <c r="G156">
        <v>13.5227</v>
      </c>
      <c r="H156">
        <v>15.382899999999999</v>
      </c>
      <c r="I156">
        <v>16.618600000000001</v>
      </c>
      <c r="J156">
        <v>19.481000000000002</v>
      </c>
    </row>
    <row r="157" spans="1:10" x14ac:dyDescent="0.4">
      <c r="A157">
        <v>2026</v>
      </c>
      <c r="B157">
        <v>4.8518999999999997</v>
      </c>
      <c r="C157">
        <v>6.2771999999999997</v>
      </c>
      <c r="D157">
        <v>7.1115000000000004</v>
      </c>
      <c r="E157">
        <v>8.6186000000000007</v>
      </c>
      <c r="F157">
        <v>10.4498</v>
      </c>
      <c r="G157">
        <v>12.4407</v>
      </c>
      <c r="H157">
        <v>14.398999999999999</v>
      </c>
      <c r="I157">
        <v>15.663600000000001</v>
      </c>
      <c r="J157">
        <v>18.797799999999999</v>
      </c>
    </row>
    <row r="158" spans="1:10" x14ac:dyDescent="0.4">
      <c r="A158">
        <v>2027</v>
      </c>
      <c r="B158">
        <v>4.4927000000000001</v>
      </c>
      <c r="C158">
        <v>5.9587000000000003</v>
      </c>
      <c r="D158">
        <v>6.8141999999999996</v>
      </c>
      <c r="E158">
        <v>8.3496000000000006</v>
      </c>
      <c r="F158">
        <v>10.2134</v>
      </c>
      <c r="G158">
        <v>12.228199999999999</v>
      </c>
      <c r="H158">
        <v>14.2448</v>
      </c>
      <c r="I158">
        <v>15.560600000000001</v>
      </c>
      <c r="J158">
        <v>18.8247</v>
      </c>
    </row>
    <row r="159" spans="1:10" x14ac:dyDescent="0.4">
      <c r="A159">
        <v>2028</v>
      </c>
      <c r="B159">
        <v>4.2664999999999997</v>
      </c>
      <c r="C159">
        <v>5.7401999999999997</v>
      </c>
      <c r="D159">
        <v>6.5983999999999998</v>
      </c>
      <c r="E159">
        <v>8.1542999999999992</v>
      </c>
      <c r="F159">
        <v>10.039899999999999</v>
      </c>
      <c r="G159">
        <v>12.0954</v>
      </c>
      <c r="H159">
        <v>14.113899999999999</v>
      </c>
      <c r="I159">
        <v>15.468400000000001</v>
      </c>
      <c r="J159">
        <v>18.7013</v>
      </c>
    </row>
    <row r="160" spans="1:10" x14ac:dyDescent="0.4">
      <c r="A160">
        <v>2029</v>
      </c>
      <c r="B160">
        <v>4.1885000000000003</v>
      </c>
      <c r="C160">
        <v>5.7050000000000001</v>
      </c>
      <c r="D160">
        <v>6.5833000000000004</v>
      </c>
      <c r="E160">
        <v>8.1489999999999991</v>
      </c>
      <c r="F160">
        <v>10.0566</v>
      </c>
      <c r="G160">
        <v>12.123699999999999</v>
      </c>
      <c r="H160">
        <v>14.196099999999999</v>
      </c>
      <c r="I160">
        <v>15.531599999999999</v>
      </c>
      <c r="J160">
        <v>18.736499999999999</v>
      </c>
    </row>
    <row r="161" spans="1:10" x14ac:dyDescent="0.4">
      <c r="A161">
        <v>2030</v>
      </c>
      <c r="B161">
        <v>4.1109</v>
      </c>
      <c r="C161">
        <v>5.6928999999999998</v>
      </c>
      <c r="D161">
        <v>6.5773000000000001</v>
      </c>
      <c r="E161">
        <v>8.1471999999999998</v>
      </c>
      <c r="F161">
        <v>10.0648</v>
      </c>
      <c r="G161">
        <v>12.1645</v>
      </c>
      <c r="H161">
        <v>14.2134</v>
      </c>
      <c r="I161">
        <v>15.5854</v>
      </c>
      <c r="J161">
        <v>18.810400000000001</v>
      </c>
    </row>
    <row r="162" spans="1:10" x14ac:dyDescent="0.4">
      <c r="A162">
        <v>2031</v>
      </c>
      <c r="B162">
        <v>4.1246</v>
      </c>
      <c r="C162">
        <v>5.6675000000000004</v>
      </c>
      <c r="D162">
        <v>6.5662000000000003</v>
      </c>
      <c r="E162">
        <v>8.1452000000000009</v>
      </c>
      <c r="F162">
        <v>10.095700000000001</v>
      </c>
      <c r="G162">
        <v>12.173</v>
      </c>
      <c r="H162">
        <v>14.2357</v>
      </c>
      <c r="I162">
        <v>15.6151</v>
      </c>
      <c r="J162">
        <v>18.912400000000002</v>
      </c>
    </row>
    <row r="163" spans="1:10" x14ac:dyDescent="0.4">
      <c r="A163">
        <v>2032</v>
      </c>
      <c r="B163">
        <v>4.1089000000000002</v>
      </c>
      <c r="C163">
        <v>5.6520999999999999</v>
      </c>
      <c r="D163">
        <v>6.5435999999999996</v>
      </c>
      <c r="E163">
        <v>8.1411999999999995</v>
      </c>
      <c r="F163">
        <v>10.093299999999999</v>
      </c>
      <c r="G163">
        <v>12.186500000000001</v>
      </c>
      <c r="H163">
        <v>14.2506</v>
      </c>
      <c r="I163">
        <v>15.6434</v>
      </c>
      <c r="J163">
        <v>18.986699999999999</v>
      </c>
    </row>
    <row r="164" spans="1:10" x14ac:dyDescent="0.4">
      <c r="A164">
        <v>2033</v>
      </c>
      <c r="B164">
        <v>4.0754999999999999</v>
      </c>
      <c r="C164">
        <v>5.6524000000000001</v>
      </c>
      <c r="D164">
        <v>6.5442999999999998</v>
      </c>
      <c r="E164">
        <v>8.1608999999999998</v>
      </c>
      <c r="F164">
        <v>10.0924</v>
      </c>
      <c r="G164">
        <v>12.212</v>
      </c>
      <c r="H164">
        <v>14.2654</v>
      </c>
      <c r="I164">
        <v>15.654</v>
      </c>
      <c r="J164">
        <v>18.973099999999999</v>
      </c>
    </row>
    <row r="165" spans="1:10" x14ac:dyDescent="0.4">
      <c r="A165">
        <v>2034</v>
      </c>
      <c r="B165">
        <v>4.0399000000000003</v>
      </c>
      <c r="C165">
        <v>5.6285999999999996</v>
      </c>
      <c r="D165">
        <v>6.5260999999999996</v>
      </c>
      <c r="E165">
        <v>8.1586999999999996</v>
      </c>
      <c r="F165">
        <v>10.1044</v>
      </c>
      <c r="G165">
        <v>12.217599999999999</v>
      </c>
      <c r="H165">
        <v>14.2852</v>
      </c>
      <c r="I165">
        <v>15.671200000000001</v>
      </c>
      <c r="J165">
        <v>19.028099999999998</v>
      </c>
    </row>
    <row r="167" spans="1:10" x14ac:dyDescent="0.4">
      <c r="A167" t="s">
        <v>9</v>
      </c>
      <c r="B167" t="s">
        <v>6</v>
      </c>
      <c r="C167" t="s">
        <v>36</v>
      </c>
      <c r="D167">
        <v>1000</v>
      </c>
      <c r="E167" t="s">
        <v>35</v>
      </c>
    </row>
    <row r="169" spans="1:10" x14ac:dyDescent="0.4">
      <c r="A169" t="s">
        <v>22</v>
      </c>
      <c r="B169" t="s">
        <v>34</v>
      </c>
      <c r="C169" t="s">
        <v>33</v>
      </c>
    </row>
    <row r="170" spans="1:10" x14ac:dyDescent="0.4">
      <c r="A170">
        <v>2021</v>
      </c>
      <c r="B170">
        <v>9.0582999999999991</v>
      </c>
      <c r="C170">
        <v>1.7030000000000001</v>
      </c>
    </row>
    <row r="171" spans="1:10" x14ac:dyDescent="0.4">
      <c r="A171">
        <v>2022</v>
      </c>
      <c r="B171">
        <v>10.1698</v>
      </c>
      <c r="C171">
        <v>2.1328999999999998</v>
      </c>
    </row>
    <row r="172" spans="1:10" x14ac:dyDescent="0.4">
      <c r="A172">
        <v>2023</v>
      </c>
      <c r="B172">
        <v>10.8233</v>
      </c>
      <c r="C172">
        <v>2.4647000000000001</v>
      </c>
    </row>
    <row r="173" spans="1:10" x14ac:dyDescent="0.4">
      <c r="A173">
        <v>2024</v>
      </c>
      <c r="B173">
        <v>10.909599999999999</v>
      </c>
      <c r="C173">
        <v>2.6974999999999998</v>
      </c>
    </row>
    <row r="174" spans="1:10" x14ac:dyDescent="0.4">
      <c r="A174">
        <v>2025</v>
      </c>
      <c r="B174">
        <v>10.160399999999999</v>
      </c>
      <c r="C174">
        <v>2.8626</v>
      </c>
    </row>
    <row r="175" spans="1:10" x14ac:dyDescent="0.4">
      <c r="A175">
        <v>2026</v>
      </c>
      <c r="B175">
        <v>9.5214999999999996</v>
      </c>
      <c r="C175">
        <v>2.9409000000000001</v>
      </c>
    </row>
    <row r="176" spans="1:10" x14ac:dyDescent="0.4">
      <c r="A176">
        <v>2027</v>
      </c>
      <c r="B176">
        <v>9.3231000000000002</v>
      </c>
      <c r="C176">
        <v>2.9964</v>
      </c>
    </row>
    <row r="177" spans="1:10" x14ac:dyDescent="0.4">
      <c r="A177">
        <v>2028</v>
      </c>
      <c r="B177">
        <v>9.2650000000000006</v>
      </c>
      <c r="C177">
        <v>3.0249999999999999</v>
      </c>
    </row>
    <row r="178" spans="1:10" x14ac:dyDescent="0.4">
      <c r="A178">
        <v>2029</v>
      </c>
      <c r="B178">
        <v>9.2828999999999997</v>
      </c>
      <c r="C178">
        <v>3.0548999999999999</v>
      </c>
    </row>
    <row r="179" spans="1:10" x14ac:dyDescent="0.4">
      <c r="A179">
        <v>2030</v>
      </c>
      <c r="B179">
        <v>9.2919</v>
      </c>
      <c r="C179">
        <v>3.0750000000000002</v>
      </c>
    </row>
    <row r="180" spans="1:10" x14ac:dyDescent="0.4">
      <c r="A180">
        <v>2031</v>
      </c>
      <c r="B180">
        <v>9.3019999999999996</v>
      </c>
      <c r="C180">
        <v>3.0897999999999999</v>
      </c>
    </row>
    <row r="181" spans="1:10" x14ac:dyDescent="0.4">
      <c r="A181">
        <v>2032</v>
      </c>
      <c r="B181">
        <v>9.3056000000000001</v>
      </c>
      <c r="C181">
        <v>3.0972</v>
      </c>
    </row>
    <row r="182" spans="1:10" x14ac:dyDescent="0.4">
      <c r="A182">
        <v>2033</v>
      </c>
      <c r="B182">
        <v>9.3153000000000006</v>
      </c>
      <c r="C182">
        <v>3.1078999999999999</v>
      </c>
    </row>
    <row r="183" spans="1:10" x14ac:dyDescent="0.4">
      <c r="A183">
        <v>2034</v>
      </c>
      <c r="B183">
        <v>9.3154000000000003</v>
      </c>
      <c r="C183">
        <v>3.1095999999999999</v>
      </c>
    </row>
    <row r="185" spans="1:10" x14ac:dyDescent="0.4">
      <c r="A185" t="s">
        <v>9</v>
      </c>
      <c r="B185" t="s">
        <v>6</v>
      </c>
      <c r="C185" t="s">
        <v>32</v>
      </c>
    </row>
    <row r="187" spans="1:10" x14ac:dyDescent="0.4">
      <c r="A187" t="s">
        <v>22</v>
      </c>
      <c r="B187" s="2">
        <v>0.01</v>
      </c>
      <c r="C187" s="2">
        <v>0.05</v>
      </c>
      <c r="D187" s="2">
        <v>0.1</v>
      </c>
      <c r="E187" s="2">
        <v>0.25</v>
      </c>
      <c r="F187" s="2">
        <v>0.5</v>
      </c>
      <c r="G187" s="2">
        <v>0.75</v>
      </c>
      <c r="H187" s="2">
        <v>0.9</v>
      </c>
      <c r="I187" s="2">
        <v>0.95</v>
      </c>
      <c r="J187" s="2">
        <v>0.99</v>
      </c>
    </row>
    <row r="188" spans="1:10" x14ac:dyDescent="0.4">
      <c r="A188">
        <v>2021</v>
      </c>
      <c r="B188">
        <v>5.9366000000000003</v>
      </c>
      <c r="C188">
        <v>6.5620000000000003</v>
      </c>
      <c r="D188">
        <v>6.9950999999999999</v>
      </c>
      <c r="E188">
        <v>7.8303000000000003</v>
      </c>
      <c r="F188">
        <v>8.9208999999999996</v>
      </c>
      <c r="G188">
        <v>9.9762000000000004</v>
      </c>
      <c r="H188">
        <v>11.4909</v>
      </c>
      <c r="I188">
        <v>12.240399999999999</v>
      </c>
      <c r="J188">
        <v>13.7012</v>
      </c>
    </row>
    <row r="189" spans="1:10" x14ac:dyDescent="0.4">
      <c r="A189">
        <v>2022</v>
      </c>
      <c r="B189">
        <v>6.1082000000000001</v>
      </c>
      <c r="C189">
        <v>6.9939999999999998</v>
      </c>
      <c r="D189">
        <v>7.5720000000000001</v>
      </c>
      <c r="E189">
        <v>8.6562000000000001</v>
      </c>
      <c r="F189">
        <v>9.9819999999999993</v>
      </c>
      <c r="G189">
        <v>11.4931</v>
      </c>
      <c r="H189">
        <v>12.9672</v>
      </c>
      <c r="I189">
        <v>13.921200000000001</v>
      </c>
      <c r="J189">
        <v>15.8476</v>
      </c>
    </row>
    <row r="190" spans="1:10" x14ac:dyDescent="0.4">
      <c r="A190">
        <v>2023</v>
      </c>
      <c r="B190">
        <v>6.0259</v>
      </c>
      <c r="C190">
        <v>7.1398000000000001</v>
      </c>
      <c r="D190">
        <v>7.8212999999999999</v>
      </c>
      <c r="E190">
        <v>9.0805000000000007</v>
      </c>
      <c r="F190">
        <v>10.6485</v>
      </c>
      <c r="G190">
        <v>12.3453</v>
      </c>
      <c r="H190">
        <v>13.991199999999999</v>
      </c>
      <c r="I190">
        <v>15.0464</v>
      </c>
      <c r="J190">
        <v>17.3264</v>
      </c>
    </row>
    <row r="191" spans="1:10" x14ac:dyDescent="0.4">
      <c r="A191">
        <v>2024</v>
      </c>
      <c r="B191">
        <v>5.6269999999999998</v>
      </c>
      <c r="C191">
        <v>6.8830999999999998</v>
      </c>
      <c r="D191">
        <v>7.6364999999999998</v>
      </c>
      <c r="E191">
        <v>9.0250000000000004</v>
      </c>
      <c r="F191">
        <v>10.728</v>
      </c>
      <c r="G191">
        <v>12.5579</v>
      </c>
      <c r="H191">
        <v>14.3363</v>
      </c>
      <c r="I191">
        <v>15.478999999999999</v>
      </c>
      <c r="J191">
        <v>18.111699999999999</v>
      </c>
    </row>
    <row r="192" spans="1:10" x14ac:dyDescent="0.4">
      <c r="A192">
        <v>2025</v>
      </c>
      <c r="B192">
        <v>4.5255999999999998</v>
      </c>
      <c r="C192">
        <v>5.9156000000000004</v>
      </c>
      <c r="D192">
        <v>6.7194000000000003</v>
      </c>
      <c r="E192">
        <v>8.1654999999999998</v>
      </c>
      <c r="F192">
        <v>9.9606999999999992</v>
      </c>
      <c r="G192">
        <v>11.8911</v>
      </c>
      <c r="H192">
        <v>13.7643</v>
      </c>
      <c r="I192">
        <v>15.002000000000001</v>
      </c>
      <c r="J192">
        <v>17.957000000000001</v>
      </c>
    </row>
    <row r="193" spans="1:10" x14ac:dyDescent="0.4">
      <c r="A193">
        <v>2026</v>
      </c>
      <c r="B193">
        <v>3.7376999999999998</v>
      </c>
      <c r="C193">
        <v>5.1679000000000004</v>
      </c>
      <c r="D193">
        <v>5.9855</v>
      </c>
      <c r="E193">
        <v>7.4870999999999999</v>
      </c>
      <c r="F193">
        <v>9.3119999999999994</v>
      </c>
      <c r="G193">
        <v>11.2804</v>
      </c>
      <c r="H193">
        <v>13.1995</v>
      </c>
      <c r="I193">
        <v>14.516400000000001</v>
      </c>
      <c r="J193">
        <v>17.6645</v>
      </c>
    </row>
    <row r="194" spans="1:10" x14ac:dyDescent="0.4">
      <c r="A194">
        <v>2027</v>
      </c>
      <c r="B194">
        <v>3.4607999999999999</v>
      </c>
      <c r="C194">
        <v>4.8978999999999999</v>
      </c>
      <c r="D194">
        <v>5.7323000000000004</v>
      </c>
      <c r="E194">
        <v>7.2565999999999997</v>
      </c>
      <c r="F194">
        <v>9.1041000000000007</v>
      </c>
      <c r="G194">
        <v>11.109</v>
      </c>
      <c r="H194">
        <v>13.090999999999999</v>
      </c>
      <c r="I194">
        <v>14.4232</v>
      </c>
      <c r="J194">
        <v>17.620699999999999</v>
      </c>
    </row>
    <row r="195" spans="1:10" x14ac:dyDescent="0.4">
      <c r="A195">
        <v>2028</v>
      </c>
      <c r="B195">
        <v>3.3509000000000002</v>
      </c>
      <c r="C195">
        <v>4.7904</v>
      </c>
      <c r="D195">
        <v>5.6436999999999999</v>
      </c>
      <c r="E195">
        <v>7.1845999999999997</v>
      </c>
      <c r="F195">
        <v>9.0327999999999999</v>
      </c>
      <c r="G195">
        <v>11.071400000000001</v>
      </c>
      <c r="H195">
        <v>13.0778</v>
      </c>
      <c r="I195">
        <v>14.377700000000001</v>
      </c>
      <c r="J195">
        <v>17.692499999999999</v>
      </c>
    </row>
    <row r="196" spans="1:10" x14ac:dyDescent="0.4">
      <c r="A196">
        <v>2029</v>
      </c>
      <c r="B196">
        <v>3.2789000000000001</v>
      </c>
      <c r="C196">
        <v>4.7557999999999998</v>
      </c>
      <c r="D196">
        <v>5.6382000000000003</v>
      </c>
      <c r="E196">
        <v>7.1847000000000003</v>
      </c>
      <c r="F196">
        <v>9.0580999999999996</v>
      </c>
      <c r="G196">
        <v>11.100199999999999</v>
      </c>
      <c r="H196">
        <v>13.130100000000001</v>
      </c>
      <c r="I196">
        <v>14.462400000000001</v>
      </c>
      <c r="J196">
        <v>17.612100000000002</v>
      </c>
    </row>
    <row r="197" spans="1:10" x14ac:dyDescent="0.4">
      <c r="A197">
        <v>2030</v>
      </c>
      <c r="B197">
        <v>3.1928999999999998</v>
      </c>
      <c r="C197">
        <v>4.7549000000000001</v>
      </c>
      <c r="D197">
        <v>5.6224999999999996</v>
      </c>
      <c r="E197">
        <v>7.1727999999999996</v>
      </c>
      <c r="F197">
        <v>9.0798000000000005</v>
      </c>
      <c r="G197">
        <v>11.1198</v>
      </c>
      <c r="H197">
        <v>13.150499999999999</v>
      </c>
      <c r="I197">
        <v>14.483499999999999</v>
      </c>
      <c r="J197">
        <v>17.691400000000002</v>
      </c>
    </row>
    <row r="198" spans="1:10" x14ac:dyDescent="0.4">
      <c r="A198">
        <v>2031</v>
      </c>
      <c r="B198">
        <v>3.1981999999999999</v>
      </c>
      <c r="C198">
        <v>4.7347999999999999</v>
      </c>
      <c r="D198">
        <v>5.6081000000000003</v>
      </c>
      <c r="E198">
        <v>7.1738999999999997</v>
      </c>
      <c r="F198">
        <v>9.0867000000000004</v>
      </c>
      <c r="G198">
        <v>11.130599999999999</v>
      </c>
      <c r="H198">
        <v>13.1792</v>
      </c>
      <c r="I198">
        <v>14.5556</v>
      </c>
      <c r="J198">
        <v>17.813600000000001</v>
      </c>
    </row>
    <row r="199" spans="1:10" x14ac:dyDescent="0.4">
      <c r="A199">
        <v>2032</v>
      </c>
      <c r="B199">
        <v>3.2073999999999998</v>
      </c>
      <c r="C199">
        <v>4.7233000000000001</v>
      </c>
      <c r="D199">
        <v>5.5974000000000004</v>
      </c>
      <c r="E199">
        <v>7.1794000000000002</v>
      </c>
      <c r="F199">
        <v>9.0875000000000004</v>
      </c>
      <c r="G199">
        <v>11.1584</v>
      </c>
      <c r="H199">
        <v>13.1753</v>
      </c>
      <c r="I199">
        <v>14.5565</v>
      </c>
      <c r="J199">
        <v>17.853899999999999</v>
      </c>
    </row>
    <row r="200" spans="1:10" x14ac:dyDescent="0.4">
      <c r="A200">
        <v>2033</v>
      </c>
      <c r="B200">
        <v>3.1724000000000001</v>
      </c>
      <c r="C200">
        <v>4.7112999999999996</v>
      </c>
      <c r="D200">
        <v>5.6056999999999997</v>
      </c>
      <c r="E200">
        <v>7.1905999999999999</v>
      </c>
      <c r="F200">
        <v>9.0942000000000007</v>
      </c>
      <c r="G200">
        <v>11.176</v>
      </c>
      <c r="H200">
        <v>13.202999999999999</v>
      </c>
      <c r="I200">
        <v>14.5573</v>
      </c>
      <c r="J200">
        <v>17.811399999999999</v>
      </c>
    </row>
    <row r="201" spans="1:10" x14ac:dyDescent="0.4">
      <c r="A201">
        <v>2034</v>
      </c>
      <c r="B201">
        <v>3.1515</v>
      </c>
      <c r="C201">
        <v>4.7055999999999996</v>
      </c>
      <c r="D201">
        <v>5.5815999999999999</v>
      </c>
      <c r="E201">
        <v>7.1872999999999996</v>
      </c>
      <c r="F201">
        <v>9.1095000000000006</v>
      </c>
      <c r="G201">
        <v>11.1904</v>
      </c>
      <c r="H201">
        <v>13.2018</v>
      </c>
      <c r="I201">
        <v>14.5588</v>
      </c>
      <c r="J201">
        <v>17.837800000000001</v>
      </c>
    </row>
    <row r="203" spans="1:10" x14ac:dyDescent="0.4">
      <c r="A203" t="s">
        <v>8</v>
      </c>
      <c r="B203" t="s">
        <v>7</v>
      </c>
      <c r="C203" t="s">
        <v>6</v>
      </c>
      <c r="D203" t="s">
        <v>36</v>
      </c>
      <c r="E203">
        <v>1000</v>
      </c>
      <c r="F203" t="s">
        <v>35</v>
      </c>
    </row>
    <row r="205" spans="1:10" x14ac:dyDescent="0.4">
      <c r="A205" t="s">
        <v>22</v>
      </c>
      <c r="B205" t="s">
        <v>34</v>
      </c>
      <c r="C205" t="s">
        <v>33</v>
      </c>
    </row>
    <row r="206" spans="1:10" x14ac:dyDescent="0.4">
      <c r="A206">
        <v>2021</v>
      </c>
      <c r="B206">
        <v>1.5398000000000001</v>
      </c>
      <c r="C206">
        <v>1E-4</v>
      </c>
    </row>
    <row r="207" spans="1:10" x14ac:dyDescent="0.4">
      <c r="A207">
        <v>2022</v>
      </c>
      <c r="B207">
        <v>1.4739</v>
      </c>
      <c r="C207">
        <v>0</v>
      </c>
    </row>
    <row r="208" spans="1:10" x14ac:dyDescent="0.4">
      <c r="A208">
        <v>2023</v>
      </c>
      <c r="B208">
        <v>1.6853</v>
      </c>
      <c r="C208">
        <v>1.0699999999999999E-2</v>
      </c>
    </row>
    <row r="209" spans="1:10" x14ac:dyDescent="0.4">
      <c r="A209">
        <v>2024</v>
      </c>
      <c r="B209">
        <v>2.1564999999999999</v>
      </c>
      <c r="C209">
        <v>2.1600000000000001E-2</v>
      </c>
    </row>
    <row r="210" spans="1:10" x14ac:dyDescent="0.4">
      <c r="A210">
        <v>2025</v>
      </c>
      <c r="B210">
        <v>3.2246999999999999</v>
      </c>
      <c r="C210">
        <v>3.2199999999999999E-2</v>
      </c>
    </row>
    <row r="211" spans="1:10" x14ac:dyDescent="0.4">
      <c r="A211">
        <v>2026</v>
      </c>
      <c r="B211">
        <v>2.3997999999999999</v>
      </c>
      <c r="C211">
        <v>2.4E-2</v>
      </c>
    </row>
    <row r="212" spans="1:10" x14ac:dyDescent="0.4">
      <c r="A212">
        <v>2027</v>
      </c>
      <c r="B212">
        <v>2.3996</v>
      </c>
      <c r="C212">
        <v>3.2199999999999999E-2</v>
      </c>
    </row>
    <row r="213" spans="1:10" x14ac:dyDescent="0.4">
      <c r="A213">
        <v>2028</v>
      </c>
      <c r="B213">
        <v>2.1995</v>
      </c>
      <c r="C213">
        <v>3.4099999999999998E-2</v>
      </c>
    </row>
    <row r="214" spans="1:10" x14ac:dyDescent="0.4">
      <c r="A214">
        <v>2029</v>
      </c>
      <c r="B214">
        <v>2.1989999999999998</v>
      </c>
      <c r="C214">
        <v>4.7699999999999999E-2</v>
      </c>
    </row>
    <row r="215" spans="1:10" x14ac:dyDescent="0.4">
      <c r="A215">
        <v>2030</v>
      </c>
      <c r="B215">
        <v>2.1985999999999999</v>
      </c>
      <c r="C215">
        <v>5.5199999999999999E-2</v>
      </c>
    </row>
    <row r="216" spans="1:10" x14ac:dyDescent="0.4">
      <c r="A216">
        <v>2031</v>
      </c>
      <c r="B216">
        <v>2.1981999999999999</v>
      </c>
      <c r="C216">
        <v>6.2199999999999998E-2</v>
      </c>
    </row>
    <row r="217" spans="1:10" x14ac:dyDescent="0.4">
      <c r="A217">
        <v>2032</v>
      </c>
      <c r="B217">
        <v>2.1977000000000002</v>
      </c>
      <c r="C217">
        <v>7.0599999999999996E-2</v>
      </c>
    </row>
    <row r="218" spans="1:10" x14ac:dyDescent="0.4">
      <c r="A218">
        <v>2033</v>
      </c>
      <c r="B218">
        <v>2.1972</v>
      </c>
      <c r="C218">
        <v>7.8E-2</v>
      </c>
    </row>
    <row r="219" spans="1:10" x14ac:dyDescent="0.4">
      <c r="A219">
        <v>2034</v>
      </c>
      <c r="B219">
        <v>2.1968000000000001</v>
      </c>
      <c r="C219">
        <v>8.3699999999999997E-2</v>
      </c>
    </row>
    <row r="221" spans="1:10" x14ac:dyDescent="0.4">
      <c r="A221" t="s">
        <v>8</v>
      </c>
      <c r="B221" t="s">
        <v>7</v>
      </c>
      <c r="C221" t="s">
        <v>32</v>
      </c>
    </row>
    <row r="223" spans="1:10" x14ac:dyDescent="0.4">
      <c r="A223" t="s">
        <v>22</v>
      </c>
      <c r="B223" s="2">
        <v>0.01</v>
      </c>
      <c r="C223" s="2">
        <v>0.05</v>
      </c>
      <c r="D223" s="2">
        <v>0.1</v>
      </c>
      <c r="E223" s="2">
        <v>0.25</v>
      </c>
      <c r="F223" s="2">
        <v>0.5</v>
      </c>
      <c r="G223" s="2">
        <v>0.75</v>
      </c>
      <c r="H223" s="2">
        <v>0.9</v>
      </c>
      <c r="I223" s="2">
        <v>0.95</v>
      </c>
      <c r="J223" s="2">
        <v>0.99</v>
      </c>
    </row>
    <row r="224" spans="1:10" x14ac:dyDescent="0.4">
      <c r="A224">
        <v>2021</v>
      </c>
      <c r="B224">
        <v>1.5398000000000001</v>
      </c>
      <c r="C224">
        <v>1.5398000000000001</v>
      </c>
      <c r="D224">
        <v>1.5398000000000001</v>
      </c>
      <c r="E224">
        <v>1.5398000000000001</v>
      </c>
      <c r="F224">
        <v>1.5398000000000001</v>
      </c>
      <c r="G224">
        <v>1.5398000000000001</v>
      </c>
      <c r="H224">
        <v>1.5398000000000001</v>
      </c>
      <c r="I224">
        <v>1.5398000000000001</v>
      </c>
      <c r="J224">
        <v>1.5398000000000001</v>
      </c>
    </row>
    <row r="225" spans="1:10" x14ac:dyDescent="0.4">
      <c r="A225">
        <v>2022</v>
      </c>
      <c r="B225">
        <v>1.4739</v>
      </c>
      <c r="C225">
        <v>1.4739</v>
      </c>
      <c r="D225">
        <v>1.4739</v>
      </c>
      <c r="E225">
        <v>1.4739</v>
      </c>
      <c r="F225">
        <v>1.4739</v>
      </c>
      <c r="G225">
        <v>1.4739</v>
      </c>
      <c r="H225">
        <v>1.4739</v>
      </c>
      <c r="I225">
        <v>1.4739</v>
      </c>
      <c r="J225">
        <v>1.4739</v>
      </c>
    </row>
    <row r="226" spans="1:10" x14ac:dyDescent="0.4">
      <c r="A226">
        <v>2023</v>
      </c>
      <c r="B226">
        <v>1.6854</v>
      </c>
      <c r="C226">
        <v>1.6854</v>
      </c>
      <c r="D226">
        <v>1.6854</v>
      </c>
      <c r="E226">
        <v>1.6854</v>
      </c>
      <c r="F226">
        <v>1.6854</v>
      </c>
      <c r="G226">
        <v>1.6854</v>
      </c>
      <c r="H226">
        <v>1.6854</v>
      </c>
      <c r="I226">
        <v>1.6854</v>
      </c>
      <c r="J226">
        <v>1.6854</v>
      </c>
    </row>
    <row r="227" spans="1:10" x14ac:dyDescent="0.4">
      <c r="A227">
        <v>2024</v>
      </c>
      <c r="B227">
        <v>2.1566999999999998</v>
      </c>
      <c r="C227">
        <v>2.1566999999999998</v>
      </c>
      <c r="D227">
        <v>2.1566999999999998</v>
      </c>
      <c r="E227">
        <v>2.1566999999999998</v>
      </c>
      <c r="F227">
        <v>2.1566999999999998</v>
      </c>
      <c r="G227">
        <v>2.1566999999999998</v>
      </c>
      <c r="H227">
        <v>2.1566999999999998</v>
      </c>
      <c r="I227">
        <v>2.1566999999999998</v>
      </c>
      <c r="J227">
        <v>2.1566999999999998</v>
      </c>
    </row>
    <row r="228" spans="1:10" x14ac:dyDescent="0.4">
      <c r="A228">
        <v>2025</v>
      </c>
      <c r="B228">
        <v>3.2250000000000001</v>
      </c>
      <c r="C228">
        <v>3.2250000000000001</v>
      </c>
      <c r="D228">
        <v>3.2250000000000001</v>
      </c>
      <c r="E228">
        <v>3.2250000000000001</v>
      </c>
      <c r="F228">
        <v>3.2250000000000001</v>
      </c>
      <c r="G228">
        <v>3.2250000000000001</v>
      </c>
      <c r="H228">
        <v>3.2250000000000001</v>
      </c>
      <c r="I228">
        <v>3.2250000000000001</v>
      </c>
      <c r="J228">
        <v>3.2250000000000001</v>
      </c>
    </row>
    <row r="229" spans="1:10" x14ac:dyDescent="0.4">
      <c r="A229">
        <v>2026</v>
      </c>
      <c r="B229">
        <v>2.4</v>
      </c>
      <c r="C229">
        <v>2.4</v>
      </c>
      <c r="D229">
        <v>2.4</v>
      </c>
      <c r="E229">
        <v>2.4</v>
      </c>
      <c r="F229">
        <v>2.4</v>
      </c>
      <c r="G229">
        <v>2.4</v>
      </c>
      <c r="H229">
        <v>2.4</v>
      </c>
      <c r="I229">
        <v>2.4</v>
      </c>
      <c r="J229">
        <v>2.4</v>
      </c>
    </row>
    <row r="230" spans="1:10" x14ac:dyDescent="0.4">
      <c r="A230">
        <v>2027</v>
      </c>
      <c r="B230">
        <v>2.4</v>
      </c>
      <c r="C230">
        <v>2.4</v>
      </c>
      <c r="D230">
        <v>2.4</v>
      </c>
      <c r="E230">
        <v>2.4</v>
      </c>
      <c r="F230">
        <v>2.4</v>
      </c>
      <c r="G230">
        <v>2.4</v>
      </c>
      <c r="H230">
        <v>2.4</v>
      </c>
      <c r="I230">
        <v>2.4</v>
      </c>
      <c r="J230">
        <v>2.4</v>
      </c>
    </row>
    <row r="231" spans="1:10" x14ac:dyDescent="0.4">
      <c r="A231">
        <v>2028</v>
      </c>
      <c r="B231">
        <v>2.2000000000000002</v>
      </c>
      <c r="C231">
        <v>2.2000000000000002</v>
      </c>
      <c r="D231">
        <v>2.2000000000000002</v>
      </c>
      <c r="E231">
        <v>2.2000000000000002</v>
      </c>
      <c r="F231">
        <v>2.2000000000000002</v>
      </c>
      <c r="G231">
        <v>2.2000000000000002</v>
      </c>
      <c r="H231">
        <v>2.2000000000000002</v>
      </c>
      <c r="I231">
        <v>2.2000000000000002</v>
      </c>
      <c r="J231">
        <v>2.2000000000000002</v>
      </c>
    </row>
    <row r="232" spans="1:10" x14ac:dyDescent="0.4">
      <c r="A232">
        <v>2029</v>
      </c>
      <c r="B232">
        <v>2.2000000000000002</v>
      </c>
      <c r="C232">
        <v>2.2000000000000002</v>
      </c>
      <c r="D232">
        <v>2.2000000000000002</v>
      </c>
      <c r="E232">
        <v>2.2000000000000002</v>
      </c>
      <c r="F232">
        <v>2.2000000000000002</v>
      </c>
      <c r="G232">
        <v>2.2000000000000002</v>
      </c>
      <c r="H232">
        <v>2.2000000000000002</v>
      </c>
      <c r="I232">
        <v>2.2000000000000002</v>
      </c>
      <c r="J232">
        <v>2.2000000000000002</v>
      </c>
    </row>
    <row r="233" spans="1:10" x14ac:dyDescent="0.4">
      <c r="A233">
        <v>2030</v>
      </c>
      <c r="B233">
        <v>2.2000000000000002</v>
      </c>
      <c r="C233">
        <v>2.2000000000000002</v>
      </c>
      <c r="D233">
        <v>2.2000000000000002</v>
      </c>
      <c r="E233">
        <v>2.2000000000000002</v>
      </c>
      <c r="F233">
        <v>2.2000000000000002</v>
      </c>
      <c r="G233">
        <v>2.2000000000000002</v>
      </c>
      <c r="H233">
        <v>2.2000000000000002</v>
      </c>
      <c r="I233">
        <v>2.2000000000000002</v>
      </c>
      <c r="J233">
        <v>2.2000000000000002</v>
      </c>
    </row>
    <row r="234" spans="1:10" x14ac:dyDescent="0.4">
      <c r="A234">
        <v>2031</v>
      </c>
      <c r="B234">
        <v>2.2000000000000002</v>
      </c>
      <c r="C234">
        <v>2.2000000000000002</v>
      </c>
      <c r="D234">
        <v>2.2000000000000002</v>
      </c>
      <c r="E234">
        <v>2.2000000000000002</v>
      </c>
      <c r="F234">
        <v>2.2000000000000002</v>
      </c>
      <c r="G234">
        <v>2.2000000000000002</v>
      </c>
      <c r="H234">
        <v>2.2000000000000002</v>
      </c>
      <c r="I234">
        <v>2.2000000000000002</v>
      </c>
      <c r="J234">
        <v>2.2000000000000002</v>
      </c>
    </row>
    <row r="235" spans="1:10" x14ac:dyDescent="0.4">
      <c r="A235">
        <v>2032</v>
      </c>
      <c r="B235">
        <v>2.2000000000000002</v>
      </c>
      <c r="C235">
        <v>2.2000000000000002</v>
      </c>
      <c r="D235">
        <v>2.2000000000000002</v>
      </c>
      <c r="E235">
        <v>2.2000000000000002</v>
      </c>
      <c r="F235">
        <v>2.2000000000000002</v>
      </c>
      <c r="G235">
        <v>2.2000000000000002</v>
      </c>
      <c r="H235">
        <v>2.2000000000000002</v>
      </c>
      <c r="I235">
        <v>2.2000000000000002</v>
      </c>
      <c r="J235">
        <v>2.2000000000000002</v>
      </c>
    </row>
    <row r="236" spans="1:10" x14ac:dyDescent="0.4">
      <c r="A236">
        <v>2033</v>
      </c>
      <c r="B236">
        <v>2.2000000000000002</v>
      </c>
      <c r="C236">
        <v>2.2000000000000002</v>
      </c>
      <c r="D236">
        <v>2.2000000000000002</v>
      </c>
      <c r="E236">
        <v>2.2000000000000002</v>
      </c>
      <c r="F236">
        <v>2.2000000000000002</v>
      </c>
      <c r="G236">
        <v>2.2000000000000002</v>
      </c>
      <c r="H236">
        <v>2.2000000000000002</v>
      </c>
      <c r="I236">
        <v>2.2000000000000002</v>
      </c>
      <c r="J236">
        <v>2.2000000000000002</v>
      </c>
    </row>
    <row r="237" spans="1:10" x14ac:dyDescent="0.4">
      <c r="A237">
        <v>2034</v>
      </c>
      <c r="B237">
        <v>2.2000000000000002</v>
      </c>
      <c r="C237">
        <v>2.2000000000000002</v>
      </c>
      <c r="D237">
        <v>2.2000000000000002</v>
      </c>
      <c r="E237">
        <v>2.2000000000000002</v>
      </c>
      <c r="F237">
        <v>2.2000000000000002</v>
      </c>
      <c r="G237">
        <v>2.2000000000000002</v>
      </c>
      <c r="H237">
        <v>2.2000000000000002</v>
      </c>
      <c r="I237">
        <v>2.2000000000000002</v>
      </c>
      <c r="J237">
        <v>2.2000000000000002</v>
      </c>
    </row>
    <row r="239" spans="1:10" x14ac:dyDescent="0.4">
      <c r="A239" t="s">
        <v>5</v>
      </c>
      <c r="B239" t="s">
        <v>36</v>
      </c>
      <c r="C239">
        <v>1000</v>
      </c>
      <c r="D239" t="s">
        <v>35</v>
      </c>
    </row>
    <row r="241" spans="1:3" x14ac:dyDescent="0.4">
      <c r="A241" t="s">
        <v>22</v>
      </c>
      <c r="B241" t="s">
        <v>34</v>
      </c>
      <c r="C241" t="s">
        <v>33</v>
      </c>
    </row>
    <row r="242" spans="1:3" x14ac:dyDescent="0.4">
      <c r="A242">
        <v>2021</v>
      </c>
      <c r="B242">
        <v>1.5398000000000001</v>
      </c>
      <c r="C242">
        <v>1E-4</v>
      </c>
    </row>
    <row r="243" spans="1:3" x14ac:dyDescent="0.4">
      <c r="A243">
        <v>2022</v>
      </c>
      <c r="B243">
        <v>1.4739</v>
      </c>
      <c r="C243">
        <v>0</v>
      </c>
    </row>
    <row r="244" spans="1:3" x14ac:dyDescent="0.4">
      <c r="A244">
        <v>2023</v>
      </c>
      <c r="B244">
        <v>1.6853</v>
      </c>
      <c r="C244">
        <v>1.0699999999999999E-2</v>
      </c>
    </row>
    <row r="245" spans="1:3" x14ac:dyDescent="0.4">
      <c r="A245">
        <v>2024</v>
      </c>
      <c r="B245">
        <v>2.1564999999999999</v>
      </c>
      <c r="C245">
        <v>2.1600000000000001E-2</v>
      </c>
    </row>
    <row r="246" spans="1:3" x14ac:dyDescent="0.4">
      <c r="A246">
        <v>2025</v>
      </c>
      <c r="B246">
        <v>3.2246999999999999</v>
      </c>
      <c r="C246">
        <v>3.2199999999999999E-2</v>
      </c>
    </row>
    <row r="247" spans="1:3" x14ac:dyDescent="0.4">
      <c r="A247">
        <v>2026</v>
      </c>
      <c r="B247">
        <v>2.3997999999999999</v>
      </c>
      <c r="C247">
        <v>2.4E-2</v>
      </c>
    </row>
    <row r="248" spans="1:3" x14ac:dyDescent="0.4">
      <c r="A248">
        <v>2027</v>
      </c>
      <c r="B248">
        <v>2.3996</v>
      </c>
      <c r="C248">
        <v>3.2199999999999999E-2</v>
      </c>
    </row>
    <row r="249" spans="1:3" x14ac:dyDescent="0.4">
      <c r="A249">
        <v>2028</v>
      </c>
      <c r="B249">
        <v>2.1995</v>
      </c>
      <c r="C249">
        <v>3.4099999999999998E-2</v>
      </c>
    </row>
    <row r="250" spans="1:3" x14ac:dyDescent="0.4">
      <c r="A250">
        <v>2029</v>
      </c>
      <c r="B250">
        <v>2.1989999999999998</v>
      </c>
      <c r="C250">
        <v>4.7699999999999999E-2</v>
      </c>
    </row>
    <row r="251" spans="1:3" x14ac:dyDescent="0.4">
      <c r="A251">
        <v>2030</v>
      </c>
      <c r="B251">
        <v>2.1985999999999999</v>
      </c>
      <c r="C251">
        <v>5.5199999999999999E-2</v>
      </c>
    </row>
    <row r="252" spans="1:3" x14ac:dyDescent="0.4">
      <c r="A252">
        <v>2031</v>
      </c>
      <c r="B252">
        <v>2.1981999999999999</v>
      </c>
      <c r="C252">
        <v>6.2199999999999998E-2</v>
      </c>
    </row>
    <row r="253" spans="1:3" x14ac:dyDescent="0.4">
      <c r="A253">
        <v>2032</v>
      </c>
      <c r="B253">
        <v>2.1977000000000002</v>
      </c>
      <c r="C253">
        <v>7.0599999999999996E-2</v>
      </c>
    </row>
    <row r="254" spans="1:3" x14ac:dyDescent="0.4">
      <c r="A254">
        <v>2033</v>
      </c>
      <c r="B254">
        <v>2.1972</v>
      </c>
      <c r="C254">
        <v>7.8E-2</v>
      </c>
    </row>
    <row r="255" spans="1:3" x14ac:dyDescent="0.4">
      <c r="A255">
        <v>2034</v>
      </c>
      <c r="B255">
        <v>2.1968000000000001</v>
      </c>
      <c r="C255">
        <v>8.3699999999999997E-2</v>
      </c>
    </row>
    <row r="257" spans="1:20" x14ac:dyDescent="0.4">
      <c r="A257" t="s">
        <v>5</v>
      </c>
      <c r="B257" t="s">
        <v>32</v>
      </c>
    </row>
    <row r="259" spans="1:20" x14ac:dyDescent="0.4">
      <c r="A259" t="s">
        <v>22</v>
      </c>
      <c r="B259" s="2">
        <v>0.01</v>
      </c>
      <c r="C259" s="2">
        <v>0.05</v>
      </c>
      <c r="D259" s="2">
        <v>0.1</v>
      </c>
      <c r="E259" s="2">
        <v>0.25</v>
      </c>
      <c r="F259" s="2">
        <v>0.5</v>
      </c>
      <c r="G259" s="2">
        <v>0.75</v>
      </c>
      <c r="H259" s="2">
        <v>0.9</v>
      </c>
      <c r="I259" s="2">
        <v>0.95</v>
      </c>
      <c r="J259" s="2">
        <v>0.99</v>
      </c>
      <c r="L259" s="2">
        <v>0.01</v>
      </c>
      <c r="M259" s="2">
        <v>0.05</v>
      </c>
      <c r="N259" s="2">
        <v>0.1</v>
      </c>
      <c r="O259" s="2">
        <v>0.25</v>
      </c>
      <c r="P259" s="2">
        <v>0.5</v>
      </c>
      <c r="Q259" s="2">
        <v>0.75</v>
      </c>
      <c r="R259" s="2">
        <v>0.9</v>
      </c>
      <c r="S259" s="2">
        <v>0.95</v>
      </c>
      <c r="T259" s="2">
        <v>0.99</v>
      </c>
    </row>
    <row r="260" spans="1:20" x14ac:dyDescent="0.4">
      <c r="A260">
        <v>2021</v>
      </c>
      <c r="B260">
        <v>1.5398000000000001</v>
      </c>
      <c r="C260">
        <v>1.5398000000000001</v>
      </c>
      <c r="D260">
        <v>1.5398000000000001</v>
      </c>
      <c r="E260">
        <v>1.5398000000000001</v>
      </c>
      <c r="F260">
        <v>1.5398000000000001</v>
      </c>
      <c r="G260">
        <v>1.5398000000000001</v>
      </c>
      <c r="H260">
        <v>1.5398000000000001</v>
      </c>
      <c r="I260">
        <v>1.5398000000000001</v>
      </c>
      <c r="J260">
        <v>1.5398000000000001</v>
      </c>
      <c r="L260">
        <f>B260*1000</f>
        <v>1539.8</v>
      </c>
      <c r="M260">
        <f t="shared" ref="M260:T273" si="2">C260*1000</f>
        <v>1539.8</v>
      </c>
      <c r="N260">
        <f t="shared" si="2"/>
        <v>1539.8</v>
      </c>
      <c r="O260">
        <f t="shared" si="2"/>
        <v>1539.8</v>
      </c>
      <c r="P260">
        <f t="shared" si="2"/>
        <v>1539.8</v>
      </c>
      <c r="Q260">
        <f t="shared" si="2"/>
        <v>1539.8</v>
      </c>
      <c r="R260">
        <f t="shared" si="2"/>
        <v>1539.8</v>
      </c>
      <c r="S260">
        <f t="shared" si="2"/>
        <v>1539.8</v>
      </c>
      <c r="T260">
        <f t="shared" si="2"/>
        <v>1539.8</v>
      </c>
    </row>
    <row r="261" spans="1:20" x14ac:dyDescent="0.4">
      <c r="A261">
        <v>2022</v>
      </c>
      <c r="B261">
        <v>1.4739</v>
      </c>
      <c r="C261">
        <v>1.4739</v>
      </c>
      <c r="D261">
        <v>1.4739</v>
      </c>
      <c r="E261">
        <v>1.4739</v>
      </c>
      <c r="F261">
        <v>1.4739</v>
      </c>
      <c r="G261">
        <v>1.4739</v>
      </c>
      <c r="H261">
        <v>1.4739</v>
      </c>
      <c r="I261">
        <v>1.4739</v>
      </c>
      <c r="J261">
        <v>1.4739</v>
      </c>
      <c r="L261">
        <f t="shared" ref="L261:L273" si="3">B261*1000</f>
        <v>1473.9</v>
      </c>
      <c r="M261">
        <f t="shared" si="2"/>
        <v>1473.9</v>
      </c>
      <c r="N261">
        <f t="shared" si="2"/>
        <v>1473.9</v>
      </c>
      <c r="O261">
        <f t="shared" si="2"/>
        <v>1473.9</v>
      </c>
      <c r="P261">
        <f t="shared" si="2"/>
        <v>1473.9</v>
      </c>
      <c r="Q261">
        <f t="shared" si="2"/>
        <v>1473.9</v>
      </c>
      <c r="R261">
        <f t="shared" si="2"/>
        <v>1473.9</v>
      </c>
      <c r="S261">
        <f t="shared" si="2"/>
        <v>1473.9</v>
      </c>
      <c r="T261">
        <f t="shared" si="2"/>
        <v>1473.9</v>
      </c>
    </row>
    <row r="262" spans="1:20" x14ac:dyDescent="0.4">
      <c r="A262">
        <v>2023</v>
      </c>
      <c r="B262">
        <v>1.6854</v>
      </c>
      <c r="C262">
        <v>1.6854</v>
      </c>
      <c r="D262">
        <v>1.6854</v>
      </c>
      <c r="E262">
        <v>1.6854</v>
      </c>
      <c r="F262">
        <v>1.6854</v>
      </c>
      <c r="G262">
        <v>1.6854</v>
      </c>
      <c r="H262">
        <v>1.6854</v>
      </c>
      <c r="I262">
        <v>1.6854</v>
      </c>
      <c r="J262">
        <v>1.6854</v>
      </c>
      <c r="L262">
        <f t="shared" si="3"/>
        <v>1685.4</v>
      </c>
      <c r="M262">
        <f t="shared" si="2"/>
        <v>1685.4</v>
      </c>
      <c r="N262">
        <f t="shared" si="2"/>
        <v>1685.4</v>
      </c>
      <c r="O262">
        <f t="shared" si="2"/>
        <v>1685.4</v>
      </c>
      <c r="P262">
        <f t="shared" si="2"/>
        <v>1685.4</v>
      </c>
      <c r="Q262">
        <f t="shared" si="2"/>
        <v>1685.4</v>
      </c>
      <c r="R262">
        <f t="shared" si="2"/>
        <v>1685.4</v>
      </c>
      <c r="S262">
        <f t="shared" si="2"/>
        <v>1685.4</v>
      </c>
      <c r="T262">
        <f t="shared" si="2"/>
        <v>1685.4</v>
      </c>
    </row>
    <row r="263" spans="1:20" x14ac:dyDescent="0.4">
      <c r="A263">
        <v>2024</v>
      </c>
      <c r="B263">
        <v>2.1566999999999998</v>
      </c>
      <c r="C263">
        <v>2.1566999999999998</v>
      </c>
      <c r="D263">
        <v>2.1566999999999998</v>
      </c>
      <c r="E263">
        <v>2.1566999999999998</v>
      </c>
      <c r="F263">
        <v>2.1566999999999998</v>
      </c>
      <c r="G263">
        <v>2.1566999999999998</v>
      </c>
      <c r="H263">
        <v>2.1566999999999998</v>
      </c>
      <c r="I263">
        <v>2.1566999999999998</v>
      </c>
      <c r="J263">
        <v>2.1566999999999998</v>
      </c>
      <c r="L263">
        <f t="shared" si="3"/>
        <v>2156.6999999999998</v>
      </c>
      <c r="M263">
        <f t="shared" si="2"/>
        <v>2156.6999999999998</v>
      </c>
      <c r="N263">
        <f t="shared" si="2"/>
        <v>2156.6999999999998</v>
      </c>
      <c r="O263">
        <f t="shared" si="2"/>
        <v>2156.6999999999998</v>
      </c>
      <c r="P263">
        <f t="shared" si="2"/>
        <v>2156.6999999999998</v>
      </c>
      <c r="Q263">
        <f t="shared" si="2"/>
        <v>2156.6999999999998</v>
      </c>
      <c r="R263">
        <f t="shared" si="2"/>
        <v>2156.6999999999998</v>
      </c>
      <c r="S263">
        <f t="shared" si="2"/>
        <v>2156.6999999999998</v>
      </c>
      <c r="T263">
        <f t="shared" si="2"/>
        <v>2156.6999999999998</v>
      </c>
    </row>
    <row r="264" spans="1:20" x14ac:dyDescent="0.4">
      <c r="A264">
        <v>2025</v>
      </c>
      <c r="B264">
        <v>3.2250000000000001</v>
      </c>
      <c r="C264">
        <v>3.2250000000000001</v>
      </c>
      <c r="D264">
        <v>3.2250000000000001</v>
      </c>
      <c r="E264">
        <v>3.2250000000000001</v>
      </c>
      <c r="F264">
        <v>3.2250000000000001</v>
      </c>
      <c r="G264">
        <v>3.2250000000000001</v>
      </c>
      <c r="H264">
        <v>3.2250000000000001</v>
      </c>
      <c r="I264">
        <v>3.2250000000000001</v>
      </c>
      <c r="J264">
        <v>3.2250000000000001</v>
      </c>
      <c r="L264">
        <f t="shared" si="3"/>
        <v>3225</v>
      </c>
      <c r="M264">
        <f t="shared" si="2"/>
        <v>3225</v>
      </c>
      <c r="N264">
        <f t="shared" si="2"/>
        <v>3225</v>
      </c>
      <c r="O264">
        <f t="shared" si="2"/>
        <v>3225</v>
      </c>
      <c r="P264">
        <f t="shared" si="2"/>
        <v>3225</v>
      </c>
      <c r="Q264">
        <f t="shared" si="2"/>
        <v>3225</v>
      </c>
      <c r="R264">
        <f t="shared" si="2"/>
        <v>3225</v>
      </c>
      <c r="S264">
        <f t="shared" si="2"/>
        <v>3225</v>
      </c>
      <c r="T264">
        <f t="shared" si="2"/>
        <v>3225</v>
      </c>
    </row>
    <row r="265" spans="1:20" x14ac:dyDescent="0.4">
      <c r="A265">
        <v>2026</v>
      </c>
      <c r="B265">
        <v>2.4</v>
      </c>
      <c r="C265">
        <v>2.4</v>
      </c>
      <c r="D265">
        <v>2.4</v>
      </c>
      <c r="E265">
        <v>2.4</v>
      </c>
      <c r="F265">
        <v>2.4</v>
      </c>
      <c r="G265">
        <v>2.4</v>
      </c>
      <c r="H265">
        <v>2.4</v>
      </c>
      <c r="I265">
        <v>2.4</v>
      </c>
      <c r="J265">
        <v>2.4</v>
      </c>
      <c r="L265">
        <f t="shared" si="3"/>
        <v>2400</v>
      </c>
      <c r="M265">
        <f t="shared" si="2"/>
        <v>2400</v>
      </c>
      <c r="N265">
        <f t="shared" si="2"/>
        <v>2400</v>
      </c>
      <c r="O265">
        <f t="shared" si="2"/>
        <v>2400</v>
      </c>
      <c r="P265">
        <f t="shared" si="2"/>
        <v>2400</v>
      </c>
      <c r="Q265">
        <f t="shared" si="2"/>
        <v>2400</v>
      </c>
      <c r="R265">
        <f t="shared" si="2"/>
        <v>2400</v>
      </c>
      <c r="S265">
        <f t="shared" si="2"/>
        <v>2400</v>
      </c>
      <c r="T265">
        <f t="shared" si="2"/>
        <v>2400</v>
      </c>
    </row>
    <row r="266" spans="1:20" x14ac:dyDescent="0.4">
      <c r="A266">
        <v>2027</v>
      </c>
      <c r="B266">
        <v>2.4</v>
      </c>
      <c r="C266">
        <v>2.4</v>
      </c>
      <c r="D266">
        <v>2.4</v>
      </c>
      <c r="E266">
        <v>2.4</v>
      </c>
      <c r="F266">
        <v>2.4</v>
      </c>
      <c r="G266">
        <v>2.4</v>
      </c>
      <c r="H266">
        <v>2.4</v>
      </c>
      <c r="I266">
        <v>2.4</v>
      </c>
      <c r="J266">
        <v>2.4</v>
      </c>
      <c r="L266">
        <f t="shared" si="3"/>
        <v>2400</v>
      </c>
      <c r="M266">
        <f t="shared" si="2"/>
        <v>2400</v>
      </c>
      <c r="N266">
        <f t="shared" si="2"/>
        <v>2400</v>
      </c>
      <c r="O266">
        <f t="shared" si="2"/>
        <v>2400</v>
      </c>
      <c r="P266">
        <f t="shared" si="2"/>
        <v>2400</v>
      </c>
      <c r="Q266">
        <f t="shared" si="2"/>
        <v>2400</v>
      </c>
      <c r="R266">
        <f t="shared" si="2"/>
        <v>2400</v>
      </c>
      <c r="S266">
        <f t="shared" si="2"/>
        <v>2400</v>
      </c>
      <c r="T266">
        <f t="shared" si="2"/>
        <v>2400</v>
      </c>
    </row>
    <row r="267" spans="1:20" x14ac:dyDescent="0.4">
      <c r="A267">
        <v>2028</v>
      </c>
      <c r="B267">
        <v>2.2000000000000002</v>
      </c>
      <c r="C267">
        <v>2.2000000000000002</v>
      </c>
      <c r="D267">
        <v>2.2000000000000002</v>
      </c>
      <c r="E267">
        <v>2.2000000000000002</v>
      </c>
      <c r="F267">
        <v>2.2000000000000002</v>
      </c>
      <c r="G267">
        <v>2.2000000000000002</v>
      </c>
      <c r="H267">
        <v>2.2000000000000002</v>
      </c>
      <c r="I267">
        <v>2.2000000000000002</v>
      </c>
      <c r="J267">
        <v>2.2000000000000002</v>
      </c>
      <c r="L267">
        <f t="shared" si="3"/>
        <v>2200</v>
      </c>
      <c r="M267">
        <f t="shared" si="2"/>
        <v>2200</v>
      </c>
      <c r="N267">
        <f t="shared" si="2"/>
        <v>2200</v>
      </c>
      <c r="O267">
        <f t="shared" si="2"/>
        <v>2200</v>
      </c>
      <c r="P267">
        <f t="shared" si="2"/>
        <v>2200</v>
      </c>
      <c r="Q267">
        <f t="shared" si="2"/>
        <v>2200</v>
      </c>
      <c r="R267">
        <f t="shared" si="2"/>
        <v>2200</v>
      </c>
      <c r="S267">
        <f t="shared" si="2"/>
        <v>2200</v>
      </c>
      <c r="T267">
        <f t="shared" si="2"/>
        <v>2200</v>
      </c>
    </row>
    <row r="268" spans="1:20" x14ac:dyDescent="0.4">
      <c r="A268">
        <v>2029</v>
      </c>
      <c r="B268">
        <v>2.2000000000000002</v>
      </c>
      <c r="C268">
        <v>2.2000000000000002</v>
      </c>
      <c r="D268">
        <v>2.2000000000000002</v>
      </c>
      <c r="E268">
        <v>2.2000000000000002</v>
      </c>
      <c r="F268">
        <v>2.2000000000000002</v>
      </c>
      <c r="G268">
        <v>2.2000000000000002</v>
      </c>
      <c r="H268">
        <v>2.2000000000000002</v>
      </c>
      <c r="I268">
        <v>2.2000000000000002</v>
      </c>
      <c r="J268">
        <v>2.2000000000000002</v>
      </c>
      <c r="L268">
        <f t="shared" si="3"/>
        <v>2200</v>
      </c>
      <c r="M268">
        <f t="shared" si="2"/>
        <v>2200</v>
      </c>
      <c r="N268">
        <f t="shared" si="2"/>
        <v>2200</v>
      </c>
      <c r="O268">
        <f t="shared" si="2"/>
        <v>2200</v>
      </c>
      <c r="P268">
        <f t="shared" si="2"/>
        <v>2200</v>
      </c>
      <c r="Q268">
        <f t="shared" si="2"/>
        <v>2200</v>
      </c>
      <c r="R268">
        <f t="shared" si="2"/>
        <v>2200</v>
      </c>
      <c r="S268">
        <f t="shared" si="2"/>
        <v>2200</v>
      </c>
      <c r="T268">
        <f t="shared" si="2"/>
        <v>2200</v>
      </c>
    </row>
    <row r="269" spans="1:20" x14ac:dyDescent="0.4">
      <c r="A269">
        <v>2030</v>
      </c>
      <c r="B269">
        <v>2.2000000000000002</v>
      </c>
      <c r="C269">
        <v>2.2000000000000002</v>
      </c>
      <c r="D269">
        <v>2.2000000000000002</v>
      </c>
      <c r="E269">
        <v>2.2000000000000002</v>
      </c>
      <c r="F269">
        <v>2.2000000000000002</v>
      </c>
      <c r="G269">
        <v>2.2000000000000002</v>
      </c>
      <c r="H269">
        <v>2.2000000000000002</v>
      </c>
      <c r="I269">
        <v>2.2000000000000002</v>
      </c>
      <c r="J269">
        <v>2.2000000000000002</v>
      </c>
      <c r="L269">
        <f t="shared" si="3"/>
        <v>2200</v>
      </c>
      <c r="M269">
        <f t="shared" si="2"/>
        <v>2200</v>
      </c>
      <c r="N269">
        <f t="shared" si="2"/>
        <v>2200</v>
      </c>
      <c r="O269">
        <f t="shared" si="2"/>
        <v>2200</v>
      </c>
      <c r="P269">
        <f t="shared" si="2"/>
        <v>2200</v>
      </c>
      <c r="Q269">
        <f t="shared" si="2"/>
        <v>2200</v>
      </c>
      <c r="R269">
        <f t="shared" si="2"/>
        <v>2200</v>
      </c>
      <c r="S269">
        <f t="shared" si="2"/>
        <v>2200</v>
      </c>
      <c r="T269">
        <f t="shared" si="2"/>
        <v>2200</v>
      </c>
    </row>
    <row r="270" spans="1:20" x14ac:dyDescent="0.4">
      <c r="A270">
        <v>2031</v>
      </c>
      <c r="B270">
        <v>2.2000000000000002</v>
      </c>
      <c r="C270">
        <v>2.2000000000000002</v>
      </c>
      <c r="D270">
        <v>2.2000000000000002</v>
      </c>
      <c r="E270">
        <v>2.2000000000000002</v>
      </c>
      <c r="F270">
        <v>2.2000000000000002</v>
      </c>
      <c r="G270">
        <v>2.2000000000000002</v>
      </c>
      <c r="H270">
        <v>2.2000000000000002</v>
      </c>
      <c r="I270">
        <v>2.2000000000000002</v>
      </c>
      <c r="J270">
        <v>2.2000000000000002</v>
      </c>
      <c r="L270">
        <f t="shared" si="3"/>
        <v>2200</v>
      </c>
      <c r="M270">
        <f t="shared" si="2"/>
        <v>2200</v>
      </c>
      <c r="N270">
        <f t="shared" si="2"/>
        <v>2200</v>
      </c>
      <c r="O270">
        <f t="shared" si="2"/>
        <v>2200</v>
      </c>
      <c r="P270">
        <f t="shared" si="2"/>
        <v>2200</v>
      </c>
      <c r="Q270">
        <f t="shared" si="2"/>
        <v>2200</v>
      </c>
      <c r="R270">
        <f t="shared" si="2"/>
        <v>2200</v>
      </c>
      <c r="S270">
        <f t="shared" si="2"/>
        <v>2200</v>
      </c>
      <c r="T270">
        <f t="shared" si="2"/>
        <v>2200</v>
      </c>
    </row>
    <row r="271" spans="1:20" x14ac:dyDescent="0.4">
      <c r="A271">
        <v>2032</v>
      </c>
      <c r="B271">
        <v>2.2000000000000002</v>
      </c>
      <c r="C271">
        <v>2.2000000000000002</v>
      </c>
      <c r="D271">
        <v>2.2000000000000002</v>
      </c>
      <c r="E271">
        <v>2.2000000000000002</v>
      </c>
      <c r="F271">
        <v>2.2000000000000002</v>
      </c>
      <c r="G271">
        <v>2.2000000000000002</v>
      </c>
      <c r="H271">
        <v>2.2000000000000002</v>
      </c>
      <c r="I271">
        <v>2.2000000000000002</v>
      </c>
      <c r="J271">
        <v>2.2000000000000002</v>
      </c>
      <c r="L271">
        <f t="shared" si="3"/>
        <v>2200</v>
      </c>
      <c r="M271">
        <f t="shared" si="2"/>
        <v>2200</v>
      </c>
      <c r="N271">
        <f t="shared" si="2"/>
        <v>2200</v>
      </c>
      <c r="O271">
        <f t="shared" si="2"/>
        <v>2200</v>
      </c>
      <c r="P271">
        <f t="shared" si="2"/>
        <v>2200</v>
      </c>
      <c r="Q271">
        <f t="shared" si="2"/>
        <v>2200</v>
      </c>
      <c r="R271">
        <f t="shared" si="2"/>
        <v>2200</v>
      </c>
      <c r="S271">
        <f t="shared" si="2"/>
        <v>2200</v>
      </c>
      <c r="T271">
        <f t="shared" si="2"/>
        <v>2200</v>
      </c>
    </row>
    <row r="272" spans="1:20" x14ac:dyDescent="0.4">
      <c r="A272">
        <v>2033</v>
      </c>
      <c r="B272">
        <v>2.2000000000000002</v>
      </c>
      <c r="C272">
        <v>2.2000000000000002</v>
      </c>
      <c r="D272">
        <v>2.2000000000000002</v>
      </c>
      <c r="E272">
        <v>2.2000000000000002</v>
      </c>
      <c r="F272">
        <v>2.2000000000000002</v>
      </c>
      <c r="G272">
        <v>2.2000000000000002</v>
      </c>
      <c r="H272">
        <v>2.2000000000000002</v>
      </c>
      <c r="I272">
        <v>2.2000000000000002</v>
      </c>
      <c r="J272">
        <v>2.2000000000000002</v>
      </c>
      <c r="L272">
        <f t="shared" si="3"/>
        <v>2200</v>
      </c>
      <c r="M272">
        <f t="shared" si="2"/>
        <v>2200</v>
      </c>
      <c r="N272">
        <f t="shared" si="2"/>
        <v>2200</v>
      </c>
      <c r="O272">
        <f t="shared" si="2"/>
        <v>2200</v>
      </c>
      <c r="P272">
        <f t="shared" si="2"/>
        <v>2200</v>
      </c>
      <c r="Q272">
        <f t="shared" si="2"/>
        <v>2200</v>
      </c>
      <c r="R272">
        <f t="shared" si="2"/>
        <v>2200</v>
      </c>
      <c r="S272">
        <f t="shared" si="2"/>
        <v>2200</v>
      </c>
      <c r="T272">
        <f t="shared" si="2"/>
        <v>2200</v>
      </c>
    </row>
    <row r="273" spans="1:20" x14ac:dyDescent="0.4">
      <c r="A273">
        <v>2034</v>
      </c>
      <c r="B273">
        <v>2.2000000000000002</v>
      </c>
      <c r="C273">
        <v>2.2000000000000002</v>
      </c>
      <c r="D273">
        <v>2.2000000000000002</v>
      </c>
      <c r="E273">
        <v>2.2000000000000002</v>
      </c>
      <c r="F273">
        <v>2.2000000000000002</v>
      </c>
      <c r="G273">
        <v>2.2000000000000002</v>
      </c>
      <c r="H273">
        <v>2.2000000000000002</v>
      </c>
      <c r="I273">
        <v>2.2000000000000002</v>
      </c>
      <c r="J273">
        <v>2.2000000000000002</v>
      </c>
      <c r="L273">
        <f t="shared" si="3"/>
        <v>2200</v>
      </c>
      <c r="M273">
        <f t="shared" si="2"/>
        <v>2200</v>
      </c>
      <c r="N273">
        <f t="shared" si="2"/>
        <v>2200</v>
      </c>
      <c r="O273">
        <f t="shared" si="2"/>
        <v>2200</v>
      </c>
      <c r="P273">
        <f t="shared" si="2"/>
        <v>2200</v>
      </c>
      <c r="Q273">
        <f t="shared" si="2"/>
        <v>2200</v>
      </c>
      <c r="R273">
        <f t="shared" si="2"/>
        <v>2200</v>
      </c>
      <c r="S273">
        <f t="shared" si="2"/>
        <v>2200</v>
      </c>
      <c r="T273">
        <f t="shared" si="2"/>
        <v>2200</v>
      </c>
    </row>
    <row r="275" spans="1:20" x14ac:dyDescent="0.4">
      <c r="A275" t="s">
        <v>26</v>
      </c>
      <c r="B275" t="s">
        <v>25</v>
      </c>
      <c r="C275" t="s">
        <v>24</v>
      </c>
    </row>
    <row r="277" spans="1:20" x14ac:dyDescent="0.4">
      <c r="A277" t="s">
        <v>22</v>
      </c>
      <c r="B277" t="s">
        <v>34</v>
      </c>
      <c r="C277" t="s">
        <v>33</v>
      </c>
    </row>
    <row r="278" spans="1:20" x14ac:dyDescent="0.4">
      <c r="A278">
        <v>2021</v>
      </c>
      <c r="B278">
        <v>0.52700000000000002</v>
      </c>
      <c r="C278">
        <v>9.4899999999999998E-2</v>
      </c>
    </row>
    <row r="279" spans="1:20" x14ac:dyDescent="0.4">
      <c r="A279">
        <v>2022</v>
      </c>
      <c r="B279">
        <v>0.37259999999999999</v>
      </c>
      <c r="C279">
        <v>7.4999999999999997E-2</v>
      </c>
    </row>
    <row r="280" spans="1:20" x14ac:dyDescent="0.4">
      <c r="A280">
        <v>2023</v>
      </c>
      <c r="B280">
        <v>0.38140000000000002</v>
      </c>
      <c r="C280">
        <v>9.0800000000000006E-2</v>
      </c>
    </row>
    <row r="281" spans="1:20" x14ac:dyDescent="0.4">
      <c r="A281">
        <v>2024</v>
      </c>
      <c r="B281">
        <v>0.4239</v>
      </c>
      <c r="C281">
        <v>0.1202</v>
      </c>
    </row>
    <row r="282" spans="1:20" x14ac:dyDescent="0.4">
      <c r="A282">
        <v>2025</v>
      </c>
      <c r="B282">
        <v>0.69840000000000002</v>
      </c>
      <c r="C282">
        <v>0.2717</v>
      </c>
    </row>
    <row r="283" spans="1:20" x14ac:dyDescent="0.4">
      <c r="A283">
        <v>2026</v>
      </c>
      <c r="B283">
        <v>0.6109</v>
      </c>
      <c r="C283">
        <v>0.33639999999999998</v>
      </c>
    </row>
    <row r="284" spans="1:20" x14ac:dyDescent="0.4">
      <c r="A284">
        <v>2027</v>
      </c>
      <c r="B284">
        <v>0.6603</v>
      </c>
      <c r="C284">
        <v>0.44429999999999997</v>
      </c>
    </row>
    <row r="285" spans="1:20" x14ac:dyDescent="0.4">
      <c r="A285">
        <v>2028</v>
      </c>
      <c r="B285">
        <v>0.61560000000000004</v>
      </c>
      <c r="C285">
        <v>0.4405</v>
      </c>
    </row>
    <row r="286" spans="1:20" x14ac:dyDescent="0.4">
      <c r="A286">
        <v>2029</v>
      </c>
      <c r="B286">
        <v>0.6149</v>
      </c>
      <c r="C286">
        <v>0.43740000000000001</v>
      </c>
    </row>
    <row r="287" spans="1:20" x14ac:dyDescent="0.4">
      <c r="A287">
        <v>2030</v>
      </c>
      <c r="B287">
        <v>0.61629999999999996</v>
      </c>
      <c r="C287">
        <v>0.4466</v>
      </c>
    </row>
    <row r="288" spans="1:20" x14ac:dyDescent="0.4">
      <c r="A288">
        <v>2031</v>
      </c>
      <c r="B288">
        <v>0.61819999999999997</v>
      </c>
      <c r="C288">
        <v>0.46260000000000001</v>
      </c>
    </row>
    <row r="289" spans="1:21" x14ac:dyDescent="0.4">
      <c r="A289">
        <v>2032</v>
      </c>
      <c r="B289">
        <v>0.61880000000000002</v>
      </c>
      <c r="C289">
        <v>0.47660000000000002</v>
      </c>
    </row>
    <row r="290" spans="1:21" x14ac:dyDescent="0.4">
      <c r="A290">
        <v>2033</v>
      </c>
      <c r="B290">
        <v>0.61829999999999996</v>
      </c>
      <c r="C290">
        <v>0.47149999999999997</v>
      </c>
    </row>
    <row r="291" spans="1:21" x14ac:dyDescent="0.4">
      <c r="A291">
        <v>2034</v>
      </c>
      <c r="B291">
        <v>0.61799999999999999</v>
      </c>
      <c r="C291">
        <v>0.4667</v>
      </c>
    </row>
    <row r="293" spans="1:21" x14ac:dyDescent="0.4">
      <c r="A293" t="s">
        <v>26</v>
      </c>
      <c r="B293" t="s">
        <v>25</v>
      </c>
      <c r="C293" t="s">
        <v>24</v>
      </c>
      <c r="D293" t="s">
        <v>32</v>
      </c>
    </row>
    <row r="295" spans="1:21" x14ac:dyDescent="0.4">
      <c r="A295" t="s">
        <v>22</v>
      </c>
      <c r="B295" s="2">
        <v>0.01</v>
      </c>
      <c r="C295" s="2">
        <v>0.05</v>
      </c>
      <c r="D295" s="2">
        <v>0.1</v>
      </c>
      <c r="E295" s="2">
        <v>0.25</v>
      </c>
      <c r="F295" s="2">
        <v>0.5</v>
      </c>
      <c r="G295" s="2">
        <v>0.75</v>
      </c>
      <c r="H295" s="2">
        <v>0.9</v>
      </c>
      <c r="I295" s="2">
        <v>0.95</v>
      </c>
      <c r="J295" s="2">
        <v>0.99</v>
      </c>
      <c r="L295" t="s">
        <v>22</v>
      </c>
      <c r="M295" s="2">
        <v>0.01</v>
      </c>
      <c r="N295" s="2">
        <v>0.05</v>
      </c>
      <c r="O295" s="2">
        <v>0.1</v>
      </c>
      <c r="P295" s="2">
        <v>0.25</v>
      </c>
      <c r="Q295" s="2">
        <v>0.5</v>
      </c>
      <c r="R295" s="2">
        <v>0.75</v>
      </c>
      <c r="S295" s="2">
        <v>0.9</v>
      </c>
      <c r="T295" s="2">
        <v>0.95</v>
      </c>
      <c r="U295" s="2">
        <v>0.99</v>
      </c>
    </row>
    <row r="296" spans="1:21" x14ac:dyDescent="0.4">
      <c r="A296">
        <v>2021</v>
      </c>
      <c r="B296">
        <v>0.28360000000000002</v>
      </c>
      <c r="C296">
        <v>0.38619999999999999</v>
      </c>
      <c r="D296">
        <v>0.41810000000000003</v>
      </c>
      <c r="E296">
        <v>0.46310000000000001</v>
      </c>
      <c r="F296">
        <v>0.52449999999999997</v>
      </c>
      <c r="G296">
        <v>0.58340000000000003</v>
      </c>
      <c r="H296">
        <v>0.63739999999999997</v>
      </c>
      <c r="I296">
        <v>0.67230000000000001</v>
      </c>
      <c r="J296">
        <v>0.82850000000000001</v>
      </c>
      <c r="L296">
        <v>2021</v>
      </c>
      <c r="M296" s="14">
        <f>B296*0.63</f>
        <v>0.17866800000000002</v>
      </c>
      <c r="N296" s="14">
        <f t="shared" ref="N296:U309" si="4">C296*0.63</f>
        <v>0.24330599999999999</v>
      </c>
      <c r="O296" s="14">
        <f t="shared" si="4"/>
        <v>0.263403</v>
      </c>
      <c r="P296" s="14">
        <f t="shared" si="4"/>
        <v>0.29175299999999998</v>
      </c>
      <c r="Q296" s="14">
        <f t="shared" si="4"/>
        <v>0.33043499999999998</v>
      </c>
      <c r="R296" s="14">
        <f t="shared" si="4"/>
        <v>0.36754200000000004</v>
      </c>
      <c r="S296" s="14">
        <f t="shared" si="4"/>
        <v>0.40156199999999997</v>
      </c>
      <c r="T296" s="14">
        <f t="shared" si="4"/>
        <v>0.42354900000000001</v>
      </c>
      <c r="U296" s="14">
        <f t="shared" si="4"/>
        <v>0.52195500000000006</v>
      </c>
    </row>
    <row r="297" spans="1:21" x14ac:dyDescent="0.4">
      <c r="A297">
        <v>2022</v>
      </c>
      <c r="B297">
        <v>0.2258</v>
      </c>
      <c r="C297">
        <v>0.26040000000000002</v>
      </c>
      <c r="D297">
        <v>0.28010000000000002</v>
      </c>
      <c r="E297">
        <v>0.32490000000000002</v>
      </c>
      <c r="F297">
        <v>0.36380000000000001</v>
      </c>
      <c r="G297">
        <v>0.41489999999999999</v>
      </c>
      <c r="H297">
        <v>0.47249999999999998</v>
      </c>
      <c r="I297">
        <v>0.50970000000000004</v>
      </c>
      <c r="J297">
        <v>0.58789999999999998</v>
      </c>
      <c r="L297">
        <v>2022</v>
      </c>
      <c r="M297" s="14">
        <f t="shared" ref="M297:M309" si="5">B297*0.63</f>
        <v>0.14225399999999999</v>
      </c>
      <c r="N297" s="14">
        <f t="shared" si="4"/>
        <v>0.164052</v>
      </c>
      <c r="O297" s="14">
        <f t="shared" si="4"/>
        <v>0.17646300000000001</v>
      </c>
      <c r="P297" s="14">
        <f t="shared" si="4"/>
        <v>0.20468700000000001</v>
      </c>
      <c r="Q297" s="14">
        <f t="shared" si="4"/>
        <v>0.22919400000000001</v>
      </c>
      <c r="R297" s="14">
        <f t="shared" si="4"/>
        <v>0.26138699999999998</v>
      </c>
      <c r="S297" s="14">
        <f t="shared" si="4"/>
        <v>0.29767499999999997</v>
      </c>
      <c r="T297" s="14">
        <f t="shared" si="4"/>
        <v>0.32111100000000004</v>
      </c>
      <c r="U297" s="14">
        <f t="shared" si="4"/>
        <v>0.37037700000000001</v>
      </c>
    </row>
    <row r="298" spans="1:21" x14ac:dyDescent="0.4">
      <c r="A298">
        <v>2023</v>
      </c>
      <c r="B298">
        <v>0.2238</v>
      </c>
      <c r="C298">
        <v>0.25530000000000003</v>
      </c>
      <c r="D298">
        <v>0.27650000000000002</v>
      </c>
      <c r="E298">
        <v>0.31769999999999998</v>
      </c>
      <c r="F298">
        <v>0.36940000000000001</v>
      </c>
      <c r="G298">
        <v>0.43149999999999999</v>
      </c>
      <c r="H298">
        <v>0.50280000000000002</v>
      </c>
      <c r="I298">
        <v>0.55089999999999995</v>
      </c>
      <c r="J298">
        <v>0.64949999999999997</v>
      </c>
      <c r="L298">
        <v>2023</v>
      </c>
      <c r="M298" s="14">
        <f t="shared" si="5"/>
        <v>0.14099400000000001</v>
      </c>
      <c r="N298" s="14">
        <f t="shared" si="4"/>
        <v>0.16083900000000001</v>
      </c>
      <c r="O298" s="14">
        <f t="shared" si="4"/>
        <v>0.17419500000000002</v>
      </c>
      <c r="P298" s="14">
        <f t="shared" si="4"/>
        <v>0.200151</v>
      </c>
      <c r="Q298" s="14">
        <f t="shared" si="4"/>
        <v>0.23272200000000001</v>
      </c>
      <c r="R298" s="14">
        <f t="shared" si="4"/>
        <v>0.271845</v>
      </c>
      <c r="S298" s="14">
        <f t="shared" si="4"/>
        <v>0.31676400000000005</v>
      </c>
      <c r="T298" s="14">
        <f t="shared" si="4"/>
        <v>0.34706699999999996</v>
      </c>
      <c r="U298" s="14">
        <f t="shared" si="4"/>
        <v>0.40918499999999997</v>
      </c>
    </row>
    <row r="299" spans="1:21" x14ac:dyDescent="0.4">
      <c r="A299">
        <v>2024</v>
      </c>
      <c r="B299">
        <v>0.23280000000000001</v>
      </c>
      <c r="C299">
        <v>0.27100000000000002</v>
      </c>
      <c r="D299">
        <v>0.29449999999999998</v>
      </c>
      <c r="E299">
        <v>0.3397</v>
      </c>
      <c r="F299">
        <v>0.40279999999999999</v>
      </c>
      <c r="G299">
        <v>0.48430000000000001</v>
      </c>
      <c r="H299">
        <v>0.57979999999999998</v>
      </c>
      <c r="I299">
        <v>0.64880000000000004</v>
      </c>
      <c r="J299">
        <v>0.81040000000000001</v>
      </c>
      <c r="L299">
        <v>2024</v>
      </c>
      <c r="M299" s="14">
        <f t="shared" si="5"/>
        <v>0.14666400000000002</v>
      </c>
      <c r="N299" s="14">
        <f t="shared" si="4"/>
        <v>0.17073000000000002</v>
      </c>
      <c r="O299" s="14">
        <f t="shared" si="4"/>
        <v>0.18553499999999998</v>
      </c>
      <c r="P299" s="14">
        <f t="shared" si="4"/>
        <v>0.21401100000000001</v>
      </c>
      <c r="Q299" s="14">
        <f t="shared" si="4"/>
        <v>0.25376399999999999</v>
      </c>
      <c r="R299" s="14">
        <f t="shared" si="4"/>
        <v>0.30510900000000002</v>
      </c>
      <c r="S299" s="14">
        <f t="shared" si="4"/>
        <v>0.36527399999999999</v>
      </c>
      <c r="T299" s="14">
        <f t="shared" si="4"/>
        <v>0.40874400000000005</v>
      </c>
      <c r="U299" s="14">
        <f t="shared" si="4"/>
        <v>0.51055200000000001</v>
      </c>
    </row>
    <row r="300" spans="1:21" x14ac:dyDescent="0.4">
      <c r="A300">
        <v>2025</v>
      </c>
      <c r="B300">
        <v>0.33460000000000001</v>
      </c>
      <c r="C300">
        <v>0.40200000000000002</v>
      </c>
      <c r="D300">
        <v>0.44140000000000001</v>
      </c>
      <c r="E300">
        <v>0.52029999999999998</v>
      </c>
      <c r="F300">
        <v>0.63739999999999997</v>
      </c>
      <c r="G300">
        <v>0.80420000000000003</v>
      </c>
      <c r="H300">
        <v>1.0209999999999999</v>
      </c>
      <c r="I300">
        <v>1.1937</v>
      </c>
      <c r="J300">
        <v>1.6615</v>
      </c>
      <c r="L300">
        <v>2025</v>
      </c>
      <c r="M300" s="14">
        <f t="shared" si="5"/>
        <v>0.21079800000000001</v>
      </c>
      <c r="N300" s="14">
        <f t="shared" si="4"/>
        <v>0.25326000000000004</v>
      </c>
      <c r="O300" s="14">
        <f t="shared" si="4"/>
        <v>0.278082</v>
      </c>
      <c r="P300" s="14">
        <f t="shared" si="4"/>
        <v>0.327789</v>
      </c>
      <c r="Q300" s="14">
        <f t="shared" si="4"/>
        <v>0.40156199999999997</v>
      </c>
      <c r="R300" s="14">
        <f t="shared" si="4"/>
        <v>0.50664600000000004</v>
      </c>
      <c r="S300" s="14">
        <f t="shared" si="4"/>
        <v>0.64322999999999997</v>
      </c>
      <c r="T300" s="14">
        <f t="shared" si="4"/>
        <v>0.75203100000000001</v>
      </c>
      <c r="U300" s="14">
        <f t="shared" si="4"/>
        <v>1.046745</v>
      </c>
    </row>
    <row r="301" spans="1:21" x14ac:dyDescent="0.4">
      <c r="A301">
        <v>2026</v>
      </c>
      <c r="B301">
        <v>0.25469999999999998</v>
      </c>
      <c r="C301">
        <v>0.31390000000000001</v>
      </c>
      <c r="D301">
        <v>0.34899999999999998</v>
      </c>
      <c r="E301">
        <v>0.41980000000000001</v>
      </c>
      <c r="F301">
        <v>0.53110000000000002</v>
      </c>
      <c r="G301">
        <v>0.70009999999999994</v>
      </c>
      <c r="H301">
        <v>0.93700000000000006</v>
      </c>
      <c r="I301">
        <v>1.1473</v>
      </c>
      <c r="J301">
        <v>1.8367</v>
      </c>
      <c r="L301">
        <v>2026</v>
      </c>
      <c r="M301" s="14">
        <f t="shared" si="5"/>
        <v>0.16046099999999999</v>
      </c>
      <c r="N301" s="14">
        <f t="shared" si="4"/>
        <v>0.19775700000000002</v>
      </c>
      <c r="O301" s="14">
        <f t="shared" si="4"/>
        <v>0.21986999999999998</v>
      </c>
      <c r="P301" s="14">
        <f t="shared" si="4"/>
        <v>0.26447399999999999</v>
      </c>
      <c r="Q301" s="14">
        <f t="shared" si="4"/>
        <v>0.33459300000000003</v>
      </c>
      <c r="R301" s="14">
        <f t="shared" si="4"/>
        <v>0.44106299999999998</v>
      </c>
      <c r="S301" s="14">
        <f t="shared" si="4"/>
        <v>0.59031</v>
      </c>
      <c r="T301" s="14">
        <f t="shared" si="4"/>
        <v>0.72279899999999997</v>
      </c>
      <c r="U301" s="14">
        <f t="shared" si="4"/>
        <v>1.1571210000000001</v>
      </c>
    </row>
    <row r="302" spans="1:21" x14ac:dyDescent="0.4">
      <c r="A302">
        <v>2027</v>
      </c>
      <c r="B302">
        <v>0.25230000000000002</v>
      </c>
      <c r="C302">
        <v>0.318</v>
      </c>
      <c r="D302">
        <v>0.35549999999999998</v>
      </c>
      <c r="E302">
        <v>0.433</v>
      </c>
      <c r="F302">
        <v>0.55589999999999995</v>
      </c>
      <c r="G302">
        <v>0.74729999999999996</v>
      </c>
      <c r="H302">
        <v>1.0357000000000001</v>
      </c>
      <c r="I302">
        <v>1.3055000000000001</v>
      </c>
      <c r="J302">
        <v>2.2761</v>
      </c>
      <c r="L302">
        <v>2027</v>
      </c>
      <c r="M302" s="14">
        <f t="shared" si="5"/>
        <v>0.15894900000000001</v>
      </c>
      <c r="N302" s="14">
        <f t="shared" si="4"/>
        <v>0.20034000000000002</v>
      </c>
      <c r="O302" s="14">
        <f t="shared" si="4"/>
        <v>0.223965</v>
      </c>
      <c r="P302" s="14">
        <f t="shared" si="4"/>
        <v>0.27278999999999998</v>
      </c>
      <c r="Q302" s="14">
        <f t="shared" si="4"/>
        <v>0.35021699999999995</v>
      </c>
      <c r="R302" s="14">
        <f t="shared" si="4"/>
        <v>0.47079899999999997</v>
      </c>
      <c r="S302" s="14">
        <f t="shared" si="4"/>
        <v>0.65249100000000004</v>
      </c>
      <c r="T302" s="14">
        <f t="shared" si="4"/>
        <v>0.82246500000000011</v>
      </c>
      <c r="U302" s="14">
        <f t="shared" si="4"/>
        <v>1.433943</v>
      </c>
    </row>
    <row r="303" spans="1:21" x14ac:dyDescent="0.4">
      <c r="A303">
        <v>2028</v>
      </c>
      <c r="B303">
        <v>0.2303</v>
      </c>
      <c r="C303">
        <v>0.28960000000000002</v>
      </c>
      <c r="D303">
        <v>0.32469999999999999</v>
      </c>
      <c r="E303">
        <v>0.39710000000000001</v>
      </c>
      <c r="F303">
        <v>0.51149999999999995</v>
      </c>
      <c r="G303">
        <v>0.69269999999999998</v>
      </c>
      <c r="H303">
        <v>0.97489999999999999</v>
      </c>
      <c r="I303">
        <v>1.2374000000000001</v>
      </c>
      <c r="J303">
        <v>2.2094</v>
      </c>
      <c r="L303">
        <v>2028</v>
      </c>
      <c r="M303" s="14">
        <f t="shared" si="5"/>
        <v>0.145089</v>
      </c>
      <c r="N303" s="14">
        <f t="shared" si="4"/>
        <v>0.18244800000000003</v>
      </c>
      <c r="O303" s="14">
        <f t="shared" si="4"/>
        <v>0.20456099999999999</v>
      </c>
      <c r="P303" s="14">
        <f t="shared" si="4"/>
        <v>0.25017300000000003</v>
      </c>
      <c r="Q303" s="14">
        <f t="shared" si="4"/>
        <v>0.32224499999999995</v>
      </c>
      <c r="R303" s="14">
        <f t="shared" si="4"/>
        <v>0.43640099999999998</v>
      </c>
      <c r="S303" s="14">
        <f t="shared" si="4"/>
        <v>0.61418700000000004</v>
      </c>
      <c r="T303" s="14">
        <f t="shared" si="4"/>
        <v>0.77956200000000009</v>
      </c>
      <c r="U303" s="14">
        <f t="shared" si="4"/>
        <v>1.3919220000000001</v>
      </c>
    </row>
    <row r="304" spans="1:21" x14ac:dyDescent="0.4">
      <c r="A304">
        <v>2029</v>
      </c>
      <c r="B304">
        <v>0.22850000000000001</v>
      </c>
      <c r="C304">
        <v>0.2873</v>
      </c>
      <c r="D304">
        <v>0.32219999999999999</v>
      </c>
      <c r="E304">
        <v>0.39510000000000001</v>
      </c>
      <c r="F304">
        <v>0.50970000000000004</v>
      </c>
      <c r="G304">
        <v>0.69320000000000004</v>
      </c>
      <c r="H304">
        <v>0.97519999999999996</v>
      </c>
      <c r="I304">
        <v>1.2508999999999999</v>
      </c>
      <c r="J304">
        <v>2.2650999999999999</v>
      </c>
      <c r="L304">
        <v>2029</v>
      </c>
      <c r="M304" s="14">
        <f t="shared" si="5"/>
        <v>0.143955</v>
      </c>
      <c r="N304" s="14">
        <f t="shared" si="4"/>
        <v>0.18099899999999999</v>
      </c>
      <c r="O304" s="14">
        <f t="shared" si="4"/>
        <v>0.202986</v>
      </c>
      <c r="P304" s="14">
        <f t="shared" si="4"/>
        <v>0.248913</v>
      </c>
      <c r="Q304" s="14">
        <f t="shared" si="4"/>
        <v>0.32111100000000004</v>
      </c>
      <c r="R304" s="14">
        <f t="shared" si="4"/>
        <v>0.43671600000000005</v>
      </c>
      <c r="S304" s="14">
        <f t="shared" si="4"/>
        <v>0.61437599999999992</v>
      </c>
      <c r="T304" s="14">
        <f t="shared" si="4"/>
        <v>0.78806699999999996</v>
      </c>
      <c r="U304" s="14">
        <f t="shared" si="4"/>
        <v>1.4270129999999999</v>
      </c>
    </row>
    <row r="305" spans="1:21" x14ac:dyDescent="0.4">
      <c r="A305">
        <v>2030</v>
      </c>
      <c r="B305">
        <v>0.22789999999999999</v>
      </c>
      <c r="C305">
        <v>0.28610000000000002</v>
      </c>
      <c r="D305">
        <v>0.32050000000000001</v>
      </c>
      <c r="E305">
        <v>0.39329999999999998</v>
      </c>
      <c r="F305">
        <v>0.5081</v>
      </c>
      <c r="G305">
        <v>0.69259999999999999</v>
      </c>
      <c r="H305">
        <v>0.97809999999999997</v>
      </c>
      <c r="I305">
        <v>1.2595000000000001</v>
      </c>
      <c r="J305">
        <v>2.3367</v>
      </c>
      <c r="L305">
        <v>2030</v>
      </c>
      <c r="M305" s="14">
        <f t="shared" si="5"/>
        <v>0.14357699999999998</v>
      </c>
      <c r="N305" s="14">
        <f t="shared" si="4"/>
        <v>0.18024300000000001</v>
      </c>
      <c r="O305" s="14">
        <f t="shared" si="4"/>
        <v>0.20191500000000001</v>
      </c>
      <c r="P305" s="14">
        <f t="shared" si="4"/>
        <v>0.247779</v>
      </c>
      <c r="Q305" s="14">
        <f t="shared" si="4"/>
        <v>0.32010300000000003</v>
      </c>
      <c r="R305" s="14">
        <f t="shared" si="4"/>
        <v>0.436338</v>
      </c>
      <c r="S305" s="14">
        <f t="shared" si="4"/>
        <v>0.61620299999999995</v>
      </c>
      <c r="T305" s="14">
        <f t="shared" si="4"/>
        <v>0.793485</v>
      </c>
      <c r="U305" s="14">
        <f t="shared" si="4"/>
        <v>1.472121</v>
      </c>
    </row>
    <row r="306" spans="1:21" x14ac:dyDescent="0.4">
      <c r="A306">
        <v>2031</v>
      </c>
      <c r="B306">
        <v>0.2278</v>
      </c>
      <c r="C306">
        <v>0.2853</v>
      </c>
      <c r="D306">
        <v>0.32019999999999998</v>
      </c>
      <c r="E306">
        <v>0.39200000000000002</v>
      </c>
      <c r="F306">
        <v>0.50690000000000002</v>
      </c>
      <c r="G306">
        <v>0.69340000000000002</v>
      </c>
      <c r="H306">
        <v>0.98170000000000002</v>
      </c>
      <c r="I306">
        <v>1.2665</v>
      </c>
      <c r="J306">
        <v>2.3935</v>
      </c>
      <c r="L306">
        <v>2031</v>
      </c>
      <c r="M306" s="14">
        <f t="shared" si="5"/>
        <v>0.143514</v>
      </c>
      <c r="N306" s="14">
        <f t="shared" si="4"/>
        <v>0.17973900000000001</v>
      </c>
      <c r="O306" s="14">
        <f t="shared" si="4"/>
        <v>0.20172599999999999</v>
      </c>
      <c r="P306" s="14">
        <f t="shared" si="4"/>
        <v>0.24696000000000001</v>
      </c>
      <c r="Q306" s="14">
        <f t="shared" si="4"/>
        <v>0.31934699999999999</v>
      </c>
      <c r="R306" s="14">
        <f t="shared" si="4"/>
        <v>0.43684200000000001</v>
      </c>
      <c r="S306" s="14">
        <f t="shared" si="4"/>
        <v>0.61847099999999999</v>
      </c>
      <c r="T306" s="14">
        <f t="shared" si="4"/>
        <v>0.79789500000000002</v>
      </c>
      <c r="U306" s="14">
        <f t="shared" si="4"/>
        <v>1.5079050000000001</v>
      </c>
    </row>
    <row r="307" spans="1:21" x14ac:dyDescent="0.4">
      <c r="A307">
        <v>2032</v>
      </c>
      <c r="B307">
        <v>0.2258</v>
      </c>
      <c r="C307">
        <v>0.28420000000000001</v>
      </c>
      <c r="D307">
        <v>0.31940000000000002</v>
      </c>
      <c r="E307">
        <v>0.39119999999999999</v>
      </c>
      <c r="F307">
        <v>0.50619999999999998</v>
      </c>
      <c r="G307">
        <v>0.69369999999999998</v>
      </c>
      <c r="H307">
        <v>0.98350000000000004</v>
      </c>
      <c r="I307">
        <v>1.2697000000000001</v>
      </c>
      <c r="J307">
        <v>2.3557999999999999</v>
      </c>
      <c r="L307">
        <v>2032</v>
      </c>
      <c r="M307" s="14">
        <f t="shared" si="5"/>
        <v>0.14225399999999999</v>
      </c>
      <c r="N307" s="14">
        <f t="shared" si="4"/>
        <v>0.17904600000000001</v>
      </c>
      <c r="O307" s="14">
        <f t="shared" si="4"/>
        <v>0.20122200000000001</v>
      </c>
      <c r="P307" s="14">
        <f t="shared" si="4"/>
        <v>0.24645600000000001</v>
      </c>
      <c r="Q307" s="14">
        <f t="shared" si="4"/>
        <v>0.31890599999999997</v>
      </c>
      <c r="R307" s="14">
        <f t="shared" si="4"/>
        <v>0.437031</v>
      </c>
      <c r="S307" s="14">
        <f t="shared" si="4"/>
        <v>0.61960500000000007</v>
      </c>
      <c r="T307" s="14">
        <f t="shared" si="4"/>
        <v>0.79991100000000004</v>
      </c>
      <c r="U307" s="14">
        <f t="shared" si="4"/>
        <v>1.484154</v>
      </c>
    </row>
    <row r="308" spans="1:21" x14ac:dyDescent="0.4">
      <c r="A308">
        <v>2033</v>
      </c>
      <c r="B308">
        <v>0.22539999999999999</v>
      </c>
      <c r="C308">
        <v>0.28349999999999997</v>
      </c>
      <c r="D308">
        <v>0.31869999999999998</v>
      </c>
      <c r="E308">
        <v>0.39050000000000001</v>
      </c>
      <c r="F308">
        <v>0.50590000000000002</v>
      </c>
      <c r="G308">
        <v>0.69369999999999998</v>
      </c>
      <c r="H308">
        <v>0.98560000000000003</v>
      </c>
      <c r="I308">
        <v>1.2729999999999999</v>
      </c>
      <c r="J308">
        <v>2.3306</v>
      </c>
      <c r="L308">
        <v>2033</v>
      </c>
      <c r="M308" s="14">
        <f t="shared" si="5"/>
        <v>0.14200199999999999</v>
      </c>
      <c r="N308" s="14">
        <f t="shared" si="4"/>
        <v>0.17860499999999999</v>
      </c>
      <c r="O308" s="14">
        <f t="shared" si="4"/>
        <v>0.20078099999999999</v>
      </c>
      <c r="P308" s="14">
        <f t="shared" si="4"/>
        <v>0.24601500000000001</v>
      </c>
      <c r="Q308" s="14">
        <f t="shared" si="4"/>
        <v>0.31871700000000003</v>
      </c>
      <c r="R308" s="14">
        <f t="shared" si="4"/>
        <v>0.437031</v>
      </c>
      <c r="S308" s="14">
        <f t="shared" si="4"/>
        <v>0.62092800000000004</v>
      </c>
      <c r="T308" s="14">
        <f t="shared" si="4"/>
        <v>0.80198999999999998</v>
      </c>
      <c r="U308" s="14">
        <f t="shared" si="4"/>
        <v>1.468278</v>
      </c>
    </row>
    <row r="309" spans="1:21" x14ac:dyDescent="0.4">
      <c r="A309">
        <v>2034</v>
      </c>
      <c r="B309">
        <v>0.22509999999999999</v>
      </c>
      <c r="C309">
        <v>0.2838</v>
      </c>
      <c r="D309">
        <v>0.31850000000000001</v>
      </c>
      <c r="E309">
        <v>0.3901</v>
      </c>
      <c r="F309">
        <v>0.50539999999999996</v>
      </c>
      <c r="G309">
        <v>0.69120000000000004</v>
      </c>
      <c r="H309">
        <v>0.98929999999999996</v>
      </c>
      <c r="I309">
        <v>1.2765</v>
      </c>
      <c r="J309">
        <v>2.3458000000000001</v>
      </c>
      <c r="L309">
        <v>2034</v>
      </c>
      <c r="M309" s="14">
        <f t="shared" si="5"/>
        <v>0.14181299999999999</v>
      </c>
      <c r="N309" s="14">
        <f t="shared" si="4"/>
        <v>0.17879400000000001</v>
      </c>
      <c r="O309" s="14">
        <f t="shared" si="4"/>
        <v>0.200655</v>
      </c>
      <c r="P309" s="14">
        <f t="shared" si="4"/>
        <v>0.24576300000000001</v>
      </c>
      <c r="Q309" s="14">
        <f t="shared" si="4"/>
        <v>0.31840199999999996</v>
      </c>
      <c r="R309" s="14">
        <f t="shared" si="4"/>
        <v>0.43545600000000001</v>
      </c>
      <c r="S309" s="14">
        <f t="shared" si="4"/>
        <v>0.62325900000000001</v>
      </c>
      <c r="T309" s="14">
        <f t="shared" si="4"/>
        <v>0.80419499999999999</v>
      </c>
      <c r="U309" s="14">
        <f t="shared" si="4"/>
        <v>1.477854</v>
      </c>
    </row>
    <row r="311" spans="1:21" x14ac:dyDescent="0.4">
      <c r="A311" s="1">
        <v>45658</v>
      </c>
      <c r="B311" t="s">
        <v>3</v>
      </c>
      <c r="C311" t="s">
        <v>2</v>
      </c>
      <c r="D311" t="s">
        <v>1</v>
      </c>
      <c r="E311" t="s">
        <v>0</v>
      </c>
      <c r="F311" t="s">
        <v>31</v>
      </c>
      <c r="G311">
        <v>1000</v>
      </c>
      <c r="H311" t="s">
        <v>30</v>
      </c>
    </row>
    <row r="313" spans="1:21" x14ac:dyDescent="0.4">
      <c r="A313">
        <v>2021</v>
      </c>
    </row>
    <row r="315" spans="1:21" x14ac:dyDescent="0.4">
      <c r="A315" t="s">
        <v>0</v>
      </c>
      <c r="B315" s="2">
        <v>0.01</v>
      </c>
      <c r="C315" s="2">
        <v>0.05</v>
      </c>
      <c r="D315" s="2">
        <v>0.1</v>
      </c>
      <c r="E315" s="2">
        <v>0.25</v>
      </c>
      <c r="F315" s="2">
        <v>0.5</v>
      </c>
      <c r="G315" s="2">
        <v>0.75</v>
      </c>
      <c r="H315" s="2">
        <v>0.9</v>
      </c>
      <c r="I315" s="2">
        <v>0.95</v>
      </c>
      <c r="J315" s="2">
        <v>0.99</v>
      </c>
    </row>
    <row r="316" spans="1:21" x14ac:dyDescent="0.4">
      <c r="A316">
        <v>1</v>
      </c>
      <c r="B316">
        <v>140.23699999999999</v>
      </c>
      <c r="C316">
        <v>175.09</v>
      </c>
      <c r="D316">
        <v>184.83199999999999</v>
      </c>
      <c r="E316">
        <v>216.71299999999999</v>
      </c>
      <c r="F316">
        <v>261.14800000000002</v>
      </c>
      <c r="G316">
        <v>317.36900000000003</v>
      </c>
      <c r="H316">
        <v>385.62900000000002</v>
      </c>
      <c r="I316">
        <v>409.50799999999998</v>
      </c>
      <c r="J316">
        <v>464.92500000000001</v>
      </c>
    </row>
    <row r="317" spans="1:21" x14ac:dyDescent="0.4">
      <c r="A317">
        <v>2</v>
      </c>
      <c r="B317">
        <v>58.938899999999997</v>
      </c>
      <c r="C317">
        <v>77.947699999999998</v>
      </c>
      <c r="D317">
        <v>80.861999999999995</v>
      </c>
      <c r="E317">
        <v>85.445099999999996</v>
      </c>
      <c r="F317">
        <v>100.4175</v>
      </c>
      <c r="G317">
        <v>112.524</v>
      </c>
      <c r="H317">
        <v>125.34699999999999</v>
      </c>
      <c r="I317">
        <v>138.49799999999999</v>
      </c>
      <c r="J317">
        <v>148.43899999999999</v>
      </c>
    </row>
    <row r="318" spans="1:21" x14ac:dyDescent="0.4">
      <c r="A318">
        <v>3</v>
      </c>
      <c r="B318">
        <v>34.198599999999999</v>
      </c>
      <c r="C318">
        <v>41.346600000000002</v>
      </c>
      <c r="D318">
        <v>43.517699999999998</v>
      </c>
      <c r="E318">
        <v>47.938099999999999</v>
      </c>
      <c r="F318">
        <v>54.8765</v>
      </c>
      <c r="G318">
        <v>60.445500000000003</v>
      </c>
      <c r="H318">
        <v>67.3245</v>
      </c>
      <c r="I318">
        <v>74.481700000000004</v>
      </c>
      <c r="J318">
        <v>84.833500000000001</v>
      </c>
    </row>
    <row r="319" spans="1:21" x14ac:dyDescent="0.4">
      <c r="A319">
        <v>4</v>
      </c>
      <c r="B319">
        <v>4.4701000000000004</v>
      </c>
      <c r="C319">
        <v>6.3288000000000002</v>
      </c>
      <c r="D319">
        <v>7.3712</v>
      </c>
      <c r="E319">
        <v>8.3369</v>
      </c>
      <c r="F319">
        <v>9.5329999999999995</v>
      </c>
      <c r="G319">
        <v>10.835800000000001</v>
      </c>
      <c r="H319">
        <v>12.5169</v>
      </c>
      <c r="I319">
        <v>14.0136</v>
      </c>
      <c r="J319">
        <v>20.605399999999999</v>
      </c>
    </row>
    <row r="320" spans="1:21" x14ac:dyDescent="0.4">
      <c r="A320">
        <v>5</v>
      </c>
      <c r="B320">
        <v>1.2938000000000001</v>
      </c>
      <c r="C320">
        <v>1.6031</v>
      </c>
      <c r="D320">
        <v>1.7337</v>
      </c>
      <c r="E320">
        <v>2.2441</v>
      </c>
      <c r="F320">
        <v>2.6907000000000001</v>
      </c>
      <c r="G320">
        <v>3.2694999999999999</v>
      </c>
      <c r="H320">
        <v>4.2092000000000001</v>
      </c>
      <c r="I320">
        <v>4.8898000000000001</v>
      </c>
      <c r="J320">
        <v>7.4995000000000003</v>
      </c>
    </row>
    <row r="321" spans="1:10" x14ac:dyDescent="0.4">
      <c r="A321">
        <v>6</v>
      </c>
      <c r="B321">
        <v>0.29170000000000001</v>
      </c>
      <c r="C321">
        <v>0.48420000000000002</v>
      </c>
      <c r="D321">
        <v>0.60240000000000005</v>
      </c>
      <c r="E321">
        <v>0.69359999999999999</v>
      </c>
      <c r="F321">
        <v>0.96650000000000003</v>
      </c>
      <c r="G321">
        <v>1.2286999999999999</v>
      </c>
      <c r="H321">
        <v>1.8233999999999999</v>
      </c>
      <c r="I321">
        <v>2.1764999999999999</v>
      </c>
      <c r="J321">
        <v>5.0518000000000001</v>
      </c>
    </row>
    <row r="322" spans="1:10" x14ac:dyDescent="0.4">
      <c r="A322">
        <v>7</v>
      </c>
      <c r="B322">
        <v>2.7799999999999998E-2</v>
      </c>
      <c r="C322">
        <v>5.8400000000000001E-2</v>
      </c>
      <c r="D322">
        <v>7.3899999999999993E-2</v>
      </c>
      <c r="E322">
        <v>0.10249999999999999</v>
      </c>
      <c r="F322">
        <v>0.15909999999999999</v>
      </c>
      <c r="G322">
        <v>0.2261</v>
      </c>
      <c r="H322">
        <v>0.31640000000000001</v>
      </c>
      <c r="I322">
        <v>0.39960000000000001</v>
      </c>
      <c r="J322">
        <v>1.3048999999999999</v>
      </c>
    </row>
    <row r="323" spans="1:10" x14ac:dyDescent="0.4">
      <c r="A323">
        <v>8</v>
      </c>
      <c r="B323">
        <v>8.2000000000000007E-3</v>
      </c>
      <c r="C323">
        <v>2.92E-2</v>
      </c>
      <c r="D323">
        <v>3.6999999999999998E-2</v>
      </c>
      <c r="E323">
        <v>5.8400000000000001E-2</v>
      </c>
      <c r="F323">
        <v>0.10920000000000001</v>
      </c>
      <c r="G323">
        <v>0.16700000000000001</v>
      </c>
      <c r="H323">
        <v>0.25750000000000001</v>
      </c>
      <c r="I323">
        <v>0.4456</v>
      </c>
      <c r="J323">
        <v>2.1858</v>
      </c>
    </row>
    <row r="324" spans="1:10" x14ac:dyDescent="0.4">
      <c r="A324">
        <v>9</v>
      </c>
      <c r="B324">
        <v>2.9999999999999997E-4</v>
      </c>
      <c r="C324">
        <v>1.4E-3</v>
      </c>
      <c r="D324">
        <v>2.0999999999999999E-3</v>
      </c>
      <c r="E324">
        <v>3.5000000000000001E-3</v>
      </c>
      <c r="F324">
        <v>8.5000000000000006E-3</v>
      </c>
      <c r="G324">
        <v>1.44E-2</v>
      </c>
      <c r="H324">
        <v>2.23E-2</v>
      </c>
      <c r="I324">
        <v>3.3399999999999999E-2</v>
      </c>
      <c r="J324">
        <v>0.2402</v>
      </c>
    </row>
    <row r="325" spans="1:10" x14ac:dyDescent="0.4">
      <c r="A325">
        <v>10</v>
      </c>
      <c r="B325">
        <v>1E-4</v>
      </c>
      <c r="C325">
        <v>5.0000000000000001E-4</v>
      </c>
      <c r="D325">
        <v>6.9999999999999999E-4</v>
      </c>
      <c r="E325">
        <v>1.5E-3</v>
      </c>
      <c r="F325">
        <v>4.3E-3</v>
      </c>
      <c r="G325">
        <v>6.8999999999999999E-3</v>
      </c>
      <c r="H325">
        <v>1.43E-2</v>
      </c>
      <c r="I325">
        <v>2.4199999999999999E-2</v>
      </c>
      <c r="J325">
        <v>0.26090000000000002</v>
      </c>
    </row>
    <row r="326" spans="1:10" x14ac:dyDescent="0.4">
      <c r="A326">
        <v>11</v>
      </c>
      <c r="B326">
        <v>0</v>
      </c>
      <c r="C326">
        <v>1E-4</v>
      </c>
      <c r="D326">
        <v>2.0000000000000001E-4</v>
      </c>
      <c r="E326">
        <v>4.0000000000000002E-4</v>
      </c>
      <c r="F326">
        <v>1.4E-3</v>
      </c>
      <c r="G326">
        <v>2.8E-3</v>
      </c>
      <c r="H326">
        <v>5.1000000000000004E-3</v>
      </c>
      <c r="I326">
        <v>8.2000000000000007E-3</v>
      </c>
      <c r="J326">
        <v>0.1988</v>
      </c>
    </row>
    <row r="327" spans="1:10" x14ac:dyDescent="0.4">
      <c r="A327">
        <v>12</v>
      </c>
      <c r="B327">
        <v>0</v>
      </c>
      <c r="C327">
        <v>0</v>
      </c>
      <c r="D327">
        <v>0</v>
      </c>
      <c r="E327">
        <v>0</v>
      </c>
      <c r="F327">
        <v>1E-4</v>
      </c>
      <c r="G327">
        <v>2.9999999999999997E-4</v>
      </c>
      <c r="H327">
        <v>5.0000000000000001E-4</v>
      </c>
      <c r="I327">
        <v>8.0000000000000004E-4</v>
      </c>
      <c r="J327">
        <v>2.8000000000000001E-2</v>
      </c>
    </row>
    <row r="328" spans="1:10" x14ac:dyDescent="0.4">
      <c r="A328">
        <v>13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2.0000000000000001E-4</v>
      </c>
      <c r="H328">
        <v>2.9999999999999997E-4</v>
      </c>
      <c r="I328">
        <v>5.0000000000000001E-4</v>
      </c>
      <c r="J328">
        <v>3.1600000000000003E-2</v>
      </c>
    </row>
    <row r="329" spans="1:10" x14ac:dyDescent="0.4">
      <c r="A329">
        <v>14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1E-4</v>
      </c>
      <c r="I329">
        <v>1E-4</v>
      </c>
      <c r="J329">
        <v>1.83E-2</v>
      </c>
    </row>
    <row r="330" spans="1:10" x14ac:dyDescent="0.4">
      <c r="A330" t="s">
        <v>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1.2699999999999999E-2</v>
      </c>
    </row>
    <row r="332" spans="1:10" x14ac:dyDescent="0.4">
      <c r="A332">
        <v>2022</v>
      </c>
    </row>
    <row r="334" spans="1:10" x14ac:dyDescent="0.4">
      <c r="A334" t="s">
        <v>0</v>
      </c>
      <c r="B334" s="2">
        <v>0.01</v>
      </c>
      <c r="C334" s="2">
        <v>0.05</v>
      </c>
      <c r="D334" s="2">
        <v>0.1</v>
      </c>
      <c r="E334" s="2">
        <v>0.25</v>
      </c>
      <c r="F334" s="2">
        <v>0.5</v>
      </c>
      <c r="G334" s="2">
        <v>0.75</v>
      </c>
      <c r="H334" s="2">
        <v>0.9</v>
      </c>
      <c r="I334" s="2">
        <v>0.95</v>
      </c>
      <c r="J334" s="2">
        <v>0.99</v>
      </c>
    </row>
    <row r="335" spans="1:10" x14ac:dyDescent="0.4">
      <c r="A335">
        <v>1</v>
      </c>
      <c r="B335">
        <v>68.625500000000002</v>
      </c>
      <c r="C335">
        <v>70.597399999999993</v>
      </c>
      <c r="D335">
        <v>79.130899999999997</v>
      </c>
      <c r="E335">
        <v>104.7516</v>
      </c>
      <c r="F335">
        <v>168.54839999999999</v>
      </c>
      <c r="G335">
        <v>236.24850000000001</v>
      </c>
      <c r="H335">
        <v>278.2079</v>
      </c>
      <c r="I335">
        <v>305.68669999999997</v>
      </c>
      <c r="J335">
        <v>325.32900000000001</v>
      </c>
    </row>
    <row r="336" spans="1:10" x14ac:dyDescent="0.4">
      <c r="A336">
        <v>2</v>
      </c>
      <c r="B336">
        <v>87.806399999999996</v>
      </c>
      <c r="C336">
        <v>104.10250000000001</v>
      </c>
      <c r="D336">
        <v>110.9385</v>
      </c>
      <c r="E336">
        <v>128.11539999999999</v>
      </c>
      <c r="F336">
        <v>156.38300000000001</v>
      </c>
      <c r="G336">
        <v>191.53110000000001</v>
      </c>
      <c r="H336">
        <v>232.785</v>
      </c>
      <c r="I336">
        <v>253.62119999999999</v>
      </c>
      <c r="J336">
        <v>289.22109999999998</v>
      </c>
    </row>
    <row r="337" spans="1:10" x14ac:dyDescent="0.4">
      <c r="A337">
        <v>3</v>
      </c>
      <c r="B337">
        <v>30.159199999999998</v>
      </c>
      <c r="C337">
        <v>40.689100000000003</v>
      </c>
      <c r="D337">
        <v>43.087499999999999</v>
      </c>
      <c r="E337">
        <v>46.791200000000003</v>
      </c>
      <c r="F337">
        <v>54.227800000000002</v>
      </c>
      <c r="G337">
        <v>62.760100000000001</v>
      </c>
      <c r="H337">
        <v>71.621099999999998</v>
      </c>
      <c r="I337">
        <v>78.549899999999994</v>
      </c>
      <c r="J337">
        <v>89.336100000000002</v>
      </c>
    </row>
    <row r="338" spans="1:10" x14ac:dyDescent="0.4">
      <c r="A338">
        <v>4</v>
      </c>
      <c r="B338">
        <v>15.1746</v>
      </c>
      <c r="C338">
        <v>18.615200000000002</v>
      </c>
      <c r="D338">
        <v>20.583400000000001</v>
      </c>
      <c r="E338">
        <v>23.125800000000002</v>
      </c>
      <c r="F338">
        <v>26.542300000000001</v>
      </c>
      <c r="G338">
        <v>30.7363</v>
      </c>
      <c r="H338">
        <v>35.506399999999999</v>
      </c>
      <c r="I338">
        <v>40.018000000000001</v>
      </c>
      <c r="J338">
        <v>49.905099999999997</v>
      </c>
    </row>
    <row r="339" spans="1:10" x14ac:dyDescent="0.4">
      <c r="A339">
        <v>5</v>
      </c>
      <c r="B339">
        <v>1.9766999999999999</v>
      </c>
      <c r="C339">
        <v>2.7492000000000001</v>
      </c>
      <c r="D339">
        <v>3.2517999999999998</v>
      </c>
      <c r="E339">
        <v>3.7738999999999998</v>
      </c>
      <c r="F339">
        <v>4.4690000000000003</v>
      </c>
      <c r="G339">
        <v>5.2525000000000004</v>
      </c>
      <c r="H339">
        <v>6.4302999999999999</v>
      </c>
      <c r="I339">
        <v>7.0868000000000002</v>
      </c>
      <c r="J339">
        <v>11.876200000000001</v>
      </c>
    </row>
    <row r="340" spans="1:10" x14ac:dyDescent="0.4">
      <c r="A340">
        <v>6</v>
      </c>
      <c r="B340">
        <v>0.54069999999999996</v>
      </c>
      <c r="C340">
        <v>0.65720000000000001</v>
      </c>
      <c r="D340">
        <v>0.74180000000000001</v>
      </c>
      <c r="E340">
        <v>1.0001</v>
      </c>
      <c r="F340">
        <v>1.2053</v>
      </c>
      <c r="G340">
        <v>1.5435000000000001</v>
      </c>
      <c r="H340">
        <v>2.0817999999999999</v>
      </c>
      <c r="I340">
        <v>2.4497</v>
      </c>
      <c r="J340">
        <v>4.5867000000000004</v>
      </c>
    </row>
    <row r="341" spans="1:10" x14ac:dyDescent="0.4">
      <c r="A341">
        <v>7</v>
      </c>
      <c r="B341">
        <v>0.13</v>
      </c>
      <c r="C341">
        <v>0.21679999999999999</v>
      </c>
      <c r="D341">
        <v>0.25140000000000001</v>
      </c>
      <c r="E341">
        <v>0.31019999999999998</v>
      </c>
      <c r="F341">
        <v>0.41959999999999997</v>
      </c>
      <c r="G341">
        <v>0.58279999999999998</v>
      </c>
      <c r="H341">
        <v>0.88900000000000001</v>
      </c>
      <c r="I341">
        <v>1.0814999999999999</v>
      </c>
      <c r="J341">
        <v>3.1030000000000002</v>
      </c>
    </row>
    <row r="342" spans="1:10" x14ac:dyDescent="0.4">
      <c r="A342">
        <v>8</v>
      </c>
      <c r="B342">
        <v>1.32E-2</v>
      </c>
      <c r="C342">
        <v>2.5499999999999998E-2</v>
      </c>
      <c r="D342">
        <v>3.2500000000000001E-2</v>
      </c>
      <c r="E342">
        <v>4.5199999999999997E-2</v>
      </c>
      <c r="F342">
        <v>6.9500000000000006E-2</v>
      </c>
      <c r="G342">
        <v>0.1067</v>
      </c>
      <c r="H342">
        <v>0.1605</v>
      </c>
      <c r="I342">
        <v>0.2069</v>
      </c>
      <c r="J342">
        <v>0.79510000000000003</v>
      </c>
    </row>
    <row r="343" spans="1:10" x14ac:dyDescent="0.4">
      <c r="A343">
        <v>9</v>
      </c>
      <c r="B343">
        <v>3.8999999999999998E-3</v>
      </c>
      <c r="C343">
        <v>1.2800000000000001E-2</v>
      </c>
      <c r="D343">
        <v>1.6500000000000001E-2</v>
      </c>
      <c r="E343">
        <v>2.7E-2</v>
      </c>
      <c r="F343">
        <v>4.9000000000000002E-2</v>
      </c>
      <c r="G343">
        <v>8.0199999999999994E-2</v>
      </c>
      <c r="H343">
        <v>0.12989999999999999</v>
      </c>
      <c r="I343">
        <v>0.21959999999999999</v>
      </c>
      <c r="J343">
        <v>1.3305</v>
      </c>
    </row>
    <row r="344" spans="1:10" x14ac:dyDescent="0.4">
      <c r="A344">
        <v>10</v>
      </c>
      <c r="B344">
        <v>1E-4</v>
      </c>
      <c r="C344">
        <v>5.9999999999999995E-4</v>
      </c>
      <c r="D344">
        <v>8.9999999999999998E-4</v>
      </c>
      <c r="E344">
        <v>1.6999999999999999E-3</v>
      </c>
      <c r="F344">
        <v>3.8E-3</v>
      </c>
      <c r="G344">
        <v>6.8999999999999999E-3</v>
      </c>
      <c r="H344">
        <v>1.11E-2</v>
      </c>
      <c r="I344">
        <v>1.78E-2</v>
      </c>
      <c r="J344">
        <v>0.1469</v>
      </c>
    </row>
    <row r="345" spans="1:10" x14ac:dyDescent="0.4">
      <c r="A345">
        <v>11</v>
      </c>
      <c r="B345">
        <v>0</v>
      </c>
      <c r="C345">
        <v>2.0000000000000001E-4</v>
      </c>
      <c r="D345">
        <v>2.9999999999999997E-4</v>
      </c>
      <c r="E345">
        <v>6.9999999999999999E-4</v>
      </c>
      <c r="F345">
        <v>2E-3</v>
      </c>
      <c r="G345">
        <v>3.3E-3</v>
      </c>
      <c r="H345">
        <v>7.6E-3</v>
      </c>
      <c r="I345">
        <v>1.23E-2</v>
      </c>
      <c r="J345">
        <v>0.16289999999999999</v>
      </c>
    </row>
    <row r="346" spans="1:10" x14ac:dyDescent="0.4">
      <c r="A346">
        <v>12</v>
      </c>
      <c r="B346">
        <v>0</v>
      </c>
      <c r="C346">
        <v>0</v>
      </c>
      <c r="D346">
        <v>1E-4</v>
      </c>
      <c r="E346">
        <v>2.0000000000000001E-4</v>
      </c>
      <c r="F346">
        <v>6.9999999999999999E-4</v>
      </c>
      <c r="G346">
        <v>1.2999999999999999E-3</v>
      </c>
      <c r="H346">
        <v>2.5999999999999999E-3</v>
      </c>
      <c r="I346">
        <v>4.1999999999999997E-3</v>
      </c>
      <c r="J346">
        <v>0.1273</v>
      </c>
    </row>
    <row r="347" spans="1:10" x14ac:dyDescent="0.4">
      <c r="A347">
        <v>13</v>
      </c>
      <c r="B347">
        <v>0</v>
      </c>
      <c r="C347">
        <v>0</v>
      </c>
      <c r="D347">
        <v>0</v>
      </c>
      <c r="E347">
        <v>0</v>
      </c>
      <c r="F347">
        <v>1E-4</v>
      </c>
      <c r="G347">
        <v>1E-4</v>
      </c>
      <c r="H347">
        <v>2.9999999999999997E-4</v>
      </c>
      <c r="I347">
        <v>4.0000000000000002E-4</v>
      </c>
      <c r="J347">
        <v>1.77E-2</v>
      </c>
    </row>
    <row r="348" spans="1:10" x14ac:dyDescent="0.4">
      <c r="A348">
        <v>14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1E-4</v>
      </c>
      <c r="H348">
        <v>1E-4</v>
      </c>
      <c r="I348">
        <v>2.9999999999999997E-4</v>
      </c>
      <c r="J348">
        <v>2.0199999999999999E-2</v>
      </c>
    </row>
    <row r="349" spans="1:10" x14ac:dyDescent="0.4">
      <c r="A349" t="s">
        <v>29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1E-4</v>
      </c>
      <c r="I349">
        <v>1E-4</v>
      </c>
      <c r="J349">
        <v>1.9900000000000001E-2</v>
      </c>
    </row>
    <row r="351" spans="1:10" x14ac:dyDescent="0.4">
      <c r="A351">
        <v>2023</v>
      </c>
    </row>
    <row r="353" spans="1:10" x14ac:dyDescent="0.4">
      <c r="A353" t="s">
        <v>0</v>
      </c>
      <c r="B353" s="2">
        <v>0.01</v>
      </c>
      <c r="C353" s="2">
        <v>0.05</v>
      </c>
      <c r="D353" s="2">
        <v>0.1</v>
      </c>
      <c r="E353" s="2">
        <v>0.25</v>
      </c>
      <c r="F353" s="2">
        <v>0.5</v>
      </c>
      <c r="G353" s="2">
        <v>0.75</v>
      </c>
      <c r="H353" s="2">
        <v>0.9</v>
      </c>
      <c r="I353" s="2">
        <v>0.95</v>
      </c>
      <c r="J353" s="2">
        <v>0.99</v>
      </c>
    </row>
    <row r="354" spans="1:10" x14ac:dyDescent="0.4">
      <c r="A354">
        <v>1</v>
      </c>
      <c r="B354">
        <v>68.652199999999993</v>
      </c>
      <c r="C354">
        <v>70.710599999999999</v>
      </c>
      <c r="D354">
        <v>79.007400000000004</v>
      </c>
      <c r="E354">
        <v>104.7086</v>
      </c>
      <c r="F354">
        <v>168.64400000000001</v>
      </c>
      <c r="G354">
        <v>237.34880000000001</v>
      </c>
      <c r="H354">
        <v>280.40120000000002</v>
      </c>
      <c r="I354">
        <v>307.08789999999999</v>
      </c>
      <c r="J354">
        <v>334.78089999999997</v>
      </c>
    </row>
    <row r="355" spans="1:10" x14ac:dyDescent="0.4">
      <c r="A355">
        <v>2</v>
      </c>
      <c r="B355">
        <v>39.846699999999998</v>
      </c>
      <c r="C355">
        <v>43.312399999999997</v>
      </c>
      <c r="D355">
        <v>47.464599999999997</v>
      </c>
      <c r="E355">
        <v>62.926299999999998</v>
      </c>
      <c r="F355">
        <v>101.5624</v>
      </c>
      <c r="G355">
        <v>143.1456</v>
      </c>
      <c r="H355">
        <v>170.6848</v>
      </c>
      <c r="I355">
        <v>185.3424</v>
      </c>
      <c r="J355">
        <v>207.38910000000001</v>
      </c>
    </row>
    <row r="356" spans="1:10" x14ac:dyDescent="0.4">
      <c r="A356">
        <v>3</v>
      </c>
      <c r="B356">
        <v>48.246400000000001</v>
      </c>
      <c r="C356">
        <v>57.811700000000002</v>
      </c>
      <c r="D356">
        <v>62.3249</v>
      </c>
      <c r="E356">
        <v>72.710599999999999</v>
      </c>
      <c r="F356">
        <v>90.722200000000001</v>
      </c>
      <c r="G356">
        <v>112.15649999999999</v>
      </c>
      <c r="H356">
        <v>137.79400000000001</v>
      </c>
      <c r="I356">
        <v>151.96719999999999</v>
      </c>
      <c r="J356">
        <v>175.09299999999999</v>
      </c>
    </row>
    <row r="357" spans="1:10" x14ac:dyDescent="0.4">
      <c r="A357">
        <v>4</v>
      </c>
      <c r="B357">
        <v>14.802899999999999</v>
      </c>
      <c r="C357">
        <v>20.567299999999999</v>
      </c>
      <c r="D357">
        <v>22.3568</v>
      </c>
      <c r="E357">
        <v>24.974499999999999</v>
      </c>
      <c r="F357">
        <v>29.4862</v>
      </c>
      <c r="G357">
        <v>34.950499999999998</v>
      </c>
      <c r="H357">
        <v>40.571399999999997</v>
      </c>
      <c r="I357">
        <v>44.719299999999997</v>
      </c>
      <c r="J357">
        <v>51.7408</v>
      </c>
    </row>
    <row r="358" spans="1:10" x14ac:dyDescent="0.4">
      <c r="A358">
        <v>5</v>
      </c>
      <c r="B358">
        <v>7.0435999999999996</v>
      </c>
      <c r="C358">
        <v>9.0314999999999994</v>
      </c>
      <c r="D358">
        <v>10.3081</v>
      </c>
      <c r="E358">
        <v>11.915100000000001</v>
      </c>
      <c r="F358">
        <v>13.906499999999999</v>
      </c>
      <c r="G358">
        <v>16.667999999999999</v>
      </c>
      <c r="H358">
        <v>19.5441</v>
      </c>
      <c r="I358">
        <v>22.487500000000001</v>
      </c>
      <c r="J358">
        <v>29.207999999999998</v>
      </c>
    </row>
    <row r="359" spans="1:10" x14ac:dyDescent="0.4">
      <c r="A359">
        <v>6</v>
      </c>
      <c r="B359">
        <v>0.88470000000000004</v>
      </c>
      <c r="C359">
        <v>1.3466</v>
      </c>
      <c r="D359">
        <v>1.6077999999999999</v>
      </c>
      <c r="E359">
        <v>1.907</v>
      </c>
      <c r="F359">
        <v>2.2913999999999999</v>
      </c>
      <c r="G359">
        <v>2.7694999999999999</v>
      </c>
      <c r="H359">
        <v>3.4961000000000002</v>
      </c>
      <c r="I359">
        <v>3.9009</v>
      </c>
      <c r="J359">
        <v>6.8132999999999999</v>
      </c>
    </row>
    <row r="360" spans="1:10" x14ac:dyDescent="0.4">
      <c r="A360">
        <v>7</v>
      </c>
      <c r="B360">
        <v>0.25130000000000002</v>
      </c>
      <c r="C360">
        <v>0.30420000000000003</v>
      </c>
      <c r="D360">
        <v>0.36840000000000001</v>
      </c>
      <c r="E360">
        <v>0.49630000000000002</v>
      </c>
      <c r="F360">
        <v>0.61760000000000004</v>
      </c>
      <c r="G360">
        <v>0.8054</v>
      </c>
      <c r="H360">
        <v>1.1196999999999999</v>
      </c>
      <c r="I360">
        <v>1.3154999999999999</v>
      </c>
      <c r="J360">
        <v>2.7528000000000001</v>
      </c>
    </row>
    <row r="361" spans="1:10" x14ac:dyDescent="0.4">
      <c r="A361">
        <v>8</v>
      </c>
      <c r="B361">
        <v>6.0199999999999997E-2</v>
      </c>
      <c r="C361">
        <v>0.1074</v>
      </c>
      <c r="D361">
        <v>0.1201</v>
      </c>
      <c r="E361">
        <v>0.15740000000000001</v>
      </c>
      <c r="F361">
        <v>0.21820000000000001</v>
      </c>
      <c r="G361">
        <v>0.30359999999999998</v>
      </c>
      <c r="H361">
        <v>0.48349999999999999</v>
      </c>
      <c r="I361">
        <v>0.57789999999999997</v>
      </c>
      <c r="J361">
        <v>1.79</v>
      </c>
    </row>
    <row r="362" spans="1:10" x14ac:dyDescent="0.4">
      <c r="A362">
        <v>9</v>
      </c>
      <c r="B362">
        <v>6.7999999999999996E-3</v>
      </c>
      <c r="C362">
        <v>1.2800000000000001E-2</v>
      </c>
      <c r="D362">
        <v>1.6299999999999999E-2</v>
      </c>
      <c r="E362">
        <v>2.3199999999999998E-2</v>
      </c>
      <c r="F362">
        <v>3.5700000000000003E-2</v>
      </c>
      <c r="G362">
        <v>5.5599999999999997E-2</v>
      </c>
      <c r="H362">
        <v>8.6599999999999996E-2</v>
      </c>
      <c r="I362">
        <v>0.1114</v>
      </c>
      <c r="J362">
        <v>0.48749999999999999</v>
      </c>
    </row>
    <row r="363" spans="1:10" x14ac:dyDescent="0.4">
      <c r="A363">
        <v>10</v>
      </c>
      <c r="B363">
        <v>2.0999999999999999E-3</v>
      </c>
      <c r="C363">
        <v>6.3E-3</v>
      </c>
      <c r="D363">
        <v>8.3999999999999995E-3</v>
      </c>
      <c r="E363">
        <v>1.4200000000000001E-2</v>
      </c>
      <c r="F363">
        <v>2.5000000000000001E-2</v>
      </c>
      <c r="G363">
        <v>4.2299999999999997E-2</v>
      </c>
      <c r="H363">
        <v>7.1199999999999999E-2</v>
      </c>
      <c r="I363">
        <v>0.11600000000000001</v>
      </c>
      <c r="J363">
        <v>0.80730000000000002</v>
      </c>
    </row>
    <row r="364" spans="1:10" x14ac:dyDescent="0.4">
      <c r="A364">
        <v>11</v>
      </c>
      <c r="B364">
        <v>1E-4</v>
      </c>
      <c r="C364">
        <v>2.9999999999999997E-4</v>
      </c>
      <c r="D364">
        <v>4.0000000000000002E-4</v>
      </c>
      <c r="E364">
        <v>8.9999999999999998E-4</v>
      </c>
      <c r="F364">
        <v>1.9E-3</v>
      </c>
      <c r="G364">
        <v>3.7000000000000002E-3</v>
      </c>
      <c r="H364">
        <v>6.1000000000000004E-3</v>
      </c>
      <c r="I364">
        <v>9.7999999999999997E-3</v>
      </c>
      <c r="J364">
        <v>9.0300000000000005E-2</v>
      </c>
    </row>
    <row r="365" spans="1:10" x14ac:dyDescent="0.4">
      <c r="A365">
        <v>12</v>
      </c>
      <c r="B365">
        <v>0</v>
      </c>
      <c r="C365">
        <v>1E-4</v>
      </c>
      <c r="D365">
        <v>2.0000000000000001E-4</v>
      </c>
      <c r="E365">
        <v>4.0000000000000002E-4</v>
      </c>
      <c r="F365">
        <v>1E-3</v>
      </c>
      <c r="G365">
        <v>1.8E-3</v>
      </c>
      <c r="H365">
        <v>4.1999999999999997E-3</v>
      </c>
      <c r="I365">
        <v>6.7000000000000002E-3</v>
      </c>
      <c r="J365">
        <v>0.10150000000000001</v>
      </c>
    </row>
    <row r="366" spans="1:10" x14ac:dyDescent="0.4">
      <c r="A366">
        <v>13</v>
      </c>
      <c r="B366">
        <v>0</v>
      </c>
      <c r="C366">
        <v>0</v>
      </c>
      <c r="D366">
        <v>0</v>
      </c>
      <c r="E366">
        <v>1E-4</v>
      </c>
      <c r="F366">
        <v>2.9999999999999997E-4</v>
      </c>
      <c r="G366">
        <v>6.9999999999999999E-4</v>
      </c>
      <c r="H366">
        <v>1.4E-3</v>
      </c>
      <c r="I366">
        <v>2.3E-3</v>
      </c>
      <c r="J366">
        <v>7.8E-2</v>
      </c>
    </row>
    <row r="367" spans="1:10" x14ac:dyDescent="0.4">
      <c r="A367">
        <v>14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1E-4</v>
      </c>
      <c r="H367">
        <v>2.0000000000000001E-4</v>
      </c>
      <c r="I367">
        <v>2.0000000000000001E-4</v>
      </c>
      <c r="J367">
        <v>1.11E-2</v>
      </c>
    </row>
    <row r="368" spans="1:10" x14ac:dyDescent="0.4">
      <c r="A368" t="s">
        <v>29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1E-4</v>
      </c>
      <c r="H368">
        <v>1E-4</v>
      </c>
      <c r="I368">
        <v>2.0000000000000001E-4</v>
      </c>
      <c r="J368">
        <v>2.3800000000000002E-2</v>
      </c>
    </row>
    <row r="370" spans="1:10" x14ac:dyDescent="0.4">
      <c r="A370">
        <v>2024</v>
      </c>
    </row>
    <row r="372" spans="1:10" x14ac:dyDescent="0.4">
      <c r="A372" t="s">
        <v>0</v>
      </c>
      <c r="B372" s="2">
        <v>0.01</v>
      </c>
      <c r="C372" s="2">
        <v>0.05</v>
      </c>
      <c r="D372" s="2">
        <v>0.1</v>
      </c>
      <c r="E372" s="2">
        <v>0.25</v>
      </c>
      <c r="F372" s="2">
        <v>0.5</v>
      </c>
      <c r="G372" s="2">
        <v>0.75</v>
      </c>
      <c r="H372" s="2">
        <v>0.9</v>
      </c>
      <c r="I372" s="2">
        <v>0.95</v>
      </c>
      <c r="J372" s="2">
        <v>0.99</v>
      </c>
    </row>
    <row r="373" spans="1:10" x14ac:dyDescent="0.4">
      <c r="A373">
        <v>1</v>
      </c>
      <c r="B373">
        <v>68.671000000000006</v>
      </c>
      <c r="C373">
        <v>70.550899999999999</v>
      </c>
      <c r="D373">
        <v>79.015000000000001</v>
      </c>
      <c r="E373">
        <v>104.67829999999999</v>
      </c>
      <c r="F373">
        <v>168.613</v>
      </c>
      <c r="G373">
        <v>236.90280000000001</v>
      </c>
      <c r="H373">
        <v>280.26029999999997</v>
      </c>
      <c r="I373">
        <v>307.48469999999998</v>
      </c>
      <c r="J373">
        <v>350.32069999999999</v>
      </c>
    </row>
    <row r="374" spans="1:10" x14ac:dyDescent="0.4">
      <c r="A374">
        <v>2</v>
      </c>
      <c r="B374">
        <v>40.064700000000002</v>
      </c>
      <c r="C374">
        <v>43.5777</v>
      </c>
      <c r="D374">
        <v>47.735399999999998</v>
      </c>
      <c r="E374">
        <v>63.185699999999997</v>
      </c>
      <c r="F374">
        <v>102.291</v>
      </c>
      <c r="G374">
        <v>144.79050000000001</v>
      </c>
      <c r="H374">
        <v>172.4631</v>
      </c>
      <c r="I374">
        <v>187.1172</v>
      </c>
      <c r="J374">
        <v>212.9058</v>
      </c>
    </row>
    <row r="375" spans="1:10" x14ac:dyDescent="0.4">
      <c r="A375">
        <v>3</v>
      </c>
      <c r="B375">
        <v>21.9529</v>
      </c>
      <c r="C375">
        <v>24.7315</v>
      </c>
      <c r="D375">
        <v>27.185199999999998</v>
      </c>
      <c r="E375">
        <v>36.122700000000002</v>
      </c>
      <c r="F375">
        <v>58.843299999999999</v>
      </c>
      <c r="G375">
        <v>83.755799999999994</v>
      </c>
      <c r="H375">
        <v>101.8095</v>
      </c>
      <c r="I375">
        <v>110.90519999999999</v>
      </c>
      <c r="J375">
        <v>127.0727</v>
      </c>
    </row>
    <row r="376" spans="1:10" x14ac:dyDescent="0.4">
      <c r="A376">
        <v>4</v>
      </c>
      <c r="B376">
        <v>23.7943</v>
      </c>
      <c r="C376">
        <v>29.340499999999999</v>
      </c>
      <c r="D376">
        <v>32.404000000000003</v>
      </c>
      <c r="E376">
        <v>38.765700000000002</v>
      </c>
      <c r="F376">
        <v>50.075899999999997</v>
      </c>
      <c r="G376">
        <v>63.151600000000002</v>
      </c>
      <c r="H376">
        <v>79.376300000000001</v>
      </c>
      <c r="I376">
        <v>88.763099999999994</v>
      </c>
      <c r="J376">
        <v>103.9619</v>
      </c>
    </row>
    <row r="377" spans="1:10" x14ac:dyDescent="0.4">
      <c r="A377">
        <v>5</v>
      </c>
      <c r="B377">
        <v>6.9489999999999998</v>
      </c>
      <c r="C377">
        <v>9.7357999999999993</v>
      </c>
      <c r="D377">
        <v>11.0593</v>
      </c>
      <c r="E377">
        <v>12.9603</v>
      </c>
      <c r="F377">
        <v>15.755800000000001</v>
      </c>
      <c r="G377">
        <v>19.049199999999999</v>
      </c>
      <c r="H377">
        <v>22.707000000000001</v>
      </c>
      <c r="I377">
        <v>25.161200000000001</v>
      </c>
      <c r="J377">
        <v>29.802099999999999</v>
      </c>
    </row>
    <row r="378" spans="1:10" x14ac:dyDescent="0.4">
      <c r="A378">
        <v>6</v>
      </c>
      <c r="B378">
        <v>3.1608999999999998</v>
      </c>
      <c r="C378">
        <v>4.2839</v>
      </c>
      <c r="D378">
        <v>4.9355000000000002</v>
      </c>
      <c r="E378">
        <v>5.9790999999999999</v>
      </c>
      <c r="F378">
        <v>7.2431000000000001</v>
      </c>
      <c r="G378">
        <v>8.8491999999999997</v>
      </c>
      <c r="H378">
        <v>10.657500000000001</v>
      </c>
      <c r="I378">
        <v>12.346</v>
      </c>
      <c r="J378">
        <v>16.542000000000002</v>
      </c>
    </row>
    <row r="379" spans="1:10" x14ac:dyDescent="0.4">
      <c r="A379">
        <v>7</v>
      </c>
      <c r="B379">
        <v>0.37830000000000003</v>
      </c>
      <c r="C379">
        <v>0.63449999999999995</v>
      </c>
      <c r="D379">
        <v>0.76959999999999995</v>
      </c>
      <c r="E379">
        <v>0.9496</v>
      </c>
      <c r="F379">
        <v>1.1648000000000001</v>
      </c>
      <c r="G379">
        <v>1.4573</v>
      </c>
      <c r="H379">
        <v>1.8856999999999999</v>
      </c>
      <c r="I379">
        <v>2.1602999999999999</v>
      </c>
      <c r="J379">
        <v>3.8340999999999998</v>
      </c>
    </row>
    <row r="380" spans="1:10" x14ac:dyDescent="0.4">
      <c r="A380">
        <v>8</v>
      </c>
      <c r="B380">
        <v>0.112</v>
      </c>
      <c r="C380">
        <v>0.14119999999999999</v>
      </c>
      <c r="D380">
        <v>0.1782</v>
      </c>
      <c r="E380">
        <v>0.24310000000000001</v>
      </c>
      <c r="F380">
        <v>0.31680000000000003</v>
      </c>
      <c r="G380">
        <v>0.41770000000000002</v>
      </c>
      <c r="H380">
        <v>0.59340000000000004</v>
      </c>
      <c r="I380">
        <v>0.71430000000000005</v>
      </c>
      <c r="J380">
        <v>1.5258</v>
      </c>
    </row>
    <row r="381" spans="1:10" x14ac:dyDescent="0.4">
      <c r="A381">
        <v>9</v>
      </c>
      <c r="B381">
        <v>2.81E-2</v>
      </c>
      <c r="C381">
        <v>5.0999999999999997E-2</v>
      </c>
      <c r="D381">
        <v>5.7500000000000002E-2</v>
      </c>
      <c r="E381">
        <v>7.8200000000000006E-2</v>
      </c>
      <c r="F381">
        <v>0.11269999999999999</v>
      </c>
      <c r="G381">
        <v>0.15659999999999999</v>
      </c>
      <c r="H381">
        <v>0.26040000000000002</v>
      </c>
      <c r="I381">
        <v>0.31169999999999998</v>
      </c>
      <c r="J381">
        <v>1.0081</v>
      </c>
    </row>
    <row r="382" spans="1:10" x14ac:dyDescent="0.4">
      <c r="A382">
        <v>10</v>
      </c>
      <c r="B382">
        <v>3.2000000000000002E-3</v>
      </c>
      <c r="C382">
        <v>6.3E-3</v>
      </c>
      <c r="D382">
        <v>7.9000000000000008E-3</v>
      </c>
      <c r="E382">
        <v>1.17E-2</v>
      </c>
      <c r="F382">
        <v>1.8100000000000002E-2</v>
      </c>
      <c r="G382">
        <v>2.87E-2</v>
      </c>
      <c r="H382">
        <v>4.5900000000000003E-2</v>
      </c>
      <c r="I382">
        <v>0.06</v>
      </c>
      <c r="J382">
        <v>0.28949999999999998</v>
      </c>
    </row>
    <row r="383" spans="1:10" x14ac:dyDescent="0.4">
      <c r="A383">
        <v>11</v>
      </c>
      <c r="B383">
        <v>1.1000000000000001E-3</v>
      </c>
      <c r="C383">
        <v>3.0999999999999999E-3</v>
      </c>
      <c r="D383">
        <v>4.1999999999999997E-3</v>
      </c>
      <c r="E383">
        <v>7.3000000000000001E-3</v>
      </c>
      <c r="F383">
        <v>1.2699999999999999E-2</v>
      </c>
      <c r="G383">
        <v>2.1999999999999999E-2</v>
      </c>
      <c r="H383">
        <v>3.9199999999999999E-2</v>
      </c>
      <c r="I383">
        <v>6.0199999999999997E-2</v>
      </c>
      <c r="J383">
        <v>0.48320000000000002</v>
      </c>
    </row>
    <row r="384" spans="1:10" x14ac:dyDescent="0.4">
      <c r="A384">
        <v>12</v>
      </c>
      <c r="B384">
        <v>0</v>
      </c>
      <c r="C384">
        <v>1E-4</v>
      </c>
      <c r="D384">
        <v>2.0000000000000001E-4</v>
      </c>
      <c r="E384">
        <v>4.0000000000000002E-4</v>
      </c>
      <c r="F384">
        <v>1E-3</v>
      </c>
      <c r="G384">
        <v>1.9E-3</v>
      </c>
      <c r="H384">
        <v>3.3999999999999998E-3</v>
      </c>
      <c r="I384">
        <v>5.3E-3</v>
      </c>
      <c r="J384">
        <v>5.16E-2</v>
      </c>
    </row>
    <row r="385" spans="1:10" x14ac:dyDescent="0.4">
      <c r="A385">
        <v>13</v>
      </c>
      <c r="B385">
        <v>0</v>
      </c>
      <c r="C385">
        <v>1E-4</v>
      </c>
      <c r="D385">
        <v>1E-4</v>
      </c>
      <c r="E385">
        <v>2.0000000000000001E-4</v>
      </c>
      <c r="F385">
        <v>5.0000000000000001E-4</v>
      </c>
      <c r="G385">
        <v>8.9999999999999998E-4</v>
      </c>
      <c r="H385">
        <v>2.3E-3</v>
      </c>
      <c r="I385">
        <v>3.7000000000000002E-3</v>
      </c>
      <c r="J385">
        <v>5.8400000000000001E-2</v>
      </c>
    </row>
    <row r="386" spans="1:10" x14ac:dyDescent="0.4">
      <c r="A386">
        <v>14</v>
      </c>
      <c r="B386">
        <v>0</v>
      </c>
      <c r="C386">
        <v>0</v>
      </c>
      <c r="D386">
        <v>0</v>
      </c>
      <c r="E386">
        <v>1E-4</v>
      </c>
      <c r="F386">
        <v>2.0000000000000001E-4</v>
      </c>
      <c r="G386">
        <v>4.0000000000000002E-4</v>
      </c>
      <c r="H386">
        <v>8.0000000000000004E-4</v>
      </c>
      <c r="I386">
        <v>1.2999999999999999E-3</v>
      </c>
      <c r="J386">
        <v>4.7300000000000002E-2</v>
      </c>
    </row>
    <row r="387" spans="1:10" x14ac:dyDescent="0.4">
      <c r="A387" t="s">
        <v>29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1E-4</v>
      </c>
      <c r="H387">
        <v>1E-4</v>
      </c>
      <c r="I387">
        <v>2.0000000000000001E-4</v>
      </c>
      <c r="J387">
        <v>2.07E-2</v>
      </c>
    </row>
    <row r="389" spans="1:10" x14ac:dyDescent="0.4">
      <c r="A389">
        <v>2025</v>
      </c>
    </row>
    <row r="391" spans="1:10" x14ac:dyDescent="0.4">
      <c r="A391" t="s">
        <v>0</v>
      </c>
      <c r="B391" s="2">
        <v>0.01</v>
      </c>
      <c r="C391" s="2">
        <v>0.05</v>
      </c>
      <c r="D391" s="2">
        <v>0.1</v>
      </c>
      <c r="E391" s="2">
        <v>0.25</v>
      </c>
      <c r="F391" s="2">
        <v>0.5</v>
      </c>
      <c r="G391" s="2">
        <v>0.75</v>
      </c>
      <c r="H391" s="2">
        <v>0.9</v>
      </c>
      <c r="I391" s="2">
        <v>0.95</v>
      </c>
      <c r="J391" s="2">
        <v>0.99</v>
      </c>
    </row>
    <row r="392" spans="1:10" x14ac:dyDescent="0.4">
      <c r="A392">
        <v>1</v>
      </c>
      <c r="B392">
        <v>68.661799999999999</v>
      </c>
      <c r="C392">
        <v>70.7881</v>
      </c>
      <c r="D392">
        <v>79.104200000000006</v>
      </c>
      <c r="E392">
        <v>105.06399999999999</v>
      </c>
      <c r="F392">
        <v>168.631</v>
      </c>
      <c r="G392">
        <v>237.33680000000001</v>
      </c>
      <c r="H392">
        <v>281.30369999999999</v>
      </c>
      <c r="I392">
        <v>307.51990000000001</v>
      </c>
      <c r="J392">
        <v>357.50380000000001</v>
      </c>
    </row>
    <row r="393" spans="1:10" x14ac:dyDescent="0.4">
      <c r="A393">
        <v>2</v>
      </c>
      <c r="B393">
        <v>39.001899999999999</v>
      </c>
      <c r="C393">
        <v>42.568800000000003</v>
      </c>
      <c r="D393">
        <v>46.617699999999999</v>
      </c>
      <c r="E393">
        <v>61.839500000000001</v>
      </c>
      <c r="F393">
        <v>99.9893</v>
      </c>
      <c r="G393">
        <v>141.57990000000001</v>
      </c>
      <c r="H393">
        <v>169.27420000000001</v>
      </c>
      <c r="I393">
        <v>184.03559999999999</v>
      </c>
      <c r="J393">
        <v>213.2227</v>
      </c>
    </row>
    <row r="394" spans="1:10" x14ac:dyDescent="0.4">
      <c r="A394">
        <v>3</v>
      </c>
      <c r="B394">
        <v>20.310099999999998</v>
      </c>
      <c r="C394">
        <v>23.381399999999999</v>
      </c>
      <c r="D394">
        <v>25.794799999999999</v>
      </c>
      <c r="E394">
        <v>34.421199999999999</v>
      </c>
      <c r="F394">
        <v>56.444400000000002</v>
      </c>
      <c r="G394">
        <v>81.311999999999998</v>
      </c>
      <c r="H394">
        <v>99.297399999999996</v>
      </c>
      <c r="I394">
        <v>107.9991</v>
      </c>
      <c r="J394">
        <v>126.5994</v>
      </c>
    </row>
    <row r="395" spans="1:10" x14ac:dyDescent="0.4">
      <c r="A395">
        <v>4</v>
      </c>
      <c r="B395">
        <v>9.5768000000000004</v>
      </c>
      <c r="C395">
        <v>11.7761</v>
      </c>
      <c r="D395">
        <v>13.3649</v>
      </c>
      <c r="E395">
        <v>18.145199999999999</v>
      </c>
      <c r="F395">
        <v>30.354900000000001</v>
      </c>
      <c r="G395">
        <v>44.5533</v>
      </c>
      <c r="H395">
        <v>56.222099999999998</v>
      </c>
      <c r="I395">
        <v>61.924399999999999</v>
      </c>
      <c r="J395">
        <v>73.347300000000004</v>
      </c>
    </row>
    <row r="396" spans="1:10" x14ac:dyDescent="0.4">
      <c r="A396">
        <v>5</v>
      </c>
      <c r="B396">
        <v>9.7281999999999993</v>
      </c>
      <c r="C396">
        <v>12.955500000000001</v>
      </c>
      <c r="D396">
        <v>14.914099999999999</v>
      </c>
      <c r="E396">
        <v>18.863</v>
      </c>
      <c r="F396">
        <v>25.338899999999999</v>
      </c>
      <c r="G396">
        <v>33.212400000000002</v>
      </c>
      <c r="H396">
        <v>42.963200000000001</v>
      </c>
      <c r="I396">
        <v>48.899500000000003</v>
      </c>
      <c r="J396">
        <v>58.796700000000001</v>
      </c>
    </row>
    <row r="397" spans="1:10" x14ac:dyDescent="0.4">
      <c r="A397">
        <v>6</v>
      </c>
      <c r="B397">
        <v>2.8460000000000001</v>
      </c>
      <c r="C397">
        <v>4.0891000000000002</v>
      </c>
      <c r="D397">
        <v>4.9077999999999999</v>
      </c>
      <c r="E397">
        <v>6.2133000000000003</v>
      </c>
      <c r="F397">
        <v>7.8678999999999997</v>
      </c>
      <c r="G397">
        <v>9.7969000000000008</v>
      </c>
      <c r="H397">
        <v>12.0266</v>
      </c>
      <c r="I397">
        <v>13.4983</v>
      </c>
      <c r="J397">
        <v>16.4422</v>
      </c>
    </row>
    <row r="398" spans="1:10" x14ac:dyDescent="0.4">
      <c r="A398">
        <v>7</v>
      </c>
      <c r="B398">
        <v>1.3043</v>
      </c>
      <c r="C398">
        <v>1.8586</v>
      </c>
      <c r="D398">
        <v>2.2113999999999998</v>
      </c>
      <c r="E398">
        <v>2.8472</v>
      </c>
      <c r="F398">
        <v>3.6189</v>
      </c>
      <c r="G398">
        <v>4.548</v>
      </c>
      <c r="H398">
        <v>5.6592000000000002</v>
      </c>
      <c r="I398">
        <v>6.5862999999999996</v>
      </c>
      <c r="J398">
        <v>8.9463000000000008</v>
      </c>
    </row>
    <row r="399" spans="1:10" x14ac:dyDescent="0.4">
      <c r="A399">
        <v>8</v>
      </c>
      <c r="B399">
        <v>0.15459999999999999</v>
      </c>
      <c r="C399">
        <v>0.27360000000000001</v>
      </c>
      <c r="D399">
        <v>0.35089999999999999</v>
      </c>
      <c r="E399">
        <v>0.45629999999999998</v>
      </c>
      <c r="F399">
        <v>0.58340000000000003</v>
      </c>
      <c r="G399">
        <v>0.75590000000000002</v>
      </c>
      <c r="H399">
        <v>1.0011000000000001</v>
      </c>
      <c r="I399">
        <v>1.1831</v>
      </c>
      <c r="J399">
        <v>2.0857000000000001</v>
      </c>
    </row>
    <row r="400" spans="1:10" x14ac:dyDescent="0.4">
      <c r="A400">
        <v>9</v>
      </c>
      <c r="B400">
        <v>4.7699999999999999E-2</v>
      </c>
      <c r="C400">
        <v>6.5199999999999994E-2</v>
      </c>
      <c r="D400">
        <v>8.2299999999999998E-2</v>
      </c>
      <c r="E400">
        <v>0.1188</v>
      </c>
      <c r="F400">
        <v>0.16120000000000001</v>
      </c>
      <c r="G400">
        <v>0.21759999999999999</v>
      </c>
      <c r="H400">
        <v>0.31209999999999999</v>
      </c>
      <c r="I400">
        <v>0.38840000000000002</v>
      </c>
      <c r="J400">
        <v>0.84289999999999998</v>
      </c>
    </row>
    <row r="401" spans="1:10" x14ac:dyDescent="0.4">
      <c r="A401">
        <v>10</v>
      </c>
      <c r="B401">
        <v>1.3100000000000001E-2</v>
      </c>
      <c r="C401">
        <v>2.29E-2</v>
      </c>
      <c r="D401">
        <v>2.75E-2</v>
      </c>
      <c r="E401">
        <v>3.8699999999999998E-2</v>
      </c>
      <c r="F401">
        <v>5.74E-2</v>
      </c>
      <c r="G401">
        <v>8.14E-2</v>
      </c>
      <c r="H401">
        <v>0.1391</v>
      </c>
      <c r="I401">
        <v>0.1699</v>
      </c>
      <c r="J401">
        <v>0.5595</v>
      </c>
    </row>
    <row r="402" spans="1:10" x14ac:dyDescent="0.4">
      <c r="A402">
        <v>11</v>
      </c>
      <c r="B402">
        <v>1.5E-3</v>
      </c>
      <c r="C402">
        <v>3.0000000000000001E-3</v>
      </c>
      <c r="D402">
        <v>3.8E-3</v>
      </c>
      <c r="E402">
        <v>5.8999999999999999E-3</v>
      </c>
      <c r="F402">
        <v>9.1999999999999998E-3</v>
      </c>
      <c r="G402">
        <v>1.49E-2</v>
      </c>
      <c r="H402">
        <v>2.46E-2</v>
      </c>
      <c r="I402">
        <v>3.2099999999999997E-2</v>
      </c>
      <c r="J402">
        <v>0.16900000000000001</v>
      </c>
    </row>
    <row r="403" spans="1:10" x14ac:dyDescent="0.4">
      <c r="A403">
        <v>12</v>
      </c>
      <c r="B403">
        <v>5.9999999999999995E-4</v>
      </c>
      <c r="C403">
        <v>1.5E-3</v>
      </c>
      <c r="D403">
        <v>2.0999999999999999E-3</v>
      </c>
      <c r="E403">
        <v>3.7000000000000002E-3</v>
      </c>
      <c r="F403">
        <v>6.6E-3</v>
      </c>
      <c r="G403">
        <v>1.15E-2</v>
      </c>
      <c r="H403">
        <v>2.1600000000000001E-2</v>
      </c>
      <c r="I403">
        <v>3.1899999999999998E-2</v>
      </c>
      <c r="J403">
        <v>0.27460000000000001</v>
      </c>
    </row>
    <row r="404" spans="1:10" x14ac:dyDescent="0.4">
      <c r="A404">
        <v>13</v>
      </c>
      <c r="B404">
        <v>0</v>
      </c>
      <c r="C404">
        <v>1E-4</v>
      </c>
      <c r="D404">
        <v>1E-4</v>
      </c>
      <c r="E404">
        <v>2.0000000000000001E-4</v>
      </c>
      <c r="F404">
        <v>5.0000000000000001E-4</v>
      </c>
      <c r="G404">
        <v>1E-3</v>
      </c>
      <c r="H404">
        <v>1.9E-3</v>
      </c>
      <c r="I404">
        <v>2.8E-3</v>
      </c>
      <c r="J404">
        <v>2.92E-2</v>
      </c>
    </row>
    <row r="405" spans="1:10" x14ac:dyDescent="0.4">
      <c r="A405">
        <v>14</v>
      </c>
      <c r="B405">
        <v>0</v>
      </c>
      <c r="C405">
        <v>0</v>
      </c>
      <c r="D405">
        <v>0</v>
      </c>
      <c r="E405">
        <v>1E-4</v>
      </c>
      <c r="F405">
        <v>2.9999999999999997E-4</v>
      </c>
      <c r="G405">
        <v>5.0000000000000001E-4</v>
      </c>
      <c r="H405">
        <v>1.2999999999999999E-3</v>
      </c>
      <c r="I405">
        <v>2E-3</v>
      </c>
      <c r="J405">
        <v>3.3000000000000002E-2</v>
      </c>
    </row>
    <row r="406" spans="1:10" x14ac:dyDescent="0.4">
      <c r="A406" t="s">
        <v>29</v>
      </c>
      <c r="B406">
        <v>0</v>
      </c>
      <c r="C406">
        <v>0</v>
      </c>
      <c r="D406">
        <v>0</v>
      </c>
      <c r="E406">
        <v>0</v>
      </c>
      <c r="F406">
        <v>1E-4</v>
      </c>
      <c r="G406">
        <v>2.0000000000000001E-4</v>
      </c>
      <c r="H406">
        <v>5.0000000000000001E-4</v>
      </c>
      <c r="I406">
        <v>8.0000000000000004E-4</v>
      </c>
      <c r="J406">
        <v>4.02E-2</v>
      </c>
    </row>
    <row r="408" spans="1:10" x14ac:dyDescent="0.4">
      <c r="A408">
        <v>2026</v>
      </c>
    </row>
    <row r="410" spans="1:10" x14ac:dyDescent="0.4">
      <c r="A410" t="s">
        <v>0</v>
      </c>
      <c r="B410" s="2">
        <v>0.01</v>
      </c>
      <c r="C410" s="2">
        <v>0.05</v>
      </c>
      <c r="D410" s="2">
        <v>0.1</v>
      </c>
      <c r="E410" s="2">
        <v>0.25</v>
      </c>
      <c r="F410" s="2">
        <v>0.5</v>
      </c>
      <c r="G410" s="2">
        <v>0.75</v>
      </c>
      <c r="H410" s="2">
        <v>0.9</v>
      </c>
      <c r="I410" s="2">
        <v>0.95</v>
      </c>
      <c r="J410" s="2">
        <v>0.99</v>
      </c>
    </row>
    <row r="411" spans="1:10" x14ac:dyDescent="0.4">
      <c r="A411">
        <v>1</v>
      </c>
      <c r="B411">
        <v>68.661900000000003</v>
      </c>
      <c r="C411">
        <v>70.544799999999995</v>
      </c>
      <c r="D411">
        <v>78.931899999999999</v>
      </c>
      <c r="E411">
        <v>104.7484</v>
      </c>
      <c r="F411">
        <v>168.53120000000001</v>
      </c>
      <c r="G411">
        <v>236.76779999999999</v>
      </c>
      <c r="H411">
        <v>279.64359999999999</v>
      </c>
      <c r="I411">
        <v>306.91230000000002</v>
      </c>
      <c r="J411">
        <v>351.31369999999998</v>
      </c>
    </row>
    <row r="412" spans="1:10" x14ac:dyDescent="0.4">
      <c r="A412">
        <v>2</v>
      </c>
      <c r="B412">
        <v>38.336799999999997</v>
      </c>
      <c r="C412">
        <v>42.085099999999997</v>
      </c>
      <c r="D412">
        <v>46.034399999999998</v>
      </c>
      <c r="E412">
        <v>61.081000000000003</v>
      </c>
      <c r="F412">
        <v>98.8797</v>
      </c>
      <c r="G412">
        <v>140.12629999999999</v>
      </c>
      <c r="H412">
        <v>167.77449999999999</v>
      </c>
      <c r="I412">
        <v>182.22049999999999</v>
      </c>
      <c r="J412">
        <v>213.67320000000001</v>
      </c>
    </row>
    <row r="413" spans="1:10" x14ac:dyDescent="0.4">
      <c r="A413">
        <v>3</v>
      </c>
      <c r="B413">
        <v>15.760999999999999</v>
      </c>
      <c r="C413">
        <v>19.893999999999998</v>
      </c>
      <c r="D413">
        <v>22.4818</v>
      </c>
      <c r="E413">
        <v>30.301100000000002</v>
      </c>
      <c r="F413">
        <v>50.185600000000001</v>
      </c>
      <c r="G413">
        <v>73.003200000000007</v>
      </c>
      <c r="H413">
        <v>91.089600000000004</v>
      </c>
      <c r="I413">
        <v>100.1267</v>
      </c>
      <c r="J413">
        <v>120.9768</v>
      </c>
    </row>
    <row r="414" spans="1:10" x14ac:dyDescent="0.4">
      <c r="A414">
        <v>4</v>
      </c>
      <c r="B414">
        <v>5.1916000000000002</v>
      </c>
      <c r="C414">
        <v>7.9756999999999998</v>
      </c>
      <c r="D414">
        <v>9.7043999999999997</v>
      </c>
      <c r="E414">
        <v>13.982100000000001</v>
      </c>
      <c r="F414">
        <v>24.1495</v>
      </c>
      <c r="G414">
        <v>36.955800000000004</v>
      </c>
      <c r="H414">
        <v>48.2455</v>
      </c>
      <c r="I414">
        <v>53.951300000000003</v>
      </c>
      <c r="J414">
        <v>66.777600000000007</v>
      </c>
    </row>
    <row r="415" spans="1:10" x14ac:dyDescent="0.4">
      <c r="A415">
        <v>5</v>
      </c>
      <c r="B415">
        <v>2.0562</v>
      </c>
      <c r="C415">
        <v>3.5266000000000002</v>
      </c>
      <c r="D415">
        <v>4.5152000000000001</v>
      </c>
      <c r="E415">
        <v>6.8826000000000001</v>
      </c>
      <c r="F415">
        <v>12.1333</v>
      </c>
      <c r="G415">
        <v>19.190899999999999</v>
      </c>
      <c r="H415">
        <v>26.045999999999999</v>
      </c>
      <c r="I415">
        <v>29.723400000000002</v>
      </c>
      <c r="J415">
        <v>37.465299999999999</v>
      </c>
    </row>
    <row r="416" spans="1:10" x14ac:dyDescent="0.4">
      <c r="A416">
        <v>6</v>
      </c>
      <c r="B416">
        <v>1.9414</v>
      </c>
      <c r="C416">
        <v>3.6021000000000001</v>
      </c>
      <c r="D416">
        <v>4.6947000000000001</v>
      </c>
      <c r="E416">
        <v>6.8753000000000002</v>
      </c>
      <c r="F416">
        <v>10.135199999999999</v>
      </c>
      <c r="G416">
        <v>14.3767</v>
      </c>
      <c r="H416">
        <v>19.458400000000001</v>
      </c>
      <c r="I416">
        <v>22.909400000000002</v>
      </c>
      <c r="J416">
        <v>29.075900000000001</v>
      </c>
    </row>
    <row r="417" spans="1:10" x14ac:dyDescent="0.4">
      <c r="A417">
        <v>7</v>
      </c>
      <c r="B417">
        <v>0.60529999999999995</v>
      </c>
      <c r="C417">
        <v>1.1534</v>
      </c>
      <c r="D417">
        <v>1.5371999999999999</v>
      </c>
      <c r="E417">
        <v>2.2574999999999998</v>
      </c>
      <c r="F417">
        <v>3.1808999999999998</v>
      </c>
      <c r="G417">
        <v>4.2606999999999999</v>
      </c>
      <c r="H417">
        <v>5.4687000000000001</v>
      </c>
      <c r="I417">
        <v>6.3132999999999999</v>
      </c>
      <c r="J417">
        <v>8.0086999999999993</v>
      </c>
    </row>
    <row r="418" spans="1:10" x14ac:dyDescent="0.4">
      <c r="A418">
        <v>8</v>
      </c>
      <c r="B418">
        <v>0.28839999999999999</v>
      </c>
      <c r="C418">
        <v>0.54649999999999999</v>
      </c>
      <c r="D418">
        <v>0.72009999999999996</v>
      </c>
      <c r="E418">
        <v>1.0565</v>
      </c>
      <c r="F418">
        <v>1.4898</v>
      </c>
      <c r="G418">
        <v>2.0034999999999998</v>
      </c>
      <c r="H418">
        <v>2.6181000000000001</v>
      </c>
      <c r="I418">
        <v>3.0912999999999999</v>
      </c>
      <c r="J418">
        <v>4.2329999999999997</v>
      </c>
    </row>
    <row r="419" spans="1:10" x14ac:dyDescent="0.4">
      <c r="A419">
        <v>9</v>
      </c>
      <c r="B419">
        <v>4.02E-2</v>
      </c>
      <c r="C419">
        <v>8.2699999999999996E-2</v>
      </c>
      <c r="D419">
        <v>0.1154</v>
      </c>
      <c r="E419">
        <v>0.17419999999999999</v>
      </c>
      <c r="F419">
        <v>0.2455</v>
      </c>
      <c r="G419">
        <v>0.33910000000000001</v>
      </c>
      <c r="H419">
        <v>0.46650000000000003</v>
      </c>
      <c r="I419">
        <v>0.57350000000000001</v>
      </c>
      <c r="J419">
        <v>0.9869</v>
      </c>
    </row>
    <row r="420" spans="1:10" x14ac:dyDescent="0.4">
      <c r="A420">
        <v>10</v>
      </c>
      <c r="B420">
        <v>1.2200000000000001E-2</v>
      </c>
      <c r="C420">
        <v>2.2100000000000002E-2</v>
      </c>
      <c r="D420">
        <v>2.9499999999999998E-2</v>
      </c>
      <c r="E420">
        <v>4.6699999999999998E-2</v>
      </c>
      <c r="F420">
        <v>6.9199999999999998E-2</v>
      </c>
      <c r="G420">
        <v>9.8799999999999999E-2</v>
      </c>
      <c r="H420">
        <v>0.14499999999999999</v>
      </c>
      <c r="I420">
        <v>0.18720000000000001</v>
      </c>
      <c r="J420">
        <v>0.40439999999999998</v>
      </c>
    </row>
    <row r="421" spans="1:10" x14ac:dyDescent="0.4">
      <c r="A421">
        <v>11</v>
      </c>
      <c r="B421">
        <v>3.8999999999999998E-3</v>
      </c>
      <c r="C421">
        <v>7.4000000000000003E-3</v>
      </c>
      <c r="D421">
        <v>1.0200000000000001E-2</v>
      </c>
      <c r="E421">
        <v>1.5800000000000002E-2</v>
      </c>
      <c r="F421">
        <v>2.4799999999999999E-2</v>
      </c>
      <c r="G421">
        <v>3.7400000000000003E-2</v>
      </c>
      <c r="H421">
        <v>6.4699999999999994E-2</v>
      </c>
      <c r="I421">
        <v>8.3099999999999993E-2</v>
      </c>
      <c r="J421">
        <v>0.27</v>
      </c>
    </row>
    <row r="422" spans="1:10" x14ac:dyDescent="0.4">
      <c r="A422">
        <v>12</v>
      </c>
      <c r="B422">
        <v>5.0000000000000001E-4</v>
      </c>
      <c r="C422">
        <v>1E-3</v>
      </c>
      <c r="D422">
        <v>1.5E-3</v>
      </c>
      <c r="E422">
        <v>2.3999999999999998E-3</v>
      </c>
      <c r="F422">
        <v>4.0000000000000001E-3</v>
      </c>
      <c r="G422">
        <v>6.7999999999999996E-3</v>
      </c>
      <c r="H422">
        <v>1.1599999999999999E-2</v>
      </c>
      <c r="I422">
        <v>1.54E-2</v>
      </c>
      <c r="J422">
        <v>8.1699999999999995E-2</v>
      </c>
    </row>
    <row r="423" spans="1:10" x14ac:dyDescent="0.4">
      <c r="A423">
        <v>13</v>
      </c>
      <c r="B423">
        <v>2.0000000000000001E-4</v>
      </c>
      <c r="C423">
        <v>5.9999999999999995E-4</v>
      </c>
      <c r="D423">
        <v>8.0000000000000004E-4</v>
      </c>
      <c r="E423">
        <v>1.5E-3</v>
      </c>
      <c r="F423">
        <v>2.8999999999999998E-3</v>
      </c>
      <c r="G423">
        <v>5.1999999999999998E-3</v>
      </c>
      <c r="H423">
        <v>1.04E-2</v>
      </c>
      <c r="I423">
        <v>1.5100000000000001E-2</v>
      </c>
      <c r="J423">
        <v>0.1358</v>
      </c>
    </row>
    <row r="424" spans="1:10" x14ac:dyDescent="0.4">
      <c r="A424">
        <v>14</v>
      </c>
      <c r="B424">
        <v>0</v>
      </c>
      <c r="C424">
        <v>0</v>
      </c>
      <c r="D424">
        <v>0</v>
      </c>
      <c r="E424">
        <v>1E-4</v>
      </c>
      <c r="F424">
        <v>2.0000000000000001E-4</v>
      </c>
      <c r="G424">
        <v>5.0000000000000001E-4</v>
      </c>
      <c r="H424">
        <v>8.9999999999999998E-4</v>
      </c>
      <c r="I424">
        <v>1.2999999999999999E-3</v>
      </c>
      <c r="J424">
        <v>1.4500000000000001E-2</v>
      </c>
    </row>
    <row r="425" spans="1:10" x14ac:dyDescent="0.4">
      <c r="A425" t="s">
        <v>29</v>
      </c>
      <c r="B425">
        <v>0</v>
      </c>
      <c r="C425">
        <v>0</v>
      </c>
      <c r="D425">
        <v>0</v>
      </c>
      <c r="E425">
        <v>1E-4</v>
      </c>
      <c r="F425">
        <v>2.0000000000000001E-4</v>
      </c>
      <c r="G425">
        <v>2.9999999999999997E-4</v>
      </c>
      <c r="H425">
        <v>8.0000000000000004E-4</v>
      </c>
      <c r="I425">
        <v>1.4E-3</v>
      </c>
      <c r="J425">
        <v>3.6799999999999999E-2</v>
      </c>
    </row>
    <row r="427" spans="1:10" x14ac:dyDescent="0.4">
      <c r="A427">
        <v>2027</v>
      </c>
    </row>
    <row r="429" spans="1:10" x14ac:dyDescent="0.4">
      <c r="A429" t="s">
        <v>0</v>
      </c>
      <c r="B429" s="2">
        <v>0.01</v>
      </c>
      <c r="C429" s="2">
        <v>0.05</v>
      </c>
      <c r="D429" s="2">
        <v>0.1</v>
      </c>
      <c r="E429" s="2">
        <v>0.25</v>
      </c>
      <c r="F429" s="2">
        <v>0.5</v>
      </c>
      <c r="G429" s="2">
        <v>0.75</v>
      </c>
      <c r="H429" s="2">
        <v>0.9</v>
      </c>
      <c r="I429" s="2">
        <v>0.95</v>
      </c>
      <c r="J429" s="2">
        <v>0.99</v>
      </c>
    </row>
    <row r="430" spans="1:10" x14ac:dyDescent="0.4">
      <c r="A430">
        <v>1</v>
      </c>
      <c r="B430">
        <v>68.663300000000007</v>
      </c>
      <c r="C430">
        <v>70.835499999999996</v>
      </c>
      <c r="D430">
        <v>79.017700000000005</v>
      </c>
      <c r="E430">
        <v>104.8682</v>
      </c>
      <c r="F430">
        <v>168.58150000000001</v>
      </c>
      <c r="G430">
        <v>237.38919999999999</v>
      </c>
      <c r="H430">
        <v>280.54259999999999</v>
      </c>
      <c r="I430">
        <v>307.16180000000003</v>
      </c>
      <c r="J430">
        <v>338.14550000000003</v>
      </c>
    </row>
    <row r="431" spans="1:10" x14ac:dyDescent="0.4">
      <c r="A431">
        <v>2</v>
      </c>
      <c r="B431">
        <v>38.782200000000003</v>
      </c>
      <c r="C431">
        <v>42.511800000000001</v>
      </c>
      <c r="D431">
        <v>46.481699999999996</v>
      </c>
      <c r="E431">
        <v>61.723599999999998</v>
      </c>
      <c r="F431">
        <v>99.823499999999996</v>
      </c>
      <c r="G431">
        <v>141.23220000000001</v>
      </c>
      <c r="H431">
        <v>169.05009999999999</v>
      </c>
      <c r="I431">
        <v>183.80179999999999</v>
      </c>
      <c r="J431">
        <v>214.2972</v>
      </c>
    </row>
    <row r="432" spans="1:10" x14ac:dyDescent="0.4">
      <c r="A432">
        <v>3</v>
      </c>
      <c r="B432">
        <v>15.234400000000001</v>
      </c>
      <c r="C432">
        <v>20.2562</v>
      </c>
      <c r="D432">
        <v>23.088799999999999</v>
      </c>
      <c r="E432">
        <v>31.2118</v>
      </c>
      <c r="F432">
        <v>51.5869</v>
      </c>
      <c r="G432">
        <v>75.048400000000001</v>
      </c>
      <c r="H432">
        <v>93.669399999999996</v>
      </c>
      <c r="I432">
        <v>102.74720000000001</v>
      </c>
      <c r="J432">
        <v>124.709</v>
      </c>
    </row>
    <row r="433" spans="1:10" x14ac:dyDescent="0.4">
      <c r="A433">
        <v>4</v>
      </c>
      <c r="B433">
        <v>3.6728999999999998</v>
      </c>
      <c r="C433">
        <v>6.9371999999999998</v>
      </c>
      <c r="D433">
        <v>8.8714999999999993</v>
      </c>
      <c r="E433">
        <v>13.166399999999999</v>
      </c>
      <c r="F433">
        <v>22.905200000000001</v>
      </c>
      <c r="G433">
        <v>35.529200000000003</v>
      </c>
      <c r="H433">
        <v>47.1158</v>
      </c>
      <c r="I433">
        <v>53.144199999999998</v>
      </c>
      <c r="J433">
        <v>67.3596</v>
      </c>
    </row>
    <row r="434" spans="1:10" x14ac:dyDescent="0.4">
      <c r="A434">
        <v>5</v>
      </c>
      <c r="B434">
        <v>0.96950000000000003</v>
      </c>
      <c r="C434">
        <v>2.4325999999999999</v>
      </c>
      <c r="D434">
        <v>3.4342000000000001</v>
      </c>
      <c r="E434">
        <v>5.7191999999999998</v>
      </c>
      <c r="F434">
        <v>10.4956</v>
      </c>
      <c r="G434">
        <v>17.360600000000002</v>
      </c>
      <c r="H434">
        <v>24.1311</v>
      </c>
      <c r="I434">
        <v>27.9542</v>
      </c>
      <c r="J434">
        <v>36.354700000000001</v>
      </c>
    </row>
    <row r="435" spans="1:10" x14ac:dyDescent="0.4">
      <c r="A435">
        <v>6</v>
      </c>
      <c r="B435">
        <v>0.35799999999999998</v>
      </c>
      <c r="C435">
        <v>1.0387999999999999</v>
      </c>
      <c r="D435">
        <v>1.5541</v>
      </c>
      <c r="E435">
        <v>2.7665999999999999</v>
      </c>
      <c r="F435">
        <v>5.1763000000000003</v>
      </c>
      <c r="G435">
        <v>8.8687000000000005</v>
      </c>
      <c r="H435">
        <v>12.782500000000001</v>
      </c>
      <c r="I435">
        <v>15.1038</v>
      </c>
      <c r="J435">
        <v>19.979399999999998</v>
      </c>
    </row>
    <row r="436" spans="1:10" x14ac:dyDescent="0.4">
      <c r="A436">
        <v>7</v>
      </c>
      <c r="B436">
        <v>0.33100000000000002</v>
      </c>
      <c r="C436">
        <v>1.0459000000000001</v>
      </c>
      <c r="D436">
        <v>1.5779000000000001</v>
      </c>
      <c r="E436">
        <v>2.7263000000000002</v>
      </c>
      <c r="F436">
        <v>4.4640000000000004</v>
      </c>
      <c r="G436">
        <v>6.798</v>
      </c>
      <c r="H436">
        <v>9.6152999999999995</v>
      </c>
      <c r="I436">
        <v>11.588100000000001</v>
      </c>
      <c r="J436">
        <v>15.3764</v>
      </c>
    </row>
    <row r="437" spans="1:10" x14ac:dyDescent="0.4">
      <c r="A437">
        <v>8</v>
      </c>
      <c r="B437">
        <v>0.11219999999999999</v>
      </c>
      <c r="C437">
        <v>0.3473</v>
      </c>
      <c r="D437">
        <v>0.52429999999999999</v>
      </c>
      <c r="E437">
        <v>0.9032</v>
      </c>
      <c r="F437">
        <v>1.4261999999999999</v>
      </c>
      <c r="G437">
        <v>2.0518999999999998</v>
      </c>
      <c r="H437">
        <v>2.7406999999999999</v>
      </c>
      <c r="I437">
        <v>3.2389000000000001</v>
      </c>
      <c r="J437">
        <v>4.2542999999999997</v>
      </c>
    </row>
    <row r="438" spans="1:10" x14ac:dyDescent="0.4">
      <c r="A438">
        <v>9</v>
      </c>
      <c r="B438">
        <v>5.7099999999999998E-2</v>
      </c>
      <c r="C438">
        <v>0.16889999999999999</v>
      </c>
      <c r="D438">
        <v>0.255</v>
      </c>
      <c r="E438">
        <v>0.43359999999999999</v>
      </c>
      <c r="F438">
        <v>0.68049999999999999</v>
      </c>
      <c r="G438">
        <v>0.98280000000000001</v>
      </c>
      <c r="H438">
        <v>1.3321000000000001</v>
      </c>
      <c r="I438">
        <v>1.5965</v>
      </c>
      <c r="J438">
        <v>2.2338</v>
      </c>
    </row>
    <row r="439" spans="1:10" x14ac:dyDescent="0.4">
      <c r="A439">
        <v>10</v>
      </c>
      <c r="B439">
        <v>8.8999999999999999E-3</v>
      </c>
      <c r="C439">
        <v>2.7099999999999999E-2</v>
      </c>
      <c r="D439">
        <v>4.1399999999999999E-2</v>
      </c>
      <c r="E439">
        <v>7.2999999999999995E-2</v>
      </c>
      <c r="F439">
        <v>0.1144</v>
      </c>
      <c r="G439">
        <v>0.16789999999999999</v>
      </c>
      <c r="H439">
        <v>0.23980000000000001</v>
      </c>
      <c r="I439">
        <v>0.30049999999999999</v>
      </c>
      <c r="J439">
        <v>0.51129999999999998</v>
      </c>
    </row>
    <row r="440" spans="1:10" x14ac:dyDescent="0.4">
      <c r="A440">
        <v>11</v>
      </c>
      <c r="B440">
        <v>2.7000000000000001E-3</v>
      </c>
      <c r="C440">
        <v>7.7000000000000002E-3</v>
      </c>
      <c r="D440">
        <v>1.14E-2</v>
      </c>
      <c r="E440">
        <v>1.9900000000000001E-2</v>
      </c>
      <c r="F440">
        <v>3.2599999999999997E-2</v>
      </c>
      <c r="G440">
        <v>4.9299999999999997E-2</v>
      </c>
      <c r="H440">
        <v>7.4099999999999999E-2</v>
      </c>
      <c r="I440">
        <v>9.7900000000000001E-2</v>
      </c>
      <c r="J440">
        <v>0.2074</v>
      </c>
    </row>
    <row r="441" spans="1:10" x14ac:dyDescent="0.4">
      <c r="A441">
        <v>12</v>
      </c>
      <c r="B441">
        <v>1E-3</v>
      </c>
      <c r="C441">
        <v>2.7000000000000001E-3</v>
      </c>
      <c r="D441">
        <v>4.0000000000000001E-3</v>
      </c>
      <c r="E441">
        <v>7.0000000000000001E-3</v>
      </c>
      <c r="F441">
        <v>1.18E-2</v>
      </c>
      <c r="G441">
        <v>1.89E-2</v>
      </c>
      <c r="H441">
        <v>3.2599999999999997E-2</v>
      </c>
      <c r="I441">
        <v>4.3799999999999999E-2</v>
      </c>
      <c r="J441">
        <v>0.14130000000000001</v>
      </c>
    </row>
    <row r="442" spans="1:10" x14ac:dyDescent="0.4">
      <c r="A442">
        <v>13</v>
      </c>
      <c r="B442">
        <v>1E-4</v>
      </c>
      <c r="C442">
        <v>4.0000000000000002E-4</v>
      </c>
      <c r="D442">
        <v>5.9999999999999995E-4</v>
      </c>
      <c r="E442">
        <v>1.1000000000000001E-3</v>
      </c>
      <c r="F442">
        <v>1.9E-3</v>
      </c>
      <c r="G442">
        <v>3.3999999999999998E-3</v>
      </c>
      <c r="H442">
        <v>5.8999999999999999E-3</v>
      </c>
      <c r="I442">
        <v>8.0999999999999996E-3</v>
      </c>
      <c r="J442">
        <v>4.2999999999999997E-2</v>
      </c>
    </row>
    <row r="443" spans="1:10" x14ac:dyDescent="0.4">
      <c r="A443">
        <v>14</v>
      </c>
      <c r="B443">
        <v>1E-4</v>
      </c>
      <c r="C443">
        <v>2.0000000000000001E-4</v>
      </c>
      <c r="D443">
        <v>4.0000000000000002E-4</v>
      </c>
      <c r="E443">
        <v>6.9999999999999999E-4</v>
      </c>
      <c r="F443">
        <v>1.4E-3</v>
      </c>
      <c r="G443">
        <v>2.5999999999999999E-3</v>
      </c>
      <c r="H443">
        <v>5.1999999999999998E-3</v>
      </c>
      <c r="I443">
        <v>7.9000000000000008E-3</v>
      </c>
      <c r="J443">
        <v>7.1499999999999994E-2</v>
      </c>
    </row>
    <row r="444" spans="1:10" x14ac:dyDescent="0.4">
      <c r="A444" t="s">
        <v>29</v>
      </c>
      <c r="B444">
        <v>0</v>
      </c>
      <c r="C444">
        <v>0</v>
      </c>
      <c r="D444">
        <v>0</v>
      </c>
      <c r="E444">
        <v>1E-4</v>
      </c>
      <c r="F444">
        <v>2.0000000000000001E-4</v>
      </c>
      <c r="G444">
        <v>4.0000000000000002E-4</v>
      </c>
      <c r="H444">
        <v>8.9999999999999998E-4</v>
      </c>
      <c r="I444">
        <v>1.4E-3</v>
      </c>
      <c r="J444">
        <v>2.75E-2</v>
      </c>
    </row>
    <row r="446" spans="1:10" x14ac:dyDescent="0.4">
      <c r="A446">
        <v>2028</v>
      </c>
    </row>
    <row r="448" spans="1:10" x14ac:dyDescent="0.4">
      <c r="A448" t="s">
        <v>0</v>
      </c>
      <c r="B448" s="2">
        <v>0.01</v>
      </c>
      <c r="C448" s="2">
        <v>0.05</v>
      </c>
      <c r="D448" s="2">
        <v>0.1</v>
      </c>
      <c r="E448" s="2">
        <v>0.25</v>
      </c>
      <c r="F448" s="2">
        <v>0.5</v>
      </c>
      <c r="G448" s="2">
        <v>0.75</v>
      </c>
      <c r="H448" s="2">
        <v>0.9</v>
      </c>
      <c r="I448" s="2">
        <v>0.95</v>
      </c>
      <c r="J448" s="2">
        <v>0.99</v>
      </c>
    </row>
    <row r="449" spans="1:10" x14ac:dyDescent="0.4">
      <c r="A449">
        <v>1</v>
      </c>
      <c r="B449">
        <v>68.668400000000005</v>
      </c>
      <c r="C449">
        <v>70.8262</v>
      </c>
      <c r="D449">
        <v>79.016900000000007</v>
      </c>
      <c r="E449">
        <v>105.01819999999999</v>
      </c>
      <c r="F449">
        <v>168.59829999999999</v>
      </c>
      <c r="G449">
        <v>237.08860000000001</v>
      </c>
      <c r="H449">
        <v>279.83850000000001</v>
      </c>
      <c r="I449">
        <v>307.02620000000002</v>
      </c>
      <c r="J449">
        <v>333.70030000000003</v>
      </c>
    </row>
    <row r="450" spans="1:10" x14ac:dyDescent="0.4">
      <c r="A450">
        <v>2</v>
      </c>
      <c r="B450">
        <v>38.521799999999999</v>
      </c>
      <c r="C450">
        <v>42.460099999999997</v>
      </c>
      <c r="D450">
        <v>46.423099999999998</v>
      </c>
      <c r="E450">
        <v>61.564399999999999</v>
      </c>
      <c r="F450">
        <v>99.549599999999998</v>
      </c>
      <c r="G450">
        <v>141.4941</v>
      </c>
      <c r="H450">
        <v>169.2961</v>
      </c>
      <c r="I450">
        <v>183.92949999999999</v>
      </c>
      <c r="J450">
        <v>210.279</v>
      </c>
    </row>
    <row r="451" spans="1:10" x14ac:dyDescent="0.4">
      <c r="A451">
        <v>3</v>
      </c>
      <c r="B451">
        <v>13.912800000000001</v>
      </c>
      <c r="C451">
        <v>19.991399999999999</v>
      </c>
      <c r="D451">
        <v>22.906500000000001</v>
      </c>
      <c r="E451">
        <v>31.051500000000001</v>
      </c>
      <c r="F451">
        <v>51.626600000000003</v>
      </c>
      <c r="G451">
        <v>75.208200000000005</v>
      </c>
      <c r="H451">
        <v>94.054299999999998</v>
      </c>
      <c r="I451">
        <v>103.3612</v>
      </c>
      <c r="J451">
        <v>124.7026</v>
      </c>
    </row>
    <row r="452" spans="1:10" x14ac:dyDescent="0.4">
      <c r="A452">
        <v>4</v>
      </c>
      <c r="B452">
        <v>2.7564000000000002</v>
      </c>
      <c r="C452">
        <v>6.5576999999999996</v>
      </c>
      <c r="D452">
        <v>8.7403999999999993</v>
      </c>
      <c r="E452">
        <v>13.2323</v>
      </c>
      <c r="F452">
        <v>23.167999999999999</v>
      </c>
      <c r="G452">
        <v>36.062899999999999</v>
      </c>
      <c r="H452">
        <v>48.160200000000003</v>
      </c>
      <c r="I452">
        <v>54.269399999999997</v>
      </c>
      <c r="J452">
        <v>69.577500000000001</v>
      </c>
    </row>
    <row r="453" spans="1:10" x14ac:dyDescent="0.4">
      <c r="A453">
        <v>5</v>
      </c>
      <c r="B453">
        <v>0.51029999999999998</v>
      </c>
      <c r="C453">
        <v>1.8875</v>
      </c>
      <c r="D453">
        <v>2.9186999999999999</v>
      </c>
      <c r="E453">
        <v>5.2133000000000003</v>
      </c>
      <c r="F453">
        <v>9.7803000000000004</v>
      </c>
      <c r="G453">
        <v>16.5898</v>
      </c>
      <c r="H453">
        <v>23.3886</v>
      </c>
      <c r="I453">
        <v>27.346599999999999</v>
      </c>
      <c r="J453">
        <v>36.5931</v>
      </c>
    </row>
    <row r="454" spans="1:10" x14ac:dyDescent="0.4">
      <c r="A454">
        <v>6</v>
      </c>
      <c r="B454">
        <v>0.12189999999999999</v>
      </c>
      <c r="C454">
        <v>0.63229999999999997</v>
      </c>
      <c r="D454">
        <v>1.0929</v>
      </c>
      <c r="E454">
        <v>2.2044999999999999</v>
      </c>
      <c r="F454">
        <v>4.4050000000000002</v>
      </c>
      <c r="G454">
        <v>7.9386999999999999</v>
      </c>
      <c r="H454">
        <v>11.7584</v>
      </c>
      <c r="I454">
        <v>14.086499999999999</v>
      </c>
      <c r="J454">
        <v>19.4803</v>
      </c>
    </row>
    <row r="455" spans="1:10" x14ac:dyDescent="0.4">
      <c r="A455">
        <v>7</v>
      </c>
      <c r="B455">
        <v>4.65E-2</v>
      </c>
      <c r="C455">
        <v>0.27439999999999998</v>
      </c>
      <c r="D455">
        <v>0.49480000000000002</v>
      </c>
      <c r="E455">
        <v>1.0738000000000001</v>
      </c>
      <c r="F455">
        <v>2.1886000000000001</v>
      </c>
      <c r="G455">
        <v>4.0659000000000001</v>
      </c>
      <c r="H455">
        <v>6.2165999999999997</v>
      </c>
      <c r="I455">
        <v>7.6230000000000002</v>
      </c>
      <c r="J455">
        <v>10.635</v>
      </c>
    </row>
    <row r="456" spans="1:10" x14ac:dyDescent="0.4">
      <c r="A456">
        <v>8</v>
      </c>
      <c r="B456">
        <v>4.4200000000000003E-2</v>
      </c>
      <c r="C456">
        <v>0.27639999999999998</v>
      </c>
      <c r="D456">
        <v>0.50219999999999998</v>
      </c>
      <c r="E456">
        <v>1.0552999999999999</v>
      </c>
      <c r="F456">
        <v>1.9571000000000001</v>
      </c>
      <c r="G456">
        <v>3.2088999999999999</v>
      </c>
      <c r="H456">
        <v>4.7655000000000003</v>
      </c>
      <c r="I456">
        <v>5.8983999999999996</v>
      </c>
      <c r="J456">
        <v>8.2015999999999991</v>
      </c>
    </row>
    <row r="457" spans="1:10" x14ac:dyDescent="0.4">
      <c r="A457">
        <v>9</v>
      </c>
      <c r="B457">
        <v>1.6E-2</v>
      </c>
      <c r="C457">
        <v>9.4700000000000006E-2</v>
      </c>
      <c r="D457">
        <v>0.1711</v>
      </c>
      <c r="E457">
        <v>0.35549999999999998</v>
      </c>
      <c r="F457">
        <v>0.63739999999999997</v>
      </c>
      <c r="G457">
        <v>0.98980000000000001</v>
      </c>
      <c r="H457">
        <v>1.3898999999999999</v>
      </c>
      <c r="I457">
        <v>1.6734</v>
      </c>
      <c r="J457">
        <v>2.2843</v>
      </c>
    </row>
    <row r="458" spans="1:10" x14ac:dyDescent="0.4">
      <c r="A458">
        <v>10</v>
      </c>
      <c r="B458">
        <v>8.5000000000000006E-3</v>
      </c>
      <c r="C458">
        <v>4.87E-2</v>
      </c>
      <c r="D458">
        <v>8.5999999999999993E-2</v>
      </c>
      <c r="E458">
        <v>0.17560000000000001</v>
      </c>
      <c r="F458">
        <v>0.31</v>
      </c>
      <c r="G458">
        <v>0.48249999999999998</v>
      </c>
      <c r="H458">
        <v>0.68149999999999999</v>
      </c>
      <c r="I458">
        <v>0.83230000000000004</v>
      </c>
      <c r="J458">
        <v>1.1882999999999999</v>
      </c>
    </row>
    <row r="459" spans="1:10" x14ac:dyDescent="0.4">
      <c r="A459">
        <v>11</v>
      </c>
      <c r="B459">
        <v>1.5E-3</v>
      </c>
      <c r="C459">
        <v>8.0999999999999996E-3</v>
      </c>
      <c r="D459">
        <v>1.4500000000000001E-2</v>
      </c>
      <c r="E459">
        <v>2.9899999999999999E-2</v>
      </c>
      <c r="F459">
        <v>5.2999999999999999E-2</v>
      </c>
      <c r="G459">
        <v>8.3299999999999999E-2</v>
      </c>
      <c r="H459">
        <v>0.12330000000000001</v>
      </c>
      <c r="I459">
        <v>0.15670000000000001</v>
      </c>
      <c r="J459">
        <v>0.26329999999999998</v>
      </c>
    </row>
    <row r="460" spans="1:10" x14ac:dyDescent="0.4">
      <c r="A460">
        <v>12</v>
      </c>
      <c r="B460">
        <v>5.0000000000000001E-4</v>
      </c>
      <c r="C460">
        <v>2.3999999999999998E-3</v>
      </c>
      <c r="D460">
        <v>4.1000000000000003E-3</v>
      </c>
      <c r="E460">
        <v>8.3999999999999995E-3</v>
      </c>
      <c r="F460">
        <v>1.52E-2</v>
      </c>
      <c r="G460">
        <v>2.46E-2</v>
      </c>
      <c r="H460">
        <v>3.7999999999999999E-2</v>
      </c>
      <c r="I460">
        <v>5.0999999999999997E-2</v>
      </c>
      <c r="J460">
        <v>0.1072</v>
      </c>
    </row>
    <row r="461" spans="1:10" x14ac:dyDescent="0.4">
      <c r="A461">
        <v>13</v>
      </c>
      <c r="B461">
        <v>2.0000000000000001E-4</v>
      </c>
      <c r="C461">
        <v>8.9999999999999998E-4</v>
      </c>
      <c r="D461">
        <v>1.5E-3</v>
      </c>
      <c r="E461">
        <v>3.0000000000000001E-3</v>
      </c>
      <c r="F461">
        <v>5.4999999999999997E-3</v>
      </c>
      <c r="G461">
        <v>9.4999999999999998E-3</v>
      </c>
      <c r="H461">
        <v>1.6400000000000001E-2</v>
      </c>
      <c r="I461">
        <v>2.3E-2</v>
      </c>
      <c r="J461">
        <v>7.2599999999999998E-2</v>
      </c>
    </row>
    <row r="462" spans="1:10" x14ac:dyDescent="0.4">
      <c r="A462">
        <v>14</v>
      </c>
      <c r="B462">
        <v>0</v>
      </c>
      <c r="C462">
        <v>1E-4</v>
      </c>
      <c r="D462">
        <v>2.0000000000000001E-4</v>
      </c>
      <c r="E462">
        <v>5.0000000000000001E-4</v>
      </c>
      <c r="F462">
        <v>8.9999999999999998E-4</v>
      </c>
      <c r="G462">
        <v>1.6999999999999999E-3</v>
      </c>
      <c r="H462">
        <v>3.0000000000000001E-3</v>
      </c>
      <c r="I462">
        <v>4.3E-3</v>
      </c>
      <c r="J462">
        <v>2.2100000000000002E-2</v>
      </c>
    </row>
    <row r="463" spans="1:10" x14ac:dyDescent="0.4">
      <c r="A463" t="s">
        <v>29</v>
      </c>
      <c r="B463">
        <v>0</v>
      </c>
      <c r="C463">
        <v>1E-4</v>
      </c>
      <c r="D463">
        <v>2.0000000000000001E-4</v>
      </c>
      <c r="E463">
        <v>2.9999999999999997E-4</v>
      </c>
      <c r="F463">
        <v>6.9999999999999999E-4</v>
      </c>
      <c r="G463">
        <v>1.5E-3</v>
      </c>
      <c r="H463">
        <v>3.0999999999999999E-3</v>
      </c>
      <c r="I463">
        <v>4.7999999999999996E-3</v>
      </c>
      <c r="J463">
        <v>5.1200000000000002E-2</v>
      </c>
    </row>
    <row r="465" spans="1:10" x14ac:dyDescent="0.4">
      <c r="A465">
        <v>2029</v>
      </c>
    </row>
    <row r="467" spans="1:10" x14ac:dyDescent="0.4">
      <c r="A467" t="s">
        <v>0</v>
      </c>
      <c r="B467" s="2">
        <v>0.01</v>
      </c>
      <c r="C467" s="2">
        <v>0.05</v>
      </c>
      <c r="D467" s="2">
        <v>0.1</v>
      </c>
      <c r="E467" s="2">
        <v>0.25</v>
      </c>
      <c r="F467" s="2">
        <v>0.5</v>
      </c>
      <c r="G467" s="2">
        <v>0.75</v>
      </c>
      <c r="H467" s="2">
        <v>0.9</v>
      </c>
      <c r="I467" s="2">
        <v>0.95</v>
      </c>
      <c r="J467" s="2">
        <v>0.99</v>
      </c>
    </row>
    <row r="468" spans="1:10" x14ac:dyDescent="0.4">
      <c r="A468">
        <v>1</v>
      </c>
      <c r="B468">
        <v>68.658500000000004</v>
      </c>
      <c r="C468">
        <v>70.7684</v>
      </c>
      <c r="D468">
        <v>79.092600000000004</v>
      </c>
      <c r="E468">
        <v>104.2825</v>
      </c>
      <c r="F468">
        <v>168.52629999999999</v>
      </c>
      <c r="G468">
        <v>237.17850000000001</v>
      </c>
      <c r="H468">
        <v>280.99829999999997</v>
      </c>
      <c r="I468">
        <v>307.55419999999998</v>
      </c>
      <c r="J468">
        <v>326.28429999999997</v>
      </c>
    </row>
    <row r="469" spans="1:10" x14ac:dyDescent="0.4">
      <c r="A469">
        <v>2</v>
      </c>
      <c r="B469">
        <v>38.1036</v>
      </c>
      <c r="C469">
        <v>42.1036</v>
      </c>
      <c r="D469">
        <v>46.058500000000002</v>
      </c>
      <c r="E469">
        <v>61.143500000000003</v>
      </c>
      <c r="F469">
        <v>99.013099999999994</v>
      </c>
      <c r="G469">
        <v>140.41139999999999</v>
      </c>
      <c r="H469">
        <v>167.91650000000001</v>
      </c>
      <c r="I469">
        <v>182.71520000000001</v>
      </c>
      <c r="J469">
        <v>208.6781</v>
      </c>
    </row>
    <row r="470" spans="1:10" x14ac:dyDescent="0.4">
      <c r="A470">
        <v>3</v>
      </c>
      <c r="B470">
        <v>14.066599999999999</v>
      </c>
      <c r="C470">
        <v>20.102900000000002</v>
      </c>
      <c r="D470">
        <v>23.007000000000001</v>
      </c>
      <c r="E470">
        <v>31.205200000000001</v>
      </c>
      <c r="F470">
        <v>51.822499999999998</v>
      </c>
      <c r="G470">
        <v>75.680099999999996</v>
      </c>
      <c r="H470">
        <v>94.686800000000005</v>
      </c>
      <c r="I470">
        <v>103.8391</v>
      </c>
      <c r="J470">
        <v>123.9135</v>
      </c>
    </row>
    <row r="471" spans="1:10" x14ac:dyDescent="0.4">
      <c r="A471">
        <v>4</v>
      </c>
      <c r="B471">
        <v>2.6694</v>
      </c>
      <c r="C471">
        <v>6.7870999999999997</v>
      </c>
      <c r="D471">
        <v>9.0273000000000003</v>
      </c>
      <c r="E471">
        <v>13.667999999999999</v>
      </c>
      <c r="F471">
        <v>23.913499999999999</v>
      </c>
      <c r="G471">
        <v>37.1404</v>
      </c>
      <c r="H471">
        <v>49.529400000000003</v>
      </c>
      <c r="I471">
        <v>55.778199999999998</v>
      </c>
      <c r="J471">
        <v>70.557299999999998</v>
      </c>
    </row>
    <row r="472" spans="1:10" x14ac:dyDescent="0.4">
      <c r="A472">
        <v>5</v>
      </c>
      <c r="B472">
        <v>0.39500000000000002</v>
      </c>
      <c r="C472">
        <v>1.9077</v>
      </c>
      <c r="D472">
        <v>3.0272999999999999</v>
      </c>
      <c r="E472">
        <v>5.5113000000000003</v>
      </c>
      <c r="F472">
        <v>10.315</v>
      </c>
      <c r="G472">
        <v>17.4069</v>
      </c>
      <c r="H472">
        <v>24.639900000000001</v>
      </c>
      <c r="I472">
        <v>28.7593</v>
      </c>
      <c r="J472">
        <v>38.4908</v>
      </c>
    </row>
    <row r="473" spans="1:10" x14ac:dyDescent="0.4">
      <c r="A473">
        <v>6</v>
      </c>
      <c r="B473">
        <v>6.6699999999999995E-2</v>
      </c>
      <c r="C473">
        <v>0.51759999999999995</v>
      </c>
      <c r="D473">
        <v>0.97399999999999998</v>
      </c>
      <c r="E473">
        <v>2.1114999999999999</v>
      </c>
      <c r="F473">
        <v>4.3052999999999999</v>
      </c>
      <c r="G473">
        <v>7.9055999999999997</v>
      </c>
      <c r="H473">
        <v>11.7715</v>
      </c>
      <c r="I473">
        <v>14.2599</v>
      </c>
      <c r="J473">
        <v>19.976900000000001</v>
      </c>
    </row>
    <row r="474" spans="1:10" x14ac:dyDescent="0.4">
      <c r="A474">
        <v>7</v>
      </c>
      <c r="B474">
        <v>1.6299999999999999E-2</v>
      </c>
      <c r="C474">
        <v>0.17749999999999999</v>
      </c>
      <c r="D474">
        <v>0.36549999999999999</v>
      </c>
      <c r="E474">
        <v>0.89349999999999996</v>
      </c>
      <c r="F474">
        <v>1.9609000000000001</v>
      </c>
      <c r="G474">
        <v>3.7957000000000001</v>
      </c>
      <c r="H474">
        <v>5.9210000000000003</v>
      </c>
      <c r="I474">
        <v>7.3329000000000004</v>
      </c>
      <c r="J474">
        <v>10.649100000000001</v>
      </c>
    </row>
    <row r="475" spans="1:10" x14ac:dyDescent="0.4">
      <c r="A475">
        <v>8</v>
      </c>
      <c r="B475">
        <v>6.3E-3</v>
      </c>
      <c r="C475">
        <v>7.9000000000000001E-2</v>
      </c>
      <c r="D475">
        <v>0.16930000000000001</v>
      </c>
      <c r="E475">
        <v>0.44009999999999999</v>
      </c>
      <c r="F475">
        <v>0.99239999999999995</v>
      </c>
      <c r="G475">
        <v>1.9611000000000001</v>
      </c>
      <c r="H475">
        <v>3.149</v>
      </c>
      <c r="I475">
        <v>3.9910000000000001</v>
      </c>
      <c r="J475">
        <v>5.8205999999999998</v>
      </c>
    </row>
    <row r="476" spans="1:10" x14ac:dyDescent="0.4">
      <c r="A476">
        <v>9</v>
      </c>
      <c r="B476">
        <v>6.3E-3</v>
      </c>
      <c r="C476">
        <v>8.0699999999999994E-2</v>
      </c>
      <c r="D476">
        <v>0.17299999999999999</v>
      </c>
      <c r="E476">
        <v>0.43530000000000002</v>
      </c>
      <c r="F476">
        <v>0.90610000000000002</v>
      </c>
      <c r="G476">
        <v>1.5940000000000001</v>
      </c>
      <c r="H476">
        <v>2.472</v>
      </c>
      <c r="I476">
        <v>3.1084999999999998</v>
      </c>
      <c r="J476">
        <v>4.4962</v>
      </c>
    </row>
    <row r="477" spans="1:10" x14ac:dyDescent="0.4">
      <c r="A477">
        <v>10</v>
      </c>
      <c r="B477">
        <v>2.5000000000000001E-3</v>
      </c>
      <c r="C477">
        <v>2.8400000000000002E-2</v>
      </c>
      <c r="D477">
        <v>6.1199999999999997E-2</v>
      </c>
      <c r="E477">
        <v>0.14949999999999999</v>
      </c>
      <c r="F477">
        <v>0.29920000000000002</v>
      </c>
      <c r="G477">
        <v>0.50049999999999994</v>
      </c>
      <c r="H477">
        <v>0.7319</v>
      </c>
      <c r="I477">
        <v>0.90010000000000001</v>
      </c>
      <c r="J477">
        <v>1.2722</v>
      </c>
    </row>
    <row r="478" spans="1:10" x14ac:dyDescent="0.4">
      <c r="A478">
        <v>11</v>
      </c>
      <c r="B478">
        <v>1.4E-3</v>
      </c>
      <c r="C478">
        <v>1.4999999999999999E-2</v>
      </c>
      <c r="D478">
        <v>3.1399999999999997E-2</v>
      </c>
      <c r="E478">
        <v>7.4999999999999997E-2</v>
      </c>
      <c r="F478">
        <v>0.14779999999999999</v>
      </c>
      <c r="G478">
        <v>0.24660000000000001</v>
      </c>
      <c r="H478">
        <v>0.36130000000000001</v>
      </c>
      <c r="I478">
        <v>0.44900000000000001</v>
      </c>
      <c r="J478">
        <v>0.65949999999999998</v>
      </c>
    </row>
    <row r="479" spans="1:10" x14ac:dyDescent="0.4">
      <c r="A479">
        <v>12</v>
      </c>
      <c r="B479">
        <v>2.9999999999999997E-4</v>
      </c>
      <c r="C479">
        <v>2.5999999999999999E-3</v>
      </c>
      <c r="D479">
        <v>5.4000000000000003E-3</v>
      </c>
      <c r="E479">
        <v>1.2999999999999999E-2</v>
      </c>
      <c r="F479">
        <v>2.5600000000000001E-2</v>
      </c>
      <c r="G479">
        <v>4.2900000000000001E-2</v>
      </c>
      <c r="H479">
        <v>6.5699999999999995E-2</v>
      </c>
      <c r="I479">
        <v>8.4500000000000006E-2</v>
      </c>
      <c r="J479">
        <v>0.1426</v>
      </c>
    </row>
    <row r="480" spans="1:10" x14ac:dyDescent="0.4">
      <c r="A480">
        <v>13</v>
      </c>
      <c r="B480">
        <v>1E-4</v>
      </c>
      <c r="C480">
        <v>8.0000000000000004E-4</v>
      </c>
      <c r="D480">
        <v>1.6000000000000001E-3</v>
      </c>
      <c r="E480">
        <v>3.7000000000000002E-3</v>
      </c>
      <c r="F480">
        <v>7.4000000000000003E-3</v>
      </c>
      <c r="G480">
        <v>1.2699999999999999E-2</v>
      </c>
      <c r="H480">
        <v>2.0199999999999999E-2</v>
      </c>
      <c r="I480">
        <v>2.75E-2</v>
      </c>
      <c r="J480">
        <v>5.6899999999999999E-2</v>
      </c>
    </row>
    <row r="481" spans="1:10" x14ac:dyDescent="0.4">
      <c r="A481">
        <v>14</v>
      </c>
      <c r="B481">
        <v>0</v>
      </c>
      <c r="C481">
        <v>2.9999999999999997E-4</v>
      </c>
      <c r="D481">
        <v>5.9999999999999995E-4</v>
      </c>
      <c r="E481">
        <v>1.2999999999999999E-3</v>
      </c>
      <c r="F481">
        <v>2.7000000000000001E-3</v>
      </c>
      <c r="G481">
        <v>4.8999999999999998E-3</v>
      </c>
      <c r="H481">
        <v>8.6E-3</v>
      </c>
      <c r="I481">
        <v>1.23E-2</v>
      </c>
      <c r="J481">
        <v>3.7699999999999997E-2</v>
      </c>
    </row>
    <row r="482" spans="1:10" x14ac:dyDescent="0.4">
      <c r="A482" t="s">
        <v>29</v>
      </c>
      <c r="B482">
        <v>0</v>
      </c>
      <c r="C482">
        <v>1E-4</v>
      </c>
      <c r="D482">
        <v>2.0000000000000001E-4</v>
      </c>
      <c r="E482">
        <v>4.0000000000000002E-4</v>
      </c>
      <c r="F482">
        <v>8.0000000000000004E-4</v>
      </c>
      <c r="G482">
        <v>1.6000000000000001E-3</v>
      </c>
      <c r="H482">
        <v>3.2000000000000002E-3</v>
      </c>
      <c r="I482">
        <v>4.8999999999999998E-3</v>
      </c>
      <c r="J482">
        <v>3.8399999999999997E-2</v>
      </c>
    </row>
    <row r="484" spans="1:10" x14ac:dyDescent="0.4">
      <c r="A484">
        <v>2030</v>
      </c>
    </row>
    <row r="486" spans="1:10" x14ac:dyDescent="0.4">
      <c r="A486" t="s">
        <v>0</v>
      </c>
      <c r="B486" s="2">
        <v>0.01</v>
      </c>
      <c r="C486" s="2">
        <v>0.05</v>
      </c>
      <c r="D486" s="2">
        <v>0.1</v>
      </c>
      <c r="E486" s="2">
        <v>0.25</v>
      </c>
      <c r="F486" s="2">
        <v>0.5</v>
      </c>
      <c r="G486" s="2">
        <v>0.75</v>
      </c>
      <c r="H486" s="2">
        <v>0.9</v>
      </c>
      <c r="I486" s="2">
        <v>0.95</v>
      </c>
      <c r="J486" s="2">
        <v>0.99</v>
      </c>
    </row>
    <row r="487" spans="1:10" x14ac:dyDescent="0.4">
      <c r="A487">
        <v>1</v>
      </c>
      <c r="B487">
        <v>68.659800000000004</v>
      </c>
      <c r="C487">
        <v>70.732200000000006</v>
      </c>
      <c r="D487">
        <v>78.971800000000002</v>
      </c>
      <c r="E487">
        <v>104.381</v>
      </c>
      <c r="F487">
        <v>168.49799999999999</v>
      </c>
      <c r="G487">
        <v>236.7998</v>
      </c>
      <c r="H487">
        <v>279.5505</v>
      </c>
      <c r="I487">
        <v>306.78930000000003</v>
      </c>
      <c r="J487">
        <v>332.0204</v>
      </c>
    </row>
    <row r="488" spans="1:10" x14ac:dyDescent="0.4">
      <c r="A488">
        <v>2</v>
      </c>
      <c r="B488">
        <v>38.0578</v>
      </c>
      <c r="C488">
        <v>42.148600000000002</v>
      </c>
      <c r="D488">
        <v>46.075600000000001</v>
      </c>
      <c r="E488">
        <v>60.8703</v>
      </c>
      <c r="F488">
        <v>98.795599999999993</v>
      </c>
      <c r="G488">
        <v>140.6533</v>
      </c>
      <c r="H488">
        <v>168.56100000000001</v>
      </c>
      <c r="I488">
        <v>183.37970000000001</v>
      </c>
      <c r="J488">
        <v>207.26580000000001</v>
      </c>
    </row>
    <row r="489" spans="1:10" x14ac:dyDescent="0.4">
      <c r="A489">
        <v>3</v>
      </c>
      <c r="B489">
        <v>13.5962</v>
      </c>
      <c r="C489">
        <v>19.8888</v>
      </c>
      <c r="D489">
        <v>22.8721</v>
      </c>
      <c r="E489">
        <v>31.1113</v>
      </c>
      <c r="F489">
        <v>51.596200000000003</v>
      </c>
      <c r="G489">
        <v>74.869</v>
      </c>
      <c r="H489">
        <v>94.076700000000002</v>
      </c>
      <c r="I489">
        <v>103.34399999999999</v>
      </c>
      <c r="J489">
        <v>122.29049999999999</v>
      </c>
    </row>
    <row r="490" spans="1:10" x14ac:dyDescent="0.4">
      <c r="A490">
        <v>4</v>
      </c>
      <c r="B490">
        <v>2.7239</v>
      </c>
      <c r="C490">
        <v>6.7869999999999999</v>
      </c>
      <c r="D490">
        <v>9.1153999999999993</v>
      </c>
      <c r="E490">
        <v>13.758100000000001</v>
      </c>
      <c r="F490">
        <v>24.072299999999998</v>
      </c>
      <c r="G490">
        <v>37.442700000000002</v>
      </c>
      <c r="H490">
        <v>49.929699999999997</v>
      </c>
      <c r="I490">
        <v>56.360199999999999</v>
      </c>
      <c r="J490">
        <v>70.107600000000005</v>
      </c>
    </row>
    <row r="491" spans="1:10" x14ac:dyDescent="0.4">
      <c r="A491">
        <v>5</v>
      </c>
      <c r="B491">
        <v>0.37859999999999999</v>
      </c>
      <c r="C491">
        <v>1.9524999999999999</v>
      </c>
      <c r="D491">
        <v>3.1478999999999999</v>
      </c>
      <c r="E491">
        <v>5.6989000000000001</v>
      </c>
      <c r="F491">
        <v>10.661199999999999</v>
      </c>
      <c r="G491">
        <v>17.991700000000002</v>
      </c>
      <c r="H491">
        <v>25.3992</v>
      </c>
      <c r="I491">
        <v>29.527699999999999</v>
      </c>
      <c r="J491">
        <v>39.383499999999998</v>
      </c>
    </row>
    <row r="492" spans="1:10" x14ac:dyDescent="0.4">
      <c r="A492">
        <v>6</v>
      </c>
      <c r="B492">
        <v>5.4300000000000001E-2</v>
      </c>
      <c r="C492">
        <v>0.52190000000000003</v>
      </c>
      <c r="D492">
        <v>1.0041</v>
      </c>
      <c r="E492">
        <v>2.2298</v>
      </c>
      <c r="F492">
        <v>4.5525000000000002</v>
      </c>
      <c r="G492">
        <v>8.3181999999999992</v>
      </c>
      <c r="H492">
        <v>12.4459</v>
      </c>
      <c r="I492">
        <v>15.0555</v>
      </c>
      <c r="J492">
        <v>21.072299999999998</v>
      </c>
    </row>
    <row r="493" spans="1:10" x14ac:dyDescent="0.4">
      <c r="A493">
        <v>7</v>
      </c>
      <c r="B493">
        <v>9.1999999999999998E-3</v>
      </c>
      <c r="C493">
        <v>0.14249999999999999</v>
      </c>
      <c r="D493">
        <v>0.32229999999999998</v>
      </c>
      <c r="E493">
        <v>0.85119999999999996</v>
      </c>
      <c r="F493">
        <v>1.9198</v>
      </c>
      <c r="G493">
        <v>3.7745000000000002</v>
      </c>
      <c r="H493">
        <v>5.9451000000000001</v>
      </c>
      <c r="I493">
        <v>7.4326999999999996</v>
      </c>
      <c r="J493">
        <v>10.926600000000001</v>
      </c>
    </row>
    <row r="494" spans="1:10" x14ac:dyDescent="0.4">
      <c r="A494">
        <v>8</v>
      </c>
      <c r="B494">
        <v>2.3E-3</v>
      </c>
      <c r="C494">
        <v>4.99E-2</v>
      </c>
      <c r="D494">
        <v>0.1239</v>
      </c>
      <c r="E494">
        <v>0.36459999999999998</v>
      </c>
      <c r="F494">
        <v>0.88580000000000003</v>
      </c>
      <c r="G494">
        <v>1.8323</v>
      </c>
      <c r="H494">
        <v>3.0110999999999999</v>
      </c>
      <c r="I494">
        <v>3.8460999999999999</v>
      </c>
      <c r="J494">
        <v>5.8398000000000003</v>
      </c>
    </row>
    <row r="495" spans="1:10" x14ac:dyDescent="0.4">
      <c r="A495">
        <v>9</v>
      </c>
      <c r="B495">
        <v>1E-3</v>
      </c>
      <c r="C495">
        <v>2.3099999999999999E-2</v>
      </c>
      <c r="D495">
        <v>5.8999999999999997E-2</v>
      </c>
      <c r="E495">
        <v>0.18240000000000001</v>
      </c>
      <c r="F495">
        <v>0.45789999999999997</v>
      </c>
      <c r="G495">
        <v>0.96220000000000006</v>
      </c>
      <c r="H495">
        <v>1.6208</v>
      </c>
      <c r="I495">
        <v>2.1135999999999999</v>
      </c>
      <c r="J495">
        <v>3.2143999999999999</v>
      </c>
    </row>
    <row r="496" spans="1:10" x14ac:dyDescent="0.4">
      <c r="A496">
        <v>10</v>
      </c>
      <c r="B496">
        <v>1E-3</v>
      </c>
      <c r="C496">
        <v>2.3900000000000001E-2</v>
      </c>
      <c r="D496">
        <v>6.1100000000000002E-2</v>
      </c>
      <c r="E496">
        <v>0.18279999999999999</v>
      </c>
      <c r="F496">
        <v>0.42630000000000001</v>
      </c>
      <c r="G496">
        <v>0.80169999999999997</v>
      </c>
      <c r="H496">
        <v>1.2937000000000001</v>
      </c>
      <c r="I496">
        <v>1.6671</v>
      </c>
      <c r="J496">
        <v>2.5034000000000001</v>
      </c>
    </row>
    <row r="497" spans="1:10" x14ac:dyDescent="0.4">
      <c r="A497">
        <v>11</v>
      </c>
      <c r="B497">
        <v>4.0000000000000002E-4</v>
      </c>
      <c r="C497">
        <v>8.6999999999999994E-3</v>
      </c>
      <c r="D497">
        <v>2.2100000000000002E-2</v>
      </c>
      <c r="E497">
        <v>6.3700000000000007E-2</v>
      </c>
      <c r="F497">
        <v>0.14249999999999999</v>
      </c>
      <c r="G497">
        <v>0.25530000000000003</v>
      </c>
      <c r="H497">
        <v>0.3891</v>
      </c>
      <c r="I497">
        <v>0.4879</v>
      </c>
      <c r="J497">
        <v>0.71330000000000005</v>
      </c>
    </row>
    <row r="498" spans="1:10" x14ac:dyDescent="0.4">
      <c r="A498">
        <v>12</v>
      </c>
      <c r="B498">
        <v>2.9999999999999997E-4</v>
      </c>
      <c r="C498">
        <v>4.7000000000000002E-3</v>
      </c>
      <c r="D498">
        <v>1.1599999999999999E-2</v>
      </c>
      <c r="E498">
        <v>3.2300000000000002E-2</v>
      </c>
      <c r="F498">
        <v>7.1099999999999997E-2</v>
      </c>
      <c r="G498">
        <v>0.12659999999999999</v>
      </c>
      <c r="H498">
        <v>0.193</v>
      </c>
      <c r="I498">
        <v>0.24379999999999999</v>
      </c>
      <c r="J498">
        <v>0.36699999999999999</v>
      </c>
    </row>
    <row r="499" spans="1:10" x14ac:dyDescent="0.4">
      <c r="A499">
        <v>13</v>
      </c>
      <c r="B499">
        <v>0</v>
      </c>
      <c r="C499">
        <v>8.0000000000000004E-4</v>
      </c>
      <c r="D499">
        <v>2E-3</v>
      </c>
      <c r="E499">
        <v>5.7000000000000002E-3</v>
      </c>
      <c r="F499">
        <v>1.24E-2</v>
      </c>
      <c r="G499">
        <v>2.2200000000000001E-2</v>
      </c>
      <c r="H499">
        <v>3.5099999999999999E-2</v>
      </c>
      <c r="I499">
        <v>4.5900000000000003E-2</v>
      </c>
      <c r="J499">
        <v>7.7700000000000005E-2</v>
      </c>
    </row>
    <row r="500" spans="1:10" x14ac:dyDescent="0.4">
      <c r="A500">
        <v>14</v>
      </c>
      <c r="B500">
        <v>0</v>
      </c>
      <c r="C500">
        <v>2.9999999999999997E-4</v>
      </c>
      <c r="D500">
        <v>5.9999999999999995E-4</v>
      </c>
      <c r="E500">
        <v>1.6000000000000001E-3</v>
      </c>
      <c r="F500">
        <v>3.5999999999999999E-3</v>
      </c>
      <c r="G500">
        <v>6.6E-3</v>
      </c>
      <c r="H500">
        <v>1.0800000000000001E-2</v>
      </c>
      <c r="I500">
        <v>1.4800000000000001E-2</v>
      </c>
      <c r="J500">
        <v>3.0200000000000001E-2</v>
      </c>
    </row>
    <row r="501" spans="1:10" x14ac:dyDescent="0.4">
      <c r="A501" t="s">
        <v>29</v>
      </c>
      <c r="B501">
        <v>0</v>
      </c>
      <c r="C501">
        <v>1E-4</v>
      </c>
      <c r="D501">
        <v>2.9999999999999997E-4</v>
      </c>
      <c r="E501">
        <v>8.0000000000000004E-4</v>
      </c>
      <c r="F501">
        <v>1.6999999999999999E-3</v>
      </c>
      <c r="G501">
        <v>3.3999999999999998E-3</v>
      </c>
      <c r="H501">
        <v>6.1999999999999998E-3</v>
      </c>
      <c r="I501">
        <v>9.2999999999999992E-3</v>
      </c>
      <c r="J501">
        <v>3.9600000000000003E-2</v>
      </c>
    </row>
    <row r="503" spans="1:10" x14ac:dyDescent="0.4">
      <c r="A503">
        <v>2031</v>
      </c>
    </row>
    <row r="505" spans="1:10" x14ac:dyDescent="0.4">
      <c r="A505" t="s">
        <v>0</v>
      </c>
      <c r="B505" s="2">
        <v>0.01</v>
      </c>
      <c r="C505" s="2">
        <v>0.05</v>
      </c>
      <c r="D505" s="2">
        <v>0.1</v>
      </c>
      <c r="E505" s="2">
        <v>0.25</v>
      </c>
      <c r="F505" s="2">
        <v>0.5</v>
      </c>
      <c r="G505" s="2">
        <v>0.75</v>
      </c>
      <c r="H505" s="2">
        <v>0.9</v>
      </c>
      <c r="I505" s="2">
        <v>0.95</v>
      </c>
      <c r="J505" s="2">
        <v>0.99</v>
      </c>
    </row>
    <row r="506" spans="1:10" x14ac:dyDescent="0.4">
      <c r="A506">
        <v>1</v>
      </c>
      <c r="B506">
        <v>68.63</v>
      </c>
      <c r="C506">
        <v>70.5946</v>
      </c>
      <c r="D506">
        <v>79.066199999999995</v>
      </c>
      <c r="E506">
        <v>104.9687</v>
      </c>
      <c r="F506">
        <v>168.56780000000001</v>
      </c>
      <c r="G506">
        <v>236.97280000000001</v>
      </c>
      <c r="H506">
        <v>280.0369</v>
      </c>
      <c r="I506">
        <v>306.65120000000002</v>
      </c>
      <c r="J506">
        <v>336.33409999999998</v>
      </c>
    </row>
    <row r="507" spans="1:10" x14ac:dyDescent="0.4">
      <c r="A507">
        <v>2</v>
      </c>
      <c r="B507">
        <v>37.737299999999998</v>
      </c>
      <c r="C507">
        <v>42.0197</v>
      </c>
      <c r="D507">
        <v>45.962499999999999</v>
      </c>
      <c r="E507">
        <v>60.920999999999999</v>
      </c>
      <c r="F507">
        <v>98.844200000000001</v>
      </c>
      <c r="G507">
        <v>140.08680000000001</v>
      </c>
      <c r="H507">
        <v>168.06710000000001</v>
      </c>
      <c r="I507">
        <v>182.6652</v>
      </c>
      <c r="J507">
        <v>208.94800000000001</v>
      </c>
    </row>
    <row r="508" spans="1:10" x14ac:dyDescent="0.4">
      <c r="A508">
        <v>3</v>
      </c>
      <c r="B508">
        <v>13.2485</v>
      </c>
      <c r="C508">
        <v>19.900099999999998</v>
      </c>
      <c r="D508">
        <v>22.8963</v>
      </c>
      <c r="E508">
        <v>30.884899999999998</v>
      </c>
      <c r="F508">
        <v>51.454300000000003</v>
      </c>
      <c r="G508">
        <v>75.324799999999996</v>
      </c>
      <c r="H508">
        <v>94.486599999999996</v>
      </c>
      <c r="I508">
        <v>103.6249</v>
      </c>
      <c r="J508">
        <v>122.3781</v>
      </c>
    </row>
    <row r="509" spans="1:10" x14ac:dyDescent="0.4">
      <c r="A509">
        <v>4</v>
      </c>
      <c r="B509">
        <v>2.3765999999999998</v>
      </c>
      <c r="C509">
        <v>6.6650999999999998</v>
      </c>
      <c r="D509">
        <v>9.0048999999999992</v>
      </c>
      <c r="E509">
        <v>13.749499999999999</v>
      </c>
      <c r="F509">
        <v>23.999600000000001</v>
      </c>
      <c r="G509">
        <v>37.094200000000001</v>
      </c>
      <c r="H509">
        <v>49.608199999999997</v>
      </c>
      <c r="I509">
        <v>55.820599999999999</v>
      </c>
      <c r="J509">
        <v>69.302800000000005</v>
      </c>
    </row>
    <row r="510" spans="1:10" x14ac:dyDescent="0.4">
      <c r="A510">
        <v>5</v>
      </c>
      <c r="B510">
        <v>0.35199999999999998</v>
      </c>
      <c r="C510">
        <v>1.9077999999999999</v>
      </c>
      <c r="D510">
        <v>3.1646999999999998</v>
      </c>
      <c r="E510">
        <v>5.7586000000000004</v>
      </c>
      <c r="F510">
        <v>10.745799999999999</v>
      </c>
      <c r="G510">
        <v>18.146699999999999</v>
      </c>
      <c r="H510">
        <v>25.647600000000001</v>
      </c>
      <c r="I510">
        <v>29.9131</v>
      </c>
      <c r="J510">
        <v>39.138399999999997</v>
      </c>
    </row>
    <row r="511" spans="1:10" x14ac:dyDescent="0.4">
      <c r="A511">
        <v>6</v>
      </c>
      <c r="B511">
        <v>4.6899999999999997E-2</v>
      </c>
      <c r="C511">
        <v>0.52</v>
      </c>
      <c r="D511">
        <v>1.0397000000000001</v>
      </c>
      <c r="E511">
        <v>2.3079000000000001</v>
      </c>
      <c r="F511">
        <v>4.7130000000000001</v>
      </c>
      <c r="G511">
        <v>8.59</v>
      </c>
      <c r="H511">
        <v>12.8072</v>
      </c>
      <c r="I511">
        <v>15.459</v>
      </c>
      <c r="J511">
        <v>21.486499999999999</v>
      </c>
    </row>
    <row r="512" spans="1:10" x14ac:dyDescent="0.4">
      <c r="A512">
        <v>7</v>
      </c>
      <c r="B512">
        <v>7.0000000000000001E-3</v>
      </c>
      <c r="C512">
        <v>0.14050000000000001</v>
      </c>
      <c r="D512">
        <v>0.33069999999999999</v>
      </c>
      <c r="E512">
        <v>0.89849999999999997</v>
      </c>
      <c r="F512">
        <v>2.0243000000000002</v>
      </c>
      <c r="G512">
        <v>3.9819</v>
      </c>
      <c r="H512">
        <v>6.3106</v>
      </c>
      <c r="I512">
        <v>7.8754</v>
      </c>
      <c r="J512">
        <v>11.495699999999999</v>
      </c>
    </row>
    <row r="513" spans="1:10" x14ac:dyDescent="0.4">
      <c r="A513">
        <v>8</v>
      </c>
      <c r="B513">
        <v>1.2999999999999999E-3</v>
      </c>
      <c r="C513">
        <v>3.9300000000000002E-2</v>
      </c>
      <c r="D513">
        <v>0.1084</v>
      </c>
      <c r="E513">
        <v>0.34860000000000002</v>
      </c>
      <c r="F513">
        <v>0.87270000000000003</v>
      </c>
      <c r="G513">
        <v>1.8266</v>
      </c>
      <c r="H513">
        <v>3.0341</v>
      </c>
      <c r="I513">
        <v>3.9020000000000001</v>
      </c>
      <c r="J513">
        <v>5.9885999999999999</v>
      </c>
    </row>
    <row r="514" spans="1:10" x14ac:dyDescent="0.4">
      <c r="A514">
        <v>9</v>
      </c>
      <c r="B514">
        <v>4.0000000000000002E-4</v>
      </c>
      <c r="C514">
        <v>1.44E-2</v>
      </c>
      <c r="D514">
        <v>4.3200000000000002E-2</v>
      </c>
      <c r="E514">
        <v>0.15140000000000001</v>
      </c>
      <c r="F514">
        <v>0.40910000000000002</v>
      </c>
      <c r="G514">
        <v>0.89849999999999997</v>
      </c>
      <c r="H514">
        <v>1.5522</v>
      </c>
      <c r="I514">
        <v>2.0386000000000002</v>
      </c>
      <c r="J514">
        <v>3.2338</v>
      </c>
    </row>
    <row r="515" spans="1:10" x14ac:dyDescent="0.4">
      <c r="A515">
        <v>10</v>
      </c>
      <c r="B515">
        <v>2.0000000000000001E-4</v>
      </c>
      <c r="C515">
        <v>6.7999999999999996E-3</v>
      </c>
      <c r="D515">
        <v>2.12E-2</v>
      </c>
      <c r="E515">
        <v>7.7399999999999997E-2</v>
      </c>
      <c r="F515">
        <v>0.21410000000000001</v>
      </c>
      <c r="G515">
        <v>0.4778</v>
      </c>
      <c r="H515">
        <v>0.84289999999999998</v>
      </c>
      <c r="I515">
        <v>1.1282000000000001</v>
      </c>
      <c r="J515">
        <v>1.786</v>
      </c>
    </row>
    <row r="516" spans="1:10" x14ac:dyDescent="0.4">
      <c r="A516">
        <v>11</v>
      </c>
      <c r="B516">
        <v>2.0000000000000001E-4</v>
      </c>
      <c r="C516">
        <v>7.3000000000000001E-3</v>
      </c>
      <c r="D516">
        <v>2.23E-2</v>
      </c>
      <c r="E516">
        <v>7.8200000000000006E-2</v>
      </c>
      <c r="F516">
        <v>0.20200000000000001</v>
      </c>
      <c r="G516">
        <v>0.4073</v>
      </c>
      <c r="H516">
        <v>0.68189999999999995</v>
      </c>
      <c r="I516">
        <v>0.8972</v>
      </c>
      <c r="J516">
        <v>1.3982000000000001</v>
      </c>
    </row>
    <row r="517" spans="1:10" x14ac:dyDescent="0.4">
      <c r="A517">
        <v>12</v>
      </c>
      <c r="B517">
        <v>1E-4</v>
      </c>
      <c r="C517">
        <v>2.7000000000000001E-3</v>
      </c>
      <c r="D517">
        <v>8.0999999999999996E-3</v>
      </c>
      <c r="E517">
        <v>2.75E-2</v>
      </c>
      <c r="F517">
        <v>6.8199999999999997E-2</v>
      </c>
      <c r="G517">
        <v>0.13089999999999999</v>
      </c>
      <c r="H517">
        <v>0.20799999999999999</v>
      </c>
      <c r="I517">
        <v>0.26540000000000002</v>
      </c>
      <c r="J517">
        <v>0.40139999999999998</v>
      </c>
    </row>
    <row r="518" spans="1:10" x14ac:dyDescent="0.4">
      <c r="A518">
        <v>13</v>
      </c>
      <c r="B518">
        <v>0</v>
      </c>
      <c r="C518">
        <v>1.5E-3</v>
      </c>
      <c r="D518">
        <v>4.3E-3</v>
      </c>
      <c r="E518">
        <v>1.4200000000000001E-2</v>
      </c>
      <c r="F518">
        <v>3.44E-2</v>
      </c>
      <c r="G518">
        <v>6.5100000000000005E-2</v>
      </c>
      <c r="H518">
        <v>0.1038</v>
      </c>
      <c r="I518">
        <v>0.1333</v>
      </c>
      <c r="J518">
        <v>0.20569999999999999</v>
      </c>
    </row>
    <row r="519" spans="1:10" x14ac:dyDescent="0.4">
      <c r="A519">
        <v>14</v>
      </c>
      <c r="B519">
        <v>0</v>
      </c>
      <c r="C519">
        <v>2.9999999999999997E-4</v>
      </c>
      <c r="D519">
        <v>8.0000000000000004E-4</v>
      </c>
      <c r="E519">
        <v>2.5000000000000001E-3</v>
      </c>
      <c r="F519">
        <v>6.1000000000000004E-3</v>
      </c>
      <c r="G519">
        <v>1.15E-2</v>
      </c>
      <c r="H519">
        <v>1.8800000000000001E-2</v>
      </c>
      <c r="I519">
        <v>2.4899999999999999E-2</v>
      </c>
      <c r="J519">
        <v>4.2700000000000002E-2</v>
      </c>
    </row>
    <row r="520" spans="1:10" x14ac:dyDescent="0.4">
      <c r="A520" t="s">
        <v>29</v>
      </c>
      <c r="B520">
        <v>0</v>
      </c>
      <c r="C520">
        <v>1E-4</v>
      </c>
      <c r="D520">
        <v>4.0000000000000002E-4</v>
      </c>
      <c r="E520">
        <v>1.1000000000000001E-3</v>
      </c>
      <c r="F520">
        <v>2.7000000000000001E-3</v>
      </c>
      <c r="G520">
        <v>5.1999999999999998E-3</v>
      </c>
      <c r="H520">
        <v>8.9999999999999993E-3</v>
      </c>
      <c r="I520">
        <v>1.29E-2</v>
      </c>
      <c r="J520">
        <v>3.5400000000000001E-2</v>
      </c>
    </row>
    <row r="522" spans="1:10" x14ac:dyDescent="0.4">
      <c r="A522">
        <v>2032</v>
      </c>
    </row>
    <row r="524" spans="1:10" x14ac:dyDescent="0.4">
      <c r="A524" t="s">
        <v>0</v>
      </c>
      <c r="B524" s="2">
        <v>0.01</v>
      </c>
      <c r="C524" s="2">
        <v>0.05</v>
      </c>
      <c r="D524" s="2">
        <v>0.1</v>
      </c>
      <c r="E524" s="2">
        <v>0.25</v>
      </c>
      <c r="F524" s="2">
        <v>0.5</v>
      </c>
      <c r="G524" s="2">
        <v>0.75</v>
      </c>
      <c r="H524" s="2">
        <v>0.9</v>
      </c>
      <c r="I524" s="2">
        <v>0.95</v>
      </c>
      <c r="J524" s="2">
        <v>0.99</v>
      </c>
    </row>
    <row r="525" spans="1:10" x14ac:dyDescent="0.4">
      <c r="A525">
        <v>1</v>
      </c>
      <c r="B525">
        <v>68.658799999999999</v>
      </c>
      <c r="C525">
        <v>70.774000000000001</v>
      </c>
      <c r="D525">
        <v>78.985799999999998</v>
      </c>
      <c r="E525">
        <v>104.56740000000001</v>
      </c>
      <c r="F525">
        <v>168.55600000000001</v>
      </c>
      <c r="G525">
        <v>236.8357</v>
      </c>
      <c r="H525">
        <v>278.9325</v>
      </c>
      <c r="I525">
        <v>306.1585</v>
      </c>
      <c r="J525">
        <v>333.82310000000001</v>
      </c>
    </row>
    <row r="526" spans="1:10" x14ac:dyDescent="0.4">
      <c r="A526">
        <v>2</v>
      </c>
      <c r="B526">
        <v>37.758899999999997</v>
      </c>
      <c r="C526">
        <v>42.0227</v>
      </c>
      <c r="D526">
        <v>46.018999999999998</v>
      </c>
      <c r="E526">
        <v>61.242800000000003</v>
      </c>
      <c r="F526">
        <v>98.965199999999996</v>
      </c>
      <c r="G526">
        <v>140.17339999999999</v>
      </c>
      <c r="H526">
        <v>168.03149999999999</v>
      </c>
      <c r="I526">
        <v>182.83080000000001</v>
      </c>
      <c r="J526">
        <v>208.8689</v>
      </c>
    </row>
    <row r="527" spans="1:10" x14ac:dyDescent="0.4">
      <c r="A527">
        <v>3</v>
      </c>
      <c r="B527">
        <v>13.097099999999999</v>
      </c>
      <c r="C527">
        <v>19.726900000000001</v>
      </c>
      <c r="D527">
        <v>22.810099999999998</v>
      </c>
      <c r="E527">
        <v>30.915099999999999</v>
      </c>
      <c r="F527">
        <v>51.415399999999998</v>
      </c>
      <c r="G527">
        <v>74.952600000000004</v>
      </c>
      <c r="H527">
        <v>94.271500000000003</v>
      </c>
      <c r="I527">
        <v>103.2527</v>
      </c>
      <c r="J527">
        <v>123.0317</v>
      </c>
    </row>
    <row r="528" spans="1:10" x14ac:dyDescent="0.4">
      <c r="A528">
        <v>4</v>
      </c>
      <c r="B528">
        <v>2.2498</v>
      </c>
      <c r="C528">
        <v>6.6387999999999998</v>
      </c>
      <c r="D528">
        <v>9.0040999999999993</v>
      </c>
      <c r="E528">
        <v>13.651899999999999</v>
      </c>
      <c r="F528">
        <v>23.862100000000002</v>
      </c>
      <c r="G528">
        <v>37.320099999999996</v>
      </c>
      <c r="H528">
        <v>49.897300000000001</v>
      </c>
      <c r="I528">
        <v>55.981299999999997</v>
      </c>
      <c r="J528">
        <v>69.305800000000005</v>
      </c>
    </row>
    <row r="529" spans="1:10" x14ac:dyDescent="0.4">
      <c r="A529">
        <v>5</v>
      </c>
      <c r="B529">
        <v>0.30349999999999999</v>
      </c>
      <c r="C529">
        <v>1.8784000000000001</v>
      </c>
      <c r="D529">
        <v>3.1286</v>
      </c>
      <c r="E529">
        <v>5.7466999999999997</v>
      </c>
      <c r="F529">
        <v>10.6919</v>
      </c>
      <c r="G529">
        <v>18.017600000000002</v>
      </c>
      <c r="H529">
        <v>25.428599999999999</v>
      </c>
      <c r="I529">
        <v>29.656700000000001</v>
      </c>
      <c r="J529">
        <v>38.840600000000002</v>
      </c>
    </row>
    <row r="530" spans="1:10" x14ac:dyDescent="0.4">
      <c r="A530">
        <v>6</v>
      </c>
      <c r="B530">
        <v>4.1099999999999998E-2</v>
      </c>
      <c r="C530">
        <v>0.51329999999999998</v>
      </c>
      <c r="D530">
        <v>1.0348999999999999</v>
      </c>
      <c r="E530">
        <v>2.3222</v>
      </c>
      <c r="F530">
        <v>4.7478999999999996</v>
      </c>
      <c r="G530">
        <v>8.6791999999999998</v>
      </c>
      <c r="H530">
        <v>12.9687</v>
      </c>
      <c r="I530">
        <v>15.621700000000001</v>
      </c>
      <c r="J530">
        <v>21.429300000000001</v>
      </c>
    </row>
    <row r="531" spans="1:10" x14ac:dyDescent="0.4">
      <c r="A531">
        <v>7</v>
      </c>
      <c r="B531">
        <v>5.4000000000000003E-3</v>
      </c>
      <c r="C531">
        <v>0.13980000000000001</v>
      </c>
      <c r="D531">
        <v>0.33879999999999999</v>
      </c>
      <c r="E531">
        <v>0.93059999999999998</v>
      </c>
      <c r="F531">
        <v>2.1107</v>
      </c>
      <c r="G531">
        <v>4.1105999999999998</v>
      </c>
      <c r="H531">
        <v>6.4934000000000003</v>
      </c>
      <c r="I531">
        <v>8.0649999999999995</v>
      </c>
      <c r="J531">
        <v>11.8089</v>
      </c>
    </row>
    <row r="532" spans="1:10" x14ac:dyDescent="0.4">
      <c r="A532">
        <v>8</v>
      </c>
      <c r="B532">
        <v>1E-3</v>
      </c>
      <c r="C532">
        <v>3.8300000000000001E-2</v>
      </c>
      <c r="D532">
        <v>0.1119</v>
      </c>
      <c r="E532">
        <v>0.3659</v>
      </c>
      <c r="F532">
        <v>0.92290000000000005</v>
      </c>
      <c r="G532">
        <v>1.9287000000000001</v>
      </c>
      <c r="H532">
        <v>3.2258</v>
      </c>
      <c r="I532">
        <v>4.1441999999999997</v>
      </c>
      <c r="J532">
        <v>6.3254999999999999</v>
      </c>
    </row>
    <row r="533" spans="1:10" x14ac:dyDescent="0.4">
      <c r="A533">
        <v>9</v>
      </c>
      <c r="B533">
        <v>2.0000000000000001E-4</v>
      </c>
      <c r="C533">
        <v>1.11E-2</v>
      </c>
      <c r="D533">
        <v>3.7499999999999999E-2</v>
      </c>
      <c r="E533">
        <v>0.14449999999999999</v>
      </c>
      <c r="F533">
        <v>0.40389999999999998</v>
      </c>
      <c r="G533">
        <v>0.89449999999999996</v>
      </c>
      <c r="H533">
        <v>1.5649</v>
      </c>
      <c r="I533">
        <v>2.0666000000000002</v>
      </c>
      <c r="J533">
        <v>3.3083</v>
      </c>
    </row>
    <row r="534" spans="1:10" x14ac:dyDescent="0.4">
      <c r="A534">
        <v>10</v>
      </c>
      <c r="B534">
        <v>1E-4</v>
      </c>
      <c r="C534">
        <v>4.3E-3</v>
      </c>
      <c r="D534">
        <v>1.52E-2</v>
      </c>
      <c r="E534">
        <v>6.4000000000000001E-2</v>
      </c>
      <c r="F534">
        <v>0.1915</v>
      </c>
      <c r="G534">
        <v>0.44529999999999997</v>
      </c>
      <c r="H534">
        <v>0.80989999999999995</v>
      </c>
      <c r="I534">
        <v>1.0883</v>
      </c>
      <c r="J534">
        <v>1.7963</v>
      </c>
    </row>
    <row r="535" spans="1:10" x14ac:dyDescent="0.4">
      <c r="A535">
        <v>11</v>
      </c>
      <c r="B535">
        <v>0</v>
      </c>
      <c r="C535">
        <v>2.0999999999999999E-3</v>
      </c>
      <c r="D535">
        <v>7.7999999999999996E-3</v>
      </c>
      <c r="E535">
        <v>3.3300000000000003E-2</v>
      </c>
      <c r="F535">
        <v>0.1013</v>
      </c>
      <c r="G535">
        <v>0.23960000000000001</v>
      </c>
      <c r="H535">
        <v>0.44240000000000002</v>
      </c>
      <c r="I535">
        <v>0.60319999999999996</v>
      </c>
      <c r="J535">
        <v>0.99519999999999997</v>
      </c>
    </row>
    <row r="536" spans="1:10" x14ac:dyDescent="0.4">
      <c r="A536">
        <v>12</v>
      </c>
      <c r="B536">
        <v>0</v>
      </c>
      <c r="C536">
        <v>2.3E-3</v>
      </c>
      <c r="D536">
        <v>8.2000000000000007E-3</v>
      </c>
      <c r="E536">
        <v>3.3799999999999997E-2</v>
      </c>
      <c r="F536">
        <v>9.6600000000000005E-2</v>
      </c>
      <c r="G536">
        <v>0.2079</v>
      </c>
      <c r="H536">
        <v>0.36170000000000002</v>
      </c>
      <c r="I536">
        <v>0.48499999999999999</v>
      </c>
      <c r="J536">
        <v>0.78280000000000005</v>
      </c>
    </row>
    <row r="537" spans="1:10" x14ac:dyDescent="0.4">
      <c r="A537">
        <v>13</v>
      </c>
      <c r="B537">
        <v>0</v>
      </c>
      <c r="C537">
        <v>8.9999999999999998E-4</v>
      </c>
      <c r="D537">
        <v>3.0000000000000001E-3</v>
      </c>
      <c r="E537">
        <v>1.2E-2</v>
      </c>
      <c r="F537">
        <v>3.2899999999999999E-2</v>
      </c>
      <c r="G537">
        <v>6.7400000000000002E-2</v>
      </c>
      <c r="H537">
        <v>0.11169999999999999</v>
      </c>
      <c r="I537">
        <v>0.14530000000000001</v>
      </c>
      <c r="J537">
        <v>0.22620000000000001</v>
      </c>
    </row>
    <row r="538" spans="1:10" x14ac:dyDescent="0.4">
      <c r="A538">
        <v>14</v>
      </c>
      <c r="B538">
        <v>0</v>
      </c>
      <c r="C538">
        <v>5.0000000000000001E-4</v>
      </c>
      <c r="D538">
        <v>1.6000000000000001E-3</v>
      </c>
      <c r="E538">
        <v>6.1999999999999998E-3</v>
      </c>
      <c r="F538">
        <v>1.67E-2</v>
      </c>
      <c r="G538">
        <v>3.3700000000000001E-2</v>
      </c>
      <c r="H538">
        <v>5.5800000000000002E-2</v>
      </c>
      <c r="I538">
        <v>7.2800000000000004E-2</v>
      </c>
      <c r="J538">
        <v>0.1164</v>
      </c>
    </row>
    <row r="539" spans="1:10" x14ac:dyDescent="0.4">
      <c r="A539" t="s">
        <v>29</v>
      </c>
      <c r="B539">
        <v>0</v>
      </c>
      <c r="C539">
        <v>1E-4</v>
      </c>
      <c r="D539">
        <v>4.0000000000000002E-4</v>
      </c>
      <c r="E539">
        <v>1.6000000000000001E-3</v>
      </c>
      <c r="F539">
        <v>4.3E-3</v>
      </c>
      <c r="G539">
        <v>8.8000000000000005E-3</v>
      </c>
      <c r="H539">
        <v>1.4999999999999999E-2</v>
      </c>
      <c r="I539">
        <v>2.0400000000000001E-2</v>
      </c>
      <c r="J539">
        <v>4.0899999999999999E-2</v>
      </c>
    </row>
    <row r="541" spans="1:10" x14ac:dyDescent="0.4">
      <c r="A541">
        <v>2033</v>
      </c>
    </row>
    <row r="543" spans="1:10" x14ac:dyDescent="0.4">
      <c r="A543" t="s">
        <v>0</v>
      </c>
      <c r="B543" s="2">
        <v>0.01</v>
      </c>
      <c r="C543" s="2">
        <v>0.05</v>
      </c>
      <c r="D543" s="2">
        <v>0.1</v>
      </c>
      <c r="E543" s="2">
        <v>0.25</v>
      </c>
      <c r="F543" s="2">
        <v>0.5</v>
      </c>
      <c r="G543" s="2">
        <v>0.75</v>
      </c>
      <c r="H543" s="2">
        <v>0.9</v>
      </c>
      <c r="I543" s="2">
        <v>0.95</v>
      </c>
      <c r="J543" s="2">
        <v>0.99</v>
      </c>
    </row>
    <row r="544" spans="1:10" x14ac:dyDescent="0.4">
      <c r="A544">
        <v>1</v>
      </c>
      <c r="B544">
        <v>68.659000000000006</v>
      </c>
      <c r="C544">
        <v>70.766900000000007</v>
      </c>
      <c r="D544">
        <v>79.235900000000001</v>
      </c>
      <c r="E544">
        <v>105.2966</v>
      </c>
      <c r="F544">
        <v>168.55080000000001</v>
      </c>
      <c r="G544">
        <v>236.62719999999999</v>
      </c>
      <c r="H544">
        <v>279.93970000000002</v>
      </c>
      <c r="I544">
        <v>306.70139999999998</v>
      </c>
      <c r="J544">
        <v>335.21890000000002</v>
      </c>
    </row>
    <row r="545" spans="1:10" x14ac:dyDescent="0.4">
      <c r="A545">
        <v>2</v>
      </c>
      <c r="B545">
        <v>37.940100000000001</v>
      </c>
      <c r="C545">
        <v>42.046999999999997</v>
      </c>
      <c r="D545">
        <v>45.930799999999998</v>
      </c>
      <c r="E545">
        <v>60.931399999999996</v>
      </c>
      <c r="F545">
        <v>98.776600000000002</v>
      </c>
      <c r="G545">
        <v>140.22479999999999</v>
      </c>
      <c r="H545">
        <v>167.59289999999999</v>
      </c>
      <c r="I545">
        <v>182.0728</v>
      </c>
      <c r="J545">
        <v>208.6618</v>
      </c>
    </row>
    <row r="546" spans="1:10" x14ac:dyDescent="0.4">
      <c r="A546">
        <v>3</v>
      </c>
      <c r="B546">
        <v>13.105399999999999</v>
      </c>
      <c r="C546">
        <v>19.7547</v>
      </c>
      <c r="D546">
        <v>22.847899999999999</v>
      </c>
      <c r="E546">
        <v>31.049299999999999</v>
      </c>
      <c r="F546">
        <v>51.611800000000002</v>
      </c>
      <c r="G546">
        <v>74.89</v>
      </c>
      <c r="H546">
        <v>94.161900000000003</v>
      </c>
      <c r="I546">
        <v>103.4192</v>
      </c>
      <c r="J546">
        <v>123.572</v>
      </c>
    </row>
    <row r="547" spans="1:10" x14ac:dyDescent="0.4">
      <c r="A547">
        <v>4</v>
      </c>
      <c r="B547">
        <v>2.2357</v>
      </c>
      <c r="C547">
        <v>6.5641999999999996</v>
      </c>
      <c r="D547">
        <v>8.9633000000000003</v>
      </c>
      <c r="E547">
        <v>13.698700000000001</v>
      </c>
      <c r="F547">
        <v>23.867100000000001</v>
      </c>
      <c r="G547">
        <v>37.145400000000002</v>
      </c>
      <c r="H547">
        <v>49.7136</v>
      </c>
      <c r="I547">
        <v>55.927900000000001</v>
      </c>
      <c r="J547">
        <v>69.835700000000003</v>
      </c>
    </row>
    <row r="548" spans="1:10" x14ac:dyDescent="0.4">
      <c r="A548">
        <v>5</v>
      </c>
      <c r="B548">
        <v>0.28310000000000002</v>
      </c>
      <c r="C548">
        <v>1.8474999999999999</v>
      </c>
      <c r="D548">
        <v>3.1137000000000001</v>
      </c>
      <c r="E548">
        <v>5.7149999999999999</v>
      </c>
      <c r="F548">
        <v>10.6526</v>
      </c>
      <c r="G548">
        <v>18.146799999999999</v>
      </c>
      <c r="H548">
        <v>25.675000000000001</v>
      </c>
      <c r="I548">
        <v>29.752700000000001</v>
      </c>
      <c r="J548">
        <v>38.5916</v>
      </c>
    </row>
    <row r="549" spans="1:10" x14ac:dyDescent="0.4">
      <c r="A549">
        <v>6</v>
      </c>
      <c r="B549">
        <v>3.5000000000000003E-2</v>
      </c>
      <c r="C549">
        <v>0.49609999999999999</v>
      </c>
      <c r="D549">
        <v>1.0286999999999999</v>
      </c>
      <c r="E549">
        <v>2.3226</v>
      </c>
      <c r="F549">
        <v>4.7390999999999996</v>
      </c>
      <c r="G549">
        <v>8.6227999999999998</v>
      </c>
      <c r="H549">
        <v>12.8407</v>
      </c>
      <c r="I549">
        <v>15.510199999999999</v>
      </c>
      <c r="J549">
        <v>21.340399999999999</v>
      </c>
    </row>
    <row r="550" spans="1:10" x14ac:dyDescent="0.4">
      <c r="A550">
        <v>7</v>
      </c>
      <c r="B550">
        <v>4.8999999999999998E-3</v>
      </c>
      <c r="C550">
        <v>0.1363</v>
      </c>
      <c r="D550">
        <v>0.33939999999999998</v>
      </c>
      <c r="E550">
        <v>0.93400000000000005</v>
      </c>
      <c r="F550">
        <v>2.1244999999999998</v>
      </c>
      <c r="G550">
        <v>4.1752000000000002</v>
      </c>
      <c r="H550">
        <v>6.5835999999999997</v>
      </c>
      <c r="I550">
        <v>8.1813000000000002</v>
      </c>
      <c r="J550">
        <v>11.766999999999999</v>
      </c>
    </row>
    <row r="551" spans="1:10" x14ac:dyDescent="0.4">
      <c r="A551">
        <v>8</v>
      </c>
      <c r="B551">
        <v>8.9999999999999998E-4</v>
      </c>
      <c r="C551">
        <v>3.8199999999999998E-2</v>
      </c>
      <c r="D551">
        <v>0.1135</v>
      </c>
      <c r="E551">
        <v>0.37790000000000001</v>
      </c>
      <c r="F551">
        <v>0.95760000000000001</v>
      </c>
      <c r="G551">
        <v>1.9945999999999999</v>
      </c>
      <c r="H551">
        <v>3.3115999999999999</v>
      </c>
      <c r="I551">
        <v>4.2442000000000002</v>
      </c>
      <c r="J551">
        <v>6.4375</v>
      </c>
    </row>
    <row r="552" spans="1:10" x14ac:dyDescent="0.4">
      <c r="A552">
        <v>9</v>
      </c>
      <c r="B552">
        <v>2.0000000000000001E-4</v>
      </c>
      <c r="C552">
        <v>1.11E-2</v>
      </c>
      <c r="D552">
        <v>3.85E-2</v>
      </c>
      <c r="E552">
        <v>0.15090000000000001</v>
      </c>
      <c r="F552">
        <v>0.42580000000000001</v>
      </c>
      <c r="G552">
        <v>0.94540000000000002</v>
      </c>
      <c r="H552">
        <v>1.659</v>
      </c>
      <c r="I552">
        <v>2.1951000000000001</v>
      </c>
      <c r="J552">
        <v>3.5105</v>
      </c>
    </row>
    <row r="553" spans="1:10" x14ac:dyDescent="0.4">
      <c r="A553">
        <v>10</v>
      </c>
      <c r="B553">
        <v>0</v>
      </c>
      <c r="C553">
        <v>3.3E-3</v>
      </c>
      <c r="D553">
        <v>1.32E-2</v>
      </c>
      <c r="E553">
        <v>6.0999999999999999E-2</v>
      </c>
      <c r="F553">
        <v>0.1888</v>
      </c>
      <c r="G553">
        <v>0.44590000000000002</v>
      </c>
      <c r="H553">
        <v>0.81620000000000004</v>
      </c>
      <c r="I553">
        <v>1.0998000000000001</v>
      </c>
      <c r="J553">
        <v>1.8431</v>
      </c>
    </row>
    <row r="554" spans="1:10" x14ac:dyDescent="0.4">
      <c r="A554">
        <v>11</v>
      </c>
      <c r="B554">
        <v>0</v>
      </c>
      <c r="C554">
        <v>1.2999999999999999E-3</v>
      </c>
      <c r="D554">
        <v>5.4999999999999997E-3</v>
      </c>
      <c r="E554">
        <v>2.7400000000000001E-2</v>
      </c>
      <c r="F554">
        <v>9.0800000000000006E-2</v>
      </c>
      <c r="G554">
        <v>0.2235</v>
      </c>
      <c r="H554">
        <v>0.42580000000000001</v>
      </c>
      <c r="I554">
        <v>0.58530000000000004</v>
      </c>
      <c r="J554">
        <v>1.0026999999999999</v>
      </c>
    </row>
    <row r="555" spans="1:10" x14ac:dyDescent="0.4">
      <c r="A555">
        <v>12</v>
      </c>
      <c r="B555">
        <v>0</v>
      </c>
      <c r="C555">
        <v>6.9999999999999999E-4</v>
      </c>
      <c r="D555">
        <v>2.8999999999999998E-3</v>
      </c>
      <c r="E555">
        <v>1.44E-2</v>
      </c>
      <c r="F555">
        <v>4.8300000000000003E-2</v>
      </c>
      <c r="G555">
        <v>0.12130000000000001</v>
      </c>
      <c r="H555">
        <v>0.2334</v>
      </c>
      <c r="I555">
        <v>0.32490000000000002</v>
      </c>
      <c r="J555">
        <v>0.55449999999999999</v>
      </c>
    </row>
    <row r="556" spans="1:10" x14ac:dyDescent="0.4">
      <c r="A556">
        <v>13</v>
      </c>
      <c r="B556">
        <v>0</v>
      </c>
      <c r="C556">
        <v>8.0000000000000004E-4</v>
      </c>
      <c r="D556">
        <v>3.0999999999999999E-3</v>
      </c>
      <c r="E556">
        <v>1.47E-2</v>
      </c>
      <c r="F556">
        <v>4.6600000000000003E-2</v>
      </c>
      <c r="G556">
        <v>0.10680000000000001</v>
      </c>
      <c r="H556">
        <v>0.19289999999999999</v>
      </c>
      <c r="I556">
        <v>0.26379999999999998</v>
      </c>
      <c r="J556">
        <v>0.43890000000000001</v>
      </c>
    </row>
    <row r="557" spans="1:10" x14ac:dyDescent="0.4">
      <c r="A557">
        <v>14</v>
      </c>
      <c r="B557">
        <v>0</v>
      </c>
      <c r="C557">
        <v>2.9999999999999997E-4</v>
      </c>
      <c r="D557">
        <v>1.1000000000000001E-3</v>
      </c>
      <c r="E557">
        <v>5.1999999999999998E-3</v>
      </c>
      <c r="F557">
        <v>1.6E-2</v>
      </c>
      <c r="G557">
        <v>3.4799999999999998E-2</v>
      </c>
      <c r="H557">
        <v>0.06</v>
      </c>
      <c r="I557">
        <v>7.9600000000000004E-2</v>
      </c>
      <c r="J557">
        <v>0.12670000000000001</v>
      </c>
    </row>
    <row r="558" spans="1:10" x14ac:dyDescent="0.4">
      <c r="A558" t="s">
        <v>29</v>
      </c>
      <c r="B558">
        <v>0</v>
      </c>
      <c r="C558">
        <v>2.0000000000000001E-4</v>
      </c>
      <c r="D558">
        <v>8.0000000000000004E-4</v>
      </c>
      <c r="E558">
        <v>3.5000000000000001E-3</v>
      </c>
      <c r="F558">
        <v>1.03E-2</v>
      </c>
      <c r="G558">
        <v>2.2100000000000002E-2</v>
      </c>
      <c r="H558">
        <v>3.8199999999999998E-2</v>
      </c>
      <c r="I558">
        <v>5.0999999999999997E-2</v>
      </c>
      <c r="J558">
        <v>8.6499999999999994E-2</v>
      </c>
    </row>
    <row r="560" spans="1:10" x14ac:dyDescent="0.4">
      <c r="A560">
        <v>2034</v>
      </c>
    </row>
    <row r="562" spans="1:10" x14ac:dyDescent="0.4">
      <c r="A562" t="s">
        <v>0</v>
      </c>
      <c r="B562" s="2">
        <v>0.01</v>
      </c>
      <c r="C562" s="2">
        <v>0.05</v>
      </c>
      <c r="D562" s="2">
        <v>0.1</v>
      </c>
      <c r="E562" s="2">
        <v>0.25</v>
      </c>
      <c r="F562" s="2">
        <v>0.5</v>
      </c>
      <c r="G562" s="2">
        <v>0.75</v>
      </c>
      <c r="H562" s="2">
        <v>0.9</v>
      </c>
      <c r="I562" s="2">
        <v>0.95</v>
      </c>
      <c r="J562" s="2">
        <v>0.99</v>
      </c>
    </row>
    <row r="563" spans="1:10" x14ac:dyDescent="0.4">
      <c r="A563">
        <v>1</v>
      </c>
      <c r="B563">
        <v>68.625</v>
      </c>
      <c r="C563">
        <v>70.495599999999996</v>
      </c>
      <c r="D563">
        <v>78.956999999999994</v>
      </c>
      <c r="E563">
        <v>105.0198</v>
      </c>
      <c r="F563">
        <v>168.53380000000001</v>
      </c>
      <c r="G563">
        <v>236.53620000000001</v>
      </c>
      <c r="H563">
        <v>280.37079999999997</v>
      </c>
      <c r="I563">
        <v>307.18599999999998</v>
      </c>
      <c r="J563">
        <v>340.94589999999999</v>
      </c>
    </row>
    <row r="564" spans="1:10" x14ac:dyDescent="0.4">
      <c r="A564">
        <v>2</v>
      </c>
      <c r="B564">
        <v>37.727800000000002</v>
      </c>
      <c r="C564">
        <v>42.002200000000002</v>
      </c>
      <c r="D564">
        <v>46.143900000000002</v>
      </c>
      <c r="E564">
        <v>61.355400000000003</v>
      </c>
      <c r="F564">
        <v>98.915599999999998</v>
      </c>
      <c r="G564">
        <v>140.11429999999999</v>
      </c>
      <c r="H564">
        <v>167.92789999999999</v>
      </c>
      <c r="I564">
        <v>182.6046</v>
      </c>
      <c r="J564">
        <v>209.25550000000001</v>
      </c>
    </row>
    <row r="565" spans="1:10" x14ac:dyDescent="0.4">
      <c r="A565">
        <v>3</v>
      </c>
      <c r="B565">
        <v>12.943</v>
      </c>
      <c r="C565">
        <v>19.774699999999999</v>
      </c>
      <c r="D565">
        <v>22.819099999999999</v>
      </c>
      <c r="E565">
        <v>30.930099999999999</v>
      </c>
      <c r="F565">
        <v>51.522100000000002</v>
      </c>
      <c r="G565">
        <v>74.885999999999996</v>
      </c>
      <c r="H565">
        <v>93.937799999999996</v>
      </c>
      <c r="I565">
        <v>103.2586</v>
      </c>
      <c r="J565">
        <v>123.00109999999999</v>
      </c>
    </row>
    <row r="566" spans="1:10" x14ac:dyDescent="0.4">
      <c r="A566">
        <v>4</v>
      </c>
      <c r="B566">
        <v>2.2328999999999999</v>
      </c>
      <c r="C566">
        <v>6.548</v>
      </c>
      <c r="D566">
        <v>8.9745000000000008</v>
      </c>
      <c r="E566">
        <v>13.7149</v>
      </c>
      <c r="F566">
        <v>23.9846</v>
      </c>
      <c r="G566">
        <v>37.138599999999997</v>
      </c>
      <c r="H566">
        <v>49.636400000000002</v>
      </c>
      <c r="I566">
        <v>55.982599999999998</v>
      </c>
      <c r="J566">
        <v>70.039000000000001</v>
      </c>
    </row>
    <row r="567" spans="1:10" x14ac:dyDescent="0.4">
      <c r="A567">
        <v>5</v>
      </c>
      <c r="B567">
        <v>0.2802</v>
      </c>
      <c r="C567">
        <v>1.8297000000000001</v>
      </c>
      <c r="D567">
        <v>3.0794999999999999</v>
      </c>
      <c r="E567">
        <v>5.7225000000000001</v>
      </c>
      <c r="F567">
        <v>10.6648</v>
      </c>
      <c r="G567">
        <v>18.044</v>
      </c>
      <c r="H567">
        <v>25.555299999999999</v>
      </c>
      <c r="I567">
        <v>29.7239</v>
      </c>
      <c r="J567">
        <v>38.977600000000002</v>
      </c>
    </row>
    <row r="568" spans="1:10" x14ac:dyDescent="0.4">
      <c r="A568">
        <v>6</v>
      </c>
      <c r="B568">
        <v>3.3599999999999998E-2</v>
      </c>
      <c r="C568">
        <v>0.48949999999999999</v>
      </c>
      <c r="D568">
        <v>1.0145</v>
      </c>
      <c r="E568">
        <v>2.3073999999999999</v>
      </c>
      <c r="F568">
        <v>4.7398999999999996</v>
      </c>
      <c r="G568">
        <v>8.6946999999999992</v>
      </c>
      <c r="H568">
        <v>12.9841</v>
      </c>
      <c r="I568">
        <v>15.562900000000001</v>
      </c>
      <c r="J568">
        <v>21.277200000000001</v>
      </c>
    </row>
    <row r="569" spans="1:10" x14ac:dyDescent="0.4">
      <c r="A569">
        <v>7</v>
      </c>
      <c r="B569">
        <v>4.3E-3</v>
      </c>
      <c r="C569">
        <v>0.13109999999999999</v>
      </c>
      <c r="D569">
        <v>0.3347</v>
      </c>
      <c r="E569">
        <v>0.93600000000000005</v>
      </c>
      <c r="F569">
        <v>2.125</v>
      </c>
      <c r="G569">
        <v>4.1478000000000002</v>
      </c>
      <c r="H569">
        <v>6.5049000000000001</v>
      </c>
      <c r="I569">
        <v>8.1173999999999999</v>
      </c>
      <c r="J569">
        <v>11.7355</v>
      </c>
    </row>
    <row r="570" spans="1:10" x14ac:dyDescent="0.4">
      <c r="A570">
        <v>8</v>
      </c>
      <c r="B570">
        <v>8.9999999999999998E-4</v>
      </c>
      <c r="C570">
        <v>3.6999999999999998E-2</v>
      </c>
      <c r="D570">
        <v>0.11310000000000001</v>
      </c>
      <c r="E570">
        <v>0.38059999999999999</v>
      </c>
      <c r="F570">
        <v>0.96630000000000005</v>
      </c>
      <c r="G570">
        <v>2.028</v>
      </c>
      <c r="H570">
        <v>3.3725000000000001</v>
      </c>
      <c r="I570">
        <v>4.2995000000000001</v>
      </c>
      <c r="J570">
        <v>6.4960000000000004</v>
      </c>
    </row>
    <row r="571" spans="1:10" x14ac:dyDescent="0.4">
      <c r="A571">
        <v>9</v>
      </c>
      <c r="B571">
        <v>1E-4</v>
      </c>
      <c r="C571">
        <v>1.0999999999999999E-2</v>
      </c>
      <c r="D571">
        <v>3.9100000000000003E-2</v>
      </c>
      <c r="E571">
        <v>0.15609999999999999</v>
      </c>
      <c r="F571">
        <v>0.44240000000000002</v>
      </c>
      <c r="G571">
        <v>0.98180000000000001</v>
      </c>
      <c r="H571">
        <v>1.7118</v>
      </c>
      <c r="I571">
        <v>2.2471999999999999</v>
      </c>
      <c r="J571">
        <v>3.5802</v>
      </c>
    </row>
    <row r="572" spans="1:10" x14ac:dyDescent="0.4">
      <c r="A572">
        <v>10</v>
      </c>
      <c r="B572">
        <v>0</v>
      </c>
      <c r="C572">
        <v>3.3E-3</v>
      </c>
      <c r="D572">
        <v>1.3599999999999999E-2</v>
      </c>
      <c r="E572">
        <v>6.3399999999999998E-2</v>
      </c>
      <c r="F572">
        <v>0.1993</v>
      </c>
      <c r="G572">
        <v>0.47110000000000002</v>
      </c>
      <c r="H572">
        <v>0.86429999999999996</v>
      </c>
      <c r="I572">
        <v>1.1738999999999999</v>
      </c>
      <c r="J572">
        <v>1.9312</v>
      </c>
    </row>
    <row r="573" spans="1:10" x14ac:dyDescent="0.4">
      <c r="A573">
        <v>11</v>
      </c>
      <c r="B573">
        <v>0</v>
      </c>
      <c r="C573">
        <v>1.1000000000000001E-3</v>
      </c>
      <c r="D573">
        <v>4.7999999999999996E-3</v>
      </c>
      <c r="E573">
        <v>2.5999999999999999E-2</v>
      </c>
      <c r="F573">
        <v>8.9300000000000004E-2</v>
      </c>
      <c r="G573">
        <v>0.2238</v>
      </c>
      <c r="H573">
        <v>0.42849999999999999</v>
      </c>
      <c r="I573">
        <v>0.59219999999999995</v>
      </c>
      <c r="J573">
        <v>1.0287999999999999</v>
      </c>
    </row>
    <row r="574" spans="1:10" x14ac:dyDescent="0.4">
      <c r="A574">
        <v>12</v>
      </c>
      <c r="B574">
        <v>0</v>
      </c>
      <c r="C574">
        <v>5.0000000000000001E-4</v>
      </c>
      <c r="D574">
        <v>2.0999999999999999E-3</v>
      </c>
      <c r="E574">
        <v>1.1900000000000001E-2</v>
      </c>
      <c r="F574">
        <v>4.3299999999999998E-2</v>
      </c>
      <c r="G574">
        <v>0.1128</v>
      </c>
      <c r="H574">
        <v>0.22439999999999999</v>
      </c>
      <c r="I574">
        <v>0.3155</v>
      </c>
      <c r="J574">
        <v>0.55889999999999995</v>
      </c>
    </row>
    <row r="575" spans="1:10" x14ac:dyDescent="0.4">
      <c r="A575">
        <v>13</v>
      </c>
      <c r="B575">
        <v>0</v>
      </c>
      <c r="C575">
        <v>2.0000000000000001E-4</v>
      </c>
      <c r="D575">
        <v>1.1000000000000001E-3</v>
      </c>
      <c r="E575">
        <v>6.3E-3</v>
      </c>
      <c r="F575">
        <v>2.3300000000000001E-2</v>
      </c>
      <c r="G575">
        <v>6.1699999999999998E-2</v>
      </c>
      <c r="H575">
        <v>0.12330000000000001</v>
      </c>
      <c r="I575">
        <v>0.17580000000000001</v>
      </c>
      <c r="J575">
        <v>0.31</v>
      </c>
    </row>
    <row r="576" spans="1:10" x14ac:dyDescent="0.4">
      <c r="A576">
        <v>14</v>
      </c>
      <c r="B576">
        <v>0</v>
      </c>
      <c r="C576">
        <v>2.9999999999999997E-4</v>
      </c>
      <c r="D576">
        <v>1.1000000000000001E-3</v>
      </c>
      <c r="E576">
        <v>6.4000000000000003E-3</v>
      </c>
      <c r="F576">
        <v>2.2599999999999999E-2</v>
      </c>
      <c r="G576">
        <v>5.4699999999999999E-2</v>
      </c>
      <c r="H576">
        <v>0.1032</v>
      </c>
      <c r="I576">
        <v>0.14399999999999999</v>
      </c>
      <c r="J576">
        <v>0.24709999999999999</v>
      </c>
    </row>
    <row r="577" spans="1:10" x14ac:dyDescent="0.4">
      <c r="A577" t="s">
        <v>29</v>
      </c>
      <c r="B577">
        <v>0</v>
      </c>
      <c r="C577">
        <v>2.0000000000000001E-4</v>
      </c>
      <c r="D577">
        <v>8.0000000000000004E-4</v>
      </c>
      <c r="E577">
        <v>3.8999999999999998E-3</v>
      </c>
      <c r="F577">
        <v>1.29E-2</v>
      </c>
      <c r="G577">
        <v>2.9700000000000001E-2</v>
      </c>
      <c r="H577">
        <v>5.3100000000000001E-2</v>
      </c>
      <c r="I577">
        <v>7.1499999999999994E-2</v>
      </c>
      <c r="J577">
        <v>0.1171</v>
      </c>
    </row>
    <row r="579" spans="1:10" x14ac:dyDescent="0.4">
      <c r="A579" t="s">
        <v>21</v>
      </c>
      <c r="B579" t="s">
        <v>10</v>
      </c>
      <c r="C579" t="s">
        <v>3</v>
      </c>
      <c r="D579" t="s">
        <v>6</v>
      </c>
      <c r="E579" t="s">
        <v>23</v>
      </c>
      <c r="F579" t="s">
        <v>20</v>
      </c>
      <c r="G579">
        <v>3.66</v>
      </c>
      <c r="H579" t="s">
        <v>28</v>
      </c>
      <c r="I579" t="s">
        <v>27</v>
      </c>
    </row>
    <row r="581" spans="1:10" x14ac:dyDescent="0.4">
      <c r="A581" t="s">
        <v>22</v>
      </c>
      <c r="B581" t="s">
        <v>21</v>
      </c>
    </row>
    <row r="583" spans="1:10" x14ac:dyDescent="0.4">
      <c r="A583">
        <v>2021</v>
      </c>
      <c r="B583">
        <v>5.851E-2</v>
      </c>
    </row>
    <row r="584" spans="1:10" x14ac:dyDescent="0.4">
      <c r="A584">
        <v>2022</v>
      </c>
      <c r="B584">
        <v>0.66893000000000002</v>
      </c>
    </row>
    <row r="585" spans="1:10" x14ac:dyDescent="0.4">
      <c r="A585">
        <v>2023</v>
      </c>
      <c r="B585">
        <v>0.94199999999999995</v>
      </c>
    </row>
    <row r="586" spans="1:10" x14ac:dyDescent="0.4">
      <c r="A586">
        <v>2024</v>
      </c>
      <c r="B586">
        <v>0.91698000000000002</v>
      </c>
    </row>
    <row r="587" spans="1:10" x14ac:dyDescent="0.4">
      <c r="A587">
        <v>2025</v>
      </c>
      <c r="B587">
        <v>0.79227000000000003</v>
      </c>
    </row>
    <row r="588" spans="1:10" x14ac:dyDescent="0.4">
      <c r="A588">
        <v>2026</v>
      </c>
      <c r="B588">
        <v>0.66759999999999997</v>
      </c>
    </row>
    <row r="589" spans="1:10" x14ac:dyDescent="0.4">
      <c r="A589">
        <v>2027</v>
      </c>
      <c r="B589">
        <v>0.61895999999999995</v>
      </c>
    </row>
    <row r="590" spans="1:10" x14ac:dyDescent="0.4">
      <c r="A590">
        <v>2028</v>
      </c>
      <c r="B590">
        <v>0.60682999999999998</v>
      </c>
    </row>
    <row r="591" spans="1:10" x14ac:dyDescent="0.4">
      <c r="A591">
        <v>2029</v>
      </c>
      <c r="B591">
        <v>0.61040000000000005</v>
      </c>
    </row>
    <row r="592" spans="1:10" x14ac:dyDescent="0.4">
      <c r="A592">
        <v>2030</v>
      </c>
      <c r="B592">
        <v>0.61304999999999998</v>
      </c>
    </row>
    <row r="593" spans="1:8" x14ac:dyDescent="0.4">
      <c r="A593">
        <v>2031</v>
      </c>
      <c r="B593">
        <v>0.61309999999999998</v>
      </c>
    </row>
    <row r="594" spans="1:8" x14ac:dyDescent="0.4">
      <c r="A594">
        <v>2032</v>
      </c>
      <c r="B594">
        <v>0.61336999999999997</v>
      </c>
    </row>
    <row r="595" spans="1:8" x14ac:dyDescent="0.4">
      <c r="A595">
        <v>2033</v>
      </c>
      <c r="B595">
        <v>0.61560999999999999</v>
      </c>
    </row>
    <row r="596" spans="1:8" x14ac:dyDescent="0.4">
      <c r="A596">
        <v>2034</v>
      </c>
      <c r="B596">
        <v>0.61490999999999996</v>
      </c>
    </row>
    <row r="598" spans="1:8" x14ac:dyDescent="0.4">
      <c r="A598" t="s">
        <v>21</v>
      </c>
      <c r="B598" t="s">
        <v>20</v>
      </c>
      <c r="C598" t="s">
        <v>19</v>
      </c>
      <c r="D598" t="s">
        <v>1</v>
      </c>
      <c r="E598" t="s">
        <v>18</v>
      </c>
      <c r="F598" t="s">
        <v>17</v>
      </c>
      <c r="G598" t="s">
        <v>13</v>
      </c>
      <c r="H598">
        <v>0.98660000000000003</v>
      </c>
    </row>
    <row r="600" spans="1:8" x14ac:dyDescent="0.4">
      <c r="A600" t="s">
        <v>21</v>
      </c>
      <c r="B600" t="s">
        <v>26</v>
      </c>
      <c r="C600" t="s">
        <v>25</v>
      </c>
      <c r="D600" t="s">
        <v>24</v>
      </c>
      <c r="E600" t="s">
        <v>23</v>
      </c>
      <c r="F600" t="s">
        <v>20</v>
      </c>
      <c r="G600">
        <v>0.84130000000000005</v>
      </c>
    </row>
    <row r="602" spans="1:8" x14ac:dyDescent="0.4">
      <c r="A602" t="s">
        <v>22</v>
      </c>
      <c r="B602" t="s">
        <v>21</v>
      </c>
    </row>
    <row r="604" spans="1:8" x14ac:dyDescent="0.4">
      <c r="A604">
        <v>2021</v>
      </c>
      <c r="B604">
        <v>7.4700000000000001E-3</v>
      </c>
    </row>
    <row r="605" spans="1:8" x14ac:dyDescent="0.4">
      <c r="A605">
        <v>2022</v>
      </c>
      <c r="B605">
        <v>0</v>
      </c>
    </row>
    <row r="606" spans="1:8" x14ac:dyDescent="0.4">
      <c r="A606">
        <v>2023</v>
      </c>
      <c r="B606">
        <v>6.9999999999999994E-5</v>
      </c>
    </row>
    <row r="607" spans="1:8" x14ac:dyDescent="0.4">
      <c r="A607">
        <v>2024</v>
      </c>
      <c r="B607">
        <v>7.0400000000000003E-3</v>
      </c>
    </row>
    <row r="608" spans="1:8" x14ac:dyDescent="0.4">
      <c r="A608">
        <v>2025</v>
      </c>
      <c r="B608">
        <v>0.21357000000000001</v>
      </c>
    </row>
    <row r="609" spans="1:8" x14ac:dyDescent="0.4">
      <c r="A609">
        <v>2026</v>
      </c>
      <c r="B609">
        <v>0.14202000000000001</v>
      </c>
    </row>
    <row r="610" spans="1:8" x14ac:dyDescent="0.4">
      <c r="A610">
        <v>2027</v>
      </c>
      <c r="B610">
        <v>0.18246000000000001</v>
      </c>
    </row>
    <row r="611" spans="1:8" x14ac:dyDescent="0.4">
      <c r="A611">
        <v>2028</v>
      </c>
      <c r="B611">
        <v>0.15026</v>
      </c>
    </row>
    <row r="612" spans="1:8" x14ac:dyDescent="0.4">
      <c r="A612">
        <v>2029</v>
      </c>
      <c r="B612">
        <v>0.15053</v>
      </c>
    </row>
    <row r="613" spans="1:8" x14ac:dyDescent="0.4">
      <c r="A613">
        <v>2030</v>
      </c>
      <c r="B613">
        <v>0.15084</v>
      </c>
    </row>
    <row r="614" spans="1:8" x14ac:dyDescent="0.4">
      <c r="A614">
        <v>2031</v>
      </c>
      <c r="B614">
        <v>0.15065000000000001</v>
      </c>
    </row>
    <row r="615" spans="1:8" x14ac:dyDescent="0.4">
      <c r="A615">
        <v>2032</v>
      </c>
      <c r="B615">
        <v>0.15198</v>
      </c>
    </row>
    <row r="616" spans="1:8" x14ac:dyDescent="0.4">
      <c r="A616">
        <v>2033</v>
      </c>
      <c r="B616">
        <v>0.15206</v>
      </c>
    </row>
    <row r="617" spans="1:8" x14ac:dyDescent="0.4">
      <c r="A617">
        <v>2034</v>
      </c>
      <c r="B617">
        <v>0.15117</v>
      </c>
    </row>
    <row r="619" spans="1:8" x14ac:dyDescent="0.4">
      <c r="A619" t="s">
        <v>21</v>
      </c>
      <c r="B619" t="s">
        <v>20</v>
      </c>
      <c r="C619" t="s">
        <v>19</v>
      </c>
      <c r="D619" t="s">
        <v>1</v>
      </c>
      <c r="E619" t="s">
        <v>18</v>
      </c>
      <c r="F619" t="s">
        <v>17</v>
      </c>
      <c r="G619" t="s">
        <v>13</v>
      </c>
      <c r="H619">
        <v>0.42059999999999997</v>
      </c>
    </row>
    <row r="622" spans="1:8" x14ac:dyDescent="0.4">
      <c r="A622" t="s">
        <v>16</v>
      </c>
      <c r="B622" t="s">
        <v>14</v>
      </c>
      <c r="C622" t="s">
        <v>15</v>
      </c>
    </row>
    <row r="624" spans="1:8" x14ac:dyDescent="0.4">
      <c r="A624" t="s">
        <v>14</v>
      </c>
      <c r="B624" t="s">
        <v>13</v>
      </c>
      <c r="C624">
        <v>40</v>
      </c>
      <c r="D624" t="s">
        <v>12</v>
      </c>
    </row>
    <row r="626" spans="1:20" x14ac:dyDescent="0.4">
      <c r="B626">
        <v>2021</v>
      </c>
      <c r="C626">
        <v>2022</v>
      </c>
      <c r="D626">
        <v>2023</v>
      </c>
      <c r="E626">
        <v>2024</v>
      </c>
      <c r="F626">
        <v>2025</v>
      </c>
      <c r="G626">
        <v>2026</v>
      </c>
      <c r="H626">
        <v>2027</v>
      </c>
      <c r="I626">
        <v>2028</v>
      </c>
      <c r="J626">
        <v>2029</v>
      </c>
      <c r="K626">
        <v>2030</v>
      </c>
      <c r="L626">
        <v>2031</v>
      </c>
      <c r="M626">
        <v>2032</v>
      </c>
      <c r="N626">
        <v>2033</v>
      </c>
      <c r="O626">
        <v>2034</v>
      </c>
    </row>
    <row r="628" spans="1:20" x14ac:dyDescent="0.4">
      <c r="A628" t="s">
        <v>11</v>
      </c>
      <c r="B628">
        <v>145.9751</v>
      </c>
      <c r="C628">
        <v>146.1738</v>
      </c>
      <c r="D628">
        <v>145.56829999999999</v>
      </c>
      <c r="E628">
        <v>146.49430000000001</v>
      </c>
      <c r="F628">
        <v>144.726</v>
      </c>
      <c r="G628">
        <v>145.5754</v>
      </c>
      <c r="H628">
        <v>146.3253</v>
      </c>
      <c r="I628">
        <v>145.10220000000001</v>
      </c>
      <c r="J628">
        <v>144.1926</v>
      </c>
      <c r="K628">
        <v>145.85579999999999</v>
      </c>
      <c r="L628">
        <v>145.10849999999999</v>
      </c>
      <c r="M628">
        <v>146.4873</v>
      </c>
      <c r="N628">
        <v>144.95650000000001</v>
      </c>
      <c r="O628">
        <v>144.87739999999999</v>
      </c>
    </row>
    <row r="629" spans="1:20" x14ac:dyDescent="0.4">
      <c r="A629" t="s">
        <v>10</v>
      </c>
      <c r="B629" t="s">
        <v>3</v>
      </c>
      <c r="C629" t="s">
        <v>6</v>
      </c>
      <c r="D629">
        <v>2.5122</v>
      </c>
      <c r="E629">
        <v>3.7913999999999999</v>
      </c>
      <c r="F629">
        <v>5.1776999999999997</v>
      </c>
      <c r="G629">
        <v>5.3005000000000004</v>
      </c>
      <c r="H629">
        <v>4.6173999999999999</v>
      </c>
      <c r="I629">
        <v>3.9836999999999998</v>
      </c>
      <c r="J629">
        <v>3.7490999999999999</v>
      </c>
      <c r="K629">
        <v>3.6953</v>
      </c>
      <c r="L629">
        <v>3.7111999999999998</v>
      </c>
      <c r="M629">
        <v>3.7254</v>
      </c>
      <c r="N629">
        <v>3.7286999999999999</v>
      </c>
      <c r="O629">
        <v>3.7281</v>
      </c>
      <c r="P629">
        <v>3.7399</v>
      </c>
      <c r="Q629">
        <v>3.7351999999999999</v>
      </c>
      <c r="S629">
        <f t="array" ref="S629:S642">TRANSPOSE(D629:Q629)</f>
        <v>2.5122</v>
      </c>
      <c r="T629">
        <f>S629*1000</f>
        <v>2512.1999999999998</v>
      </c>
    </row>
    <row r="630" spans="1:20" x14ac:dyDescent="0.4">
      <c r="A630" s="1">
        <v>45658</v>
      </c>
      <c r="B630" t="s">
        <v>3</v>
      </c>
      <c r="C630" t="s">
        <v>6</v>
      </c>
      <c r="D630">
        <v>8.8086000000000002</v>
      </c>
      <c r="E630">
        <v>9.9515999999999991</v>
      </c>
      <c r="F630">
        <v>10.7971</v>
      </c>
      <c r="G630">
        <v>11.1683</v>
      </c>
      <c r="H630">
        <v>10.8993</v>
      </c>
      <c r="I630">
        <v>9.7477999999999998</v>
      </c>
      <c r="J630">
        <v>9.4926999999999992</v>
      </c>
      <c r="K630">
        <v>9.3097999999999992</v>
      </c>
      <c r="L630">
        <v>9.3206000000000007</v>
      </c>
      <c r="M630">
        <v>9.3203999999999994</v>
      </c>
      <c r="N630">
        <v>9.3377999999999997</v>
      </c>
      <c r="O630">
        <v>9.3478999999999992</v>
      </c>
      <c r="P630">
        <v>9.3417999999999992</v>
      </c>
      <c r="Q630">
        <v>9.3531999999999993</v>
      </c>
      <c r="S630">
        <v>3.7913999999999999</v>
      </c>
      <c r="T630">
        <f t="shared" ref="T630:T642" si="6">S630*1000</f>
        <v>3791.4</v>
      </c>
    </row>
    <row r="631" spans="1:20" x14ac:dyDescent="0.4">
      <c r="A631" t="s">
        <v>9</v>
      </c>
      <c r="B631" t="s">
        <v>6</v>
      </c>
      <c r="C631">
        <v>8.5297999999999998</v>
      </c>
      <c r="D631">
        <v>9.4640000000000004</v>
      </c>
      <c r="E631">
        <v>10.047800000000001</v>
      </c>
      <c r="F631">
        <v>10.071099999999999</v>
      </c>
      <c r="G631">
        <v>9.2726000000000006</v>
      </c>
      <c r="H631">
        <v>8.6150000000000002</v>
      </c>
      <c r="I631">
        <v>8.3935999999999993</v>
      </c>
      <c r="J631">
        <v>8.3178000000000001</v>
      </c>
      <c r="K631">
        <v>8.3333999999999993</v>
      </c>
      <c r="L631">
        <v>8.3451000000000004</v>
      </c>
      <c r="M631">
        <v>8.3519000000000005</v>
      </c>
      <c r="N631">
        <v>8.3566000000000003</v>
      </c>
      <c r="O631">
        <v>8.3592999999999993</v>
      </c>
      <c r="P631">
        <v>8.3615999999999993</v>
      </c>
      <c r="S631">
        <v>5.1776999999999997</v>
      </c>
      <c r="T631">
        <f t="shared" si="6"/>
        <v>5177.7</v>
      </c>
    </row>
    <row r="632" spans="1:20" x14ac:dyDescent="0.4">
      <c r="A632" t="s">
        <v>8</v>
      </c>
      <c r="B632" t="s">
        <v>7</v>
      </c>
      <c r="C632" t="s">
        <v>6</v>
      </c>
      <c r="D632">
        <v>1.5398000000000001</v>
      </c>
      <c r="E632">
        <v>1.4739</v>
      </c>
      <c r="F632">
        <v>1.6854</v>
      </c>
      <c r="G632">
        <v>2.1566999999999998</v>
      </c>
      <c r="H632">
        <v>3.2250000000000001</v>
      </c>
      <c r="I632">
        <v>2.4</v>
      </c>
      <c r="J632">
        <v>2.4</v>
      </c>
      <c r="K632">
        <v>2.2000000000000002</v>
      </c>
      <c r="L632">
        <v>2.2000000000000002</v>
      </c>
      <c r="M632">
        <v>2.2000000000000002</v>
      </c>
      <c r="N632">
        <v>2.2000000000000002</v>
      </c>
      <c r="O632">
        <v>2.2000000000000002</v>
      </c>
      <c r="P632">
        <v>2.2000000000000002</v>
      </c>
      <c r="Q632">
        <v>2.2000000000000002</v>
      </c>
      <c r="S632">
        <v>5.3005000000000004</v>
      </c>
      <c r="T632">
        <f t="shared" si="6"/>
        <v>5300.5</v>
      </c>
    </row>
    <row r="633" spans="1:20" x14ac:dyDescent="0.4">
      <c r="A633" t="s">
        <v>5</v>
      </c>
      <c r="B633">
        <v>1.5398000000000001</v>
      </c>
      <c r="C633">
        <v>1.4739</v>
      </c>
      <c r="D633">
        <v>1.6854</v>
      </c>
      <c r="E633">
        <v>2.1566999999999998</v>
      </c>
      <c r="F633">
        <v>3.2250000000000001</v>
      </c>
      <c r="G633">
        <v>2.4</v>
      </c>
      <c r="H633">
        <v>2.4</v>
      </c>
      <c r="I633">
        <v>2.2000000000000002</v>
      </c>
      <c r="J633">
        <v>2.2000000000000002</v>
      </c>
      <c r="K633">
        <v>2.2000000000000002</v>
      </c>
      <c r="L633">
        <v>2.2000000000000002</v>
      </c>
      <c r="M633">
        <v>2.2000000000000002</v>
      </c>
      <c r="N633">
        <v>2.2000000000000002</v>
      </c>
      <c r="O633">
        <v>2.2000000000000002</v>
      </c>
      <c r="S633">
        <v>4.6173999999999999</v>
      </c>
      <c r="T633">
        <f t="shared" si="6"/>
        <v>4617.3999999999996</v>
      </c>
    </row>
    <row r="634" spans="1:20" x14ac:dyDescent="0.4">
      <c r="A634" t="s">
        <v>4</v>
      </c>
      <c r="B634">
        <v>0.50370000000000004</v>
      </c>
      <c r="C634">
        <v>0.34889999999999999</v>
      </c>
      <c r="D634">
        <v>0.34939999999999999</v>
      </c>
      <c r="E634">
        <v>0.37730000000000002</v>
      </c>
      <c r="F634">
        <v>0.58930000000000005</v>
      </c>
      <c r="G634">
        <v>0.4844</v>
      </c>
      <c r="H634">
        <v>0.50339999999999996</v>
      </c>
      <c r="I634">
        <v>0.46300000000000002</v>
      </c>
      <c r="J634">
        <v>0.46089999999999998</v>
      </c>
      <c r="K634">
        <v>0.45910000000000001</v>
      </c>
      <c r="L634">
        <v>0.4577</v>
      </c>
      <c r="M634">
        <v>0.45650000000000002</v>
      </c>
      <c r="N634">
        <v>0.45650000000000002</v>
      </c>
      <c r="O634">
        <v>0.45529999999999998</v>
      </c>
      <c r="S634">
        <v>3.9836999999999998</v>
      </c>
      <c r="T634">
        <f t="shared" si="6"/>
        <v>3983.7</v>
      </c>
    </row>
    <row r="635" spans="1:20" x14ac:dyDescent="0.4">
      <c r="S635">
        <v>3.7490999999999999</v>
      </c>
      <c r="T635">
        <f t="shared" si="6"/>
        <v>3749.1</v>
      </c>
    </row>
    <row r="636" spans="1:20" x14ac:dyDescent="0.4">
      <c r="A636" t="s">
        <v>3</v>
      </c>
      <c r="B636" t="s">
        <v>2</v>
      </c>
      <c r="C636" t="s">
        <v>1</v>
      </c>
      <c r="D636" t="s">
        <v>0</v>
      </c>
      <c r="S636">
        <v>3.6953</v>
      </c>
      <c r="T636">
        <f t="shared" si="6"/>
        <v>3695.3</v>
      </c>
    </row>
    <row r="637" spans="1:20" x14ac:dyDescent="0.4">
      <c r="A637" t="s">
        <v>0</v>
      </c>
      <c r="B637">
        <v>1</v>
      </c>
      <c r="C637">
        <v>244.97399999999999</v>
      </c>
      <c r="D637">
        <v>145.9751</v>
      </c>
      <c r="E637">
        <v>146.1738</v>
      </c>
      <c r="F637">
        <v>145.56829999999999</v>
      </c>
      <c r="G637">
        <v>146.49430000000001</v>
      </c>
      <c r="H637">
        <v>144.726</v>
      </c>
      <c r="I637">
        <v>145.5754</v>
      </c>
      <c r="J637">
        <v>146.3253</v>
      </c>
      <c r="K637">
        <v>145.10220000000001</v>
      </c>
      <c r="L637">
        <v>144.1926</v>
      </c>
      <c r="M637">
        <v>145.85579999999999</v>
      </c>
      <c r="N637">
        <v>145.10849999999999</v>
      </c>
      <c r="O637">
        <v>146.4873</v>
      </c>
      <c r="P637">
        <v>144.95650000000001</v>
      </c>
      <c r="S637">
        <v>3.7111999999999998</v>
      </c>
      <c r="T637">
        <f t="shared" si="6"/>
        <v>3711.2</v>
      </c>
    </row>
    <row r="638" spans="1:20" x14ac:dyDescent="0.4">
      <c r="A638" t="s">
        <v>0</v>
      </c>
      <c r="B638">
        <v>2</v>
      </c>
      <c r="C638">
        <v>93.8626</v>
      </c>
      <c r="D638">
        <v>145.4854</v>
      </c>
      <c r="E638">
        <v>87.910300000000007</v>
      </c>
      <c r="F638">
        <v>88.486000000000004</v>
      </c>
      <c r="G638">
        <v>86.128799999999998</v>
      </c>
      <c r="H638">
        <v>85.562899999999999</v>
      </c>
      <c r="I638">
        <v>85.673599999999993</v>
      </c>
      <c r="J638">
        <v>85.612499999999997</v>
      </c>
      <c r="K638">
        <v>85.448099999999997</v>
      </c>
      <c r="L638">
        <v>84.592100000000002</v>
      </c>
      <c r="M638">
        <v>84.310299999999998</v>
      </c>
      <c r="N638">
        <v>84.860799999999998</v>
      </c>
      <c r="O638">
        <v>84.645899999999997</v>
      </c>
      <c r="P638">
        <v>85.2423</v>
      </c>
      <c r="S638">
        <v>3.7254</v>
      </c>
      <c r="T638">
        <f t="shared" si="6"/>
        <v>3725.4</v>
      </c>
    </row>
    <row r="639" spans="1:20" x14ac:dyDescent="0.4">
      <c r="A639" t="s">
        <v>0</v>
      </c>
      <c r="B639">
        <v>3</v>
      </c>
      <c r="C639">
        <v>51.2273</v>
      </c>
      <c r="D639">
        <v>51.039499999999997</v>
      </c>
      <c r="E639">
        <v>83.462800000000001</v>
      </c>
      <c r="F639">
        <v>50.683599999999998</v>
      </c>
      <c r="G639">
        <v>48.321599999999997</v>
      </c>
      <c r="H639">
        <v>42.015599999999999</v>
      </c>
      <c r="I639">
        <v>43.132199999999997</v>
      </c>
      <c r="J639">
        <v>42.658000000000001</v>
      </c>
      <c r="K639">
        <v>42.997399999999999</v>
      </c>
      <c r="L639">
        <v>42.804200000000002</v>
      </c>
      <c r="M639">
        <v>42.522500000000001</v>
      </c>
      <c r="N639">
        <v>42.474200000000003</v>
      </c>
      <c r="O639">
        <v>42.762300000000003</v>
      </c>
      <c r="P639">
        <v>42.469499999999996</v>
      </c>
      <c r="S639">
        <v>3.7286999999999999</v>
      </c>
      <c r="T639">
        <f t="shared" si="6"/>
        <v>3728.7</v>
      </c>
    </row>
    <row r="640" spans="1:20" x14ac:dyDescent="0.4">
      <c r="A640" t="s">
        <v>0</v>
      </c>
      <c r="B640">
        <v>4</v>
      </c>
      <c r="C640">
        <v>9.1702999999999992</v>
      </c>
      <c r="D640">
        <v>24.978200000000001</v>
      </c>
      <c r="E640">
        <v>27.6188</v>
      </c>
      <c r="F640">
        <v>45.466099999999997</v>
      </c>
      <c r="G640">
        <v>25.4983</v>
      </c>
      <c r="H640">
        <v>19.660599999999999</v>
      </c>
      <c r="I640">
        <v>18.537199999999999</v>
      </c>
      <c r="J640">
        <v>18.657399999999999</v>
      </c>
      <c r="K640">
        <v>19.218900000000001</v>
      </c>
      <c r="L640">
        <v>19.403199999999998</v>
      </c>
      <c r="M640">
        <v>19.270499999999998</v>
      </c>
      <c r="N640">
        <v>19.1937</v>
      </c>
      <c r="O640">
        <v>19.215299999999999</v>
      </c>
      <c r="P640">
        <v>19.320699999999999</v>
      </c>
      <c r="S640">
        <v>3.7281</v>
      </c>
      <c r="T640">
        <f t="shared" si="6"/>
        <v>3728.1</v>
      </c>
    </row>
    <row r="641" spans="1:20" x14ac:dyDescent="0.4">
      <c r="A641" t="s">
        <v>0</v>
      </c>
      <c r="B641">
        <v>5</v>
      </c>
      <c r="C641">
        <v>2.4695999999999998</v>
      </c>
      <c r="D641">
        <v>4.2309000000000001</v>
      </c>
      <c r="E641">
        <v>13.063800000000001</v>
      </c>
      <c r="F641">
        <v>14.6191</v>
      </c>
      <c r="G641">
        <v>22.690899999999999</v>
      </c>
      <c r="H641">
        <v>9.7577999999999996</v>
      </c>
      <c r="I641">
        <v>8.3206000000000007</v>
      </c>
      <c r="J641">
        <v>7.6862000000000004</v>
      </c>
      <c r="K641">
        <v>8.1127000000000002</v>
      </c>
      <c r="L641">
        <v>8.3958999999999993</v>
      </c>
      <c r="M641">
        <v>8.4646000000000008</v>
      </c>
      <c r="N641">
        <v>8.4332999999999991</v>
      </c>
      <c r="O641">
        <v>8.4038000000000004</v>
      </c>
      <c r="P641">
        <v>8.4018999999999995</v>
      </c>
      <c r="S641">
        <v>3.7399</v>
      </c>
      <c r="T641">
        <f t="shared" si="6"/>
        <v>3739.9</v>
      </c>
    </row>
    <row r="642" spans="1:20" x14ac:dyDescent="0.4">
      <c r="A642" t="s">
        <v>0</v>
      </c>
      <c r="B642">
        <v>6</v>
      </c>
      <c r="C642">
        <v>0.84919999999999995</v>
      </c>
      <c r="D642">
        <v>1.1153</v>
      </c>
      <c r="E642">
        <v>2.1412</v>
      </c>
      <c r="F642">
        <v>6.7328999999999999</v>
      </c>
      <c r="G642">
        <v>7.2099000000000002</v>
      </c>
      <c r="H642">
        <v>8.7805</v>
      </c>
      <c r="I642">
        <v>4.0827</v>
      </c>
      <c r="J642">
        <v>3.4127000000000001</v>
      </c>
      <c r="K642">
        <v>3.31</v>
      </c>
      <c r="L642">
        <v>3.5</v>
      </c>
      <c r="M642">
        <v>3.6335000000000002</v>
      </c>
      <c r="N642">
        <v>3.6555</v>
      </c>
      <c r="O642">
        <v>3.6514000000000002</v>
      </c>
      <c r="P642">
        <v>3.6354000000000002</v>
      </c>
      <c r="S642">
        <v>3.7351999999999999</v>
      </c>
      <c r="T642">
        <f t="shared" si="6"/>
        <v>3735.2</v>
      </c>
    </row>
    <row r="643" spans="1:20" x14ac:dyDescent="0.4">
      <c r="A643" t="s">
        <v>0</v>
      </c>
      <c r="B643">
        <v>7</v>
      </c>
      <c r="C643">
        <v>0.1227</v>
      </c>
      <c r="D643">
        <v>0.37969999999999998</v>
      </c>
      <c r="E643">
        <v>0.56820000000000004</v>
      </c>
      <c r="F643">
        <v>1.0769</v>
      </c>
      <c r="G643">
        <v>3.32</v>
      </c>
      <c r="H643">
        <v>2.8157000000000001</v>
      </c>
      <c r="I643">
        <v>3.7410000000000001</v>
      </c>
      <c r="J643">
        <v>1.6873</v>
      </c>
      <c r="K643">
        <v>1.4787999999999999</v>
      </c>
      <c r="L643">
        <v>1.4390000000000001</v>
      </c>
      <c r="M643">
        <v>1.5228999999999999</v>
      </c>
      <c r="N643">
        <v>1.5825</v>
      </c>
      <c r="O643">
        <v>1.5860000000000001</v>
      </c>
      <c r="P643">
        <v>1.5920000000000001</v>
      </c>
    </row>
    <row r="644" spans="1:20" x14ac:dyDescent="0.4">
      <c r="A644" t="s">
        <v>0</v>
      </c>
      <c r="B644">
        <v>8</v>
      </c>
      <c r="C644">
        <v>9.0200000000000002E-2</v>
      </c>
      <c r="D644">
        <v>5.6300000000000003E-2</v>
      </c>
      <c r="E644">
        <v>0.193</v>
      </c>
      <c r="F644">
        <v>0.2898</v>
      </c>
      <c r="G644">
        <v>0.5323</v>
      </c>
      <c r="H644">
        <v>1.3193999999999999</v>
      </c>
      <c r="I644">
        <v>1.2178</v>
      </c>
      <c r="J644">
        <v>1.5772999999999999</v>
      </c>
      <c r="K644">
        <v>0.74160000000000004</v>
      </c>
      <c r="L644">
        <v>0.64949999999999997</v>
      </c>
      <c r="M644">
        <v>0.63329999999999997</v>
      </c>
      <c r="N644">
        <v>0.66839999999999999</v>
      </c>
      <c r="O644">
        <v>0.69669999999999999</v>
      </c>
      <c r="P644">
        <v>0.69840000000000002</v>
      </c>
    </row>
    <row r="645" spans="1:20" x14ac:dyDescent="0.4">
      <c r="A645" t="s">
        <v>0</v>
      </c>
      <c r="B645">
        <v>9</v>
      </c>
      <c r="C645">
        <v>6.3E-3</v>
      </c>
      <c r="D645">
        <v>4.1000000000000002E-2</v>
      </c>
      <c r="E645">
        <v>2.87E-2</v>
      </c>
      <c r="F645">
        <v>9.8400000000000001E-2</v>
      </c>
      <c r="G645">
        <v>0.14530000000000001</v>
      </c>
      <c r="H645">
        <v>0.217</v>
      </c>
      <c r="I645">
        <v>0.58309999999999995</v>
      </c>
      <c r="J645">
        <v>0.52180000000000004</v>
      </c>
      <c r="K645">
        <v>0.70609999999999995</v>
      </c>
      <c r="L645">
        <v>0.33200000000000002</v>
      </c>
      <c r="M645">
        <v>0.29020000000000001</v>
      </c>
      <c r="N645">
        <v>0.28339999999999999</v>
      </c>
      <c r="O645">
        <v>0.29849999999999999</v>
      </c>
      <c r="P645">
        <v>0.312</v>
      </c>
    </row>
    <row r="646" spans="1:20" x14ac:dyDescent="0.4">
      <c r="A646" t="s">
        <v>0</v>
      </c>
      <c r="B646">
        <v>10</v>
      </c>
      <c r="C646">
        <v>3.2000000000000002E-3</v>
      </c>
      <c r="D646">
        <v>3.0000000000000001E-3</v>
      </c>
      <c r="E646">
        <v>2.06E-2</v>
      </c>
      <c r="F646">
        <v>1.47E-2</v>
      </c>
      <c r="G646">
        <v>5.0099999999999999E-2</v>
      </c>
      <c r="H646">
        <v>6.0299999999999999E-2</v>
      </c>
      <c r="I646">
        <v>9.7900000000000001E-2</v>
      </c>
      <c r="J646">
        <v>0.255</v>
      </c>
      <c r="K646">
        <v>0.2369</v>
      </c>
      <c r="L646">
        <v>0.31979999999999997</v>
      </c>
      <c r="M646">
        <v>0.151</v>
      </c>
      <c r="N646">
        <v>0.1313</v>
      </c>
      <c r="O646">
        <v>0.12889999999999999</v>
      </c>
      <c r="P646">
        <v>0.13539999999999999</v>
      </c>
    </row>
    <row r="647" spans="1:20" x14ac:dyDescent="0.4">
      <c r="A647" t="s">
        <v>0</v>
      </c>
      <c r="B647">
        <v>11</v>
      </c>
      <c r="C647">
        <v>8.9999999999999998E-4</v>
      </c>
      <c r="D647">
        <v>1.5E-3</v>
      </c>
      <c r="E647">
        <v>1.5E-3</v>
      </c>
      <c r="F647">
        <v>1.03E-2</v>
      </c>
      <c r="G647">
        <v>7.6E-3</v>
      </c>
      <c r="H647">
        <v>2.12E-2</v>
      </c>
      <c r="I647">
        <v>2.75E-2</v>
      </c>
      <c r="J647">
        <v>4.36E-2</v>
      </c>
      <c r="K647">
        <v>0.1177</v>
      </c>
      <c r="L647">
        <v>0.1086</v>
      </c>
      <c r="M647">
        <v>0.14710000000000001</v>
      </c>
      <c r="N647">
        <v>6.9400000000000003E-2</v>
      </c>
      <c r="O647">
        <v>6.0199999999999997E-2</v>
      </c>
      <c r="P647">
        <v>5.8999999999999997E-2</v>
      </c>
    </row>
    <row r="648" spans="1:20" x14ac:dyDescent="0.4">
      <c r="A648" t="s">
        <v>0</v>
      </c>
      <c r="B648">
        <v>12</v>
      </c>
      <c r="C648">
        <v>1E-4</v>
      </c>
      <c r="D648">
        <v>4.0000000000000002E-4</v>
      </c>
      <c r="E648">
        <v>8.0000000000000004E-4</v>
      </c>
      <c r="F648">
        <v>8.0000000000000004E-4</v>
      </c>
      <c r="G648">
        <v>5.1999999999999998E-3</v>
      </c>
      <c r="H648">
        <v>3.3E-3</v>
      </c>
      <c r="I648">
        <v>9.7000000000000003E-3</v>
      </c>
      <c r="J648">
        <v>1.24E-2</v>
      </c>
      <c r="K648">
        <v>2.0400000000000001E-2</v>
      </c>
      <c r="L648">
        <v>5.4800000000000001E-2</v>
      </c>
      <c r="M648">
        <v>5.0299999999999997E-2</v>
      </c>
      <c r="N648">
        <v>6.8099999999999994E-2</v>
      </c>
      <c r="O648">
        <v>3.2099999999999997E-2</v>
      </c>
      <c r="P648">
        <v>2.7799999999999998E-2</v>
      </c>
    </row>
    <row r="649" spans="1:20" x14ac:dyDescent="0.4">
      <c r="A649" t="s">
        <v>0</v>
      </c>
      <c r="B649">
        <v>13</v>
      </c>
      <c r="C649">
        <v>0</v>
      </c>
      <c r="D649">
        <v>0</v>
      </c>
      <c r="E649">
        <v>2.0000000000000001E-4</v>
      </c>
      <c r="F649">
        <v>4.0000000000000002E-4</v>
      </c>
      <c r="G649">
        <v>4.0000000000000002E-4</v>
      </c>
      <c r="H649">
        <v>2.3E-3</v>
      </c>
      <c r="I649">
        <v>1.6000000000000001E-3</v>
      </c>
      <c r="J649">
        <v>4.4999999999999997E-3</v>
      </c>
      <c r="K649">
        <v>5.7999999999999996E-3</v>
      </c>
      <c r="L649">
        <v>9.5999999999999992E-3</v>
      </c>
      <c r="M649">
        <v>2.5600000000000001E-2</v>
      </c>
      <c r="N649">
        <v>2.3400000000000001E-2</v>
      </c>
      <c r="O649">
        <v>3.1699999999999999E-2</v>
      </c>
      <c r="P649">
        <v>1.4999999999999999E-2</v>
      </c>
    </row>
    <row r="650" spans="1:20" x14ac:dyDescent="0.4">
      <c r="A650" t="s">
        <v>0</v>
      </c>
      <c r="B650">
        <v>14</v>
      </c>
      <c r="C650">
        <v>0</v>
      </c>
      <c r="D650">
        <v>0</v>
      </c>
      <c r="E650">
        <v>0</v>
      </c>
      <c r="F650">
        <v>1E-4</v>
      </c>
      <c r="G650">
        <v>2.0000000000000001E-4</v>
      </c>
      <c r="H650">
        <v>2.0000000000000001E-4</v>
      </c>
      <c r="I650">
        <v>1.1000000000000001E-3</v>
      </c>
      <c r="J650">
        <v>6.9999999999999999E-4</v>
      </c>
      <c r="K650">
        <v>2.0999999999999999E-3</v>
      </c>
      <c r="L650">
        <v>2.8E-3</v>
      </c>
      <c r="M650">
        <v>4.4999999999999997E-3</v>
      </c>
      <c r="N650">
        <v>1.2E-2</v>
      </c>
      <c r="O650">
        <v>1.0999999999999999E-2</v>
      </c>
      <c r="P650">
        <v>1.4800000000000001E-2</v>
      </c>
    </row>
    <row r="651" spans="1:20" x14ac:dyDescent="0.4">
      <c r="A651" t="s">
        <v>0</v>
      </c>
      <c r="B651">
        <v>15</v>
      </c>
      <c r="C651">
        <v>0</v>
      </c>
      <c r="D651">
        <v>0</v>
      </c>
      <c r="E651">
        <v>0</v>
      </c>
      <c r="F651">
        <v>0</v>
      </c>
      <c r="G651">
        <v>1E-4</v>
      </c>
      <c r="H651">
        <v>1E-4</v>
      </c>
      <c r="I651">
        <v>1E-4</v>
      </c>
      <c r="J651">
        <v>5.9999999999999995E-4</v>
      </c>
      <c r="K651">
        <v>5.9999999999999995E-4</v>
      </c>
      <c r="L651">
        <v>1.2999999999999999E-3</v>
      </c>
      <c r="M651">
        <v>2E-3</v>
      </c>
      <c r="N651">
        <v>3.0999999999999999E-3</v>
      </c>
      <c r="O651">
        <v>7.1999999999999998E-3</v>
      </c>
      <c r="P651">
        <v>8.6999999999999994E-3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0DD0-2BF1-4069-A77E-356641B27755}">
  <dimension ref="A1:U651"/>
  <sheetViews>
    <sheetView topLeftCell="J296" workbookViewId="0">
      <selection activeCell="L295" sqref="L295:U309"/>
    </sheetView>
  </sheetViews>
  <sheetFormatPr defaultRowHeight="14.6" x14ac:dyDescent="0.4"/>
  <sheetData>
    <row r="1" spans="1:9" x14ac:dyDescent="0.4">
      <c r="A1" t="s">
        <v>69</v>
      </c>
      <c r="B1" t="s">
        <v>68</v>
      </c>
      <c r="C1">
        <v>4.2</v>
      </c>
    </row>
    <row r="3" spans="1:9" x14ac:dyDescent="0.4">
      <c r="A3" t="s">
        <v>165</v>
      </c>
    </row>
    <row r="5" spans="1:9" x14ac:dyDescent="0.4">
      <c r="A5" t="s">
        <v>67</v>
      </c>
      <c r="B5" t="s">
        <v>66</v>
      </c>
      <c r="C5" t="s">
        <v>65</v>
      </c>
      <c r="D5" t="s">
        <v>47</v>
      </c>
      <c r="E5" t="s">
        <v>64</v>
      </c>
      <c r="F5">
        <v>10</v>
      </c>
      <c r="G5" t="s">
        <v>160</v>
      </c>
      <c r="H5">
        <v>2025</v>
      </c>
      <c r="I5" s="3">
        <v>0.69374999999999998</v>
      </c>
    </row>
    <row r="7" spans="1:9" x14ac:dyDescent="0.4">
      <c r="A7" t="s">
        <v>45</v>
      </c>
      <c r="B7" t="s">
        <v>52</v>
      </c>
      <c r="C7" t="s">
        <v>51</v>
      </c>
      <c r="D7" t="s">
        <v>164</v>
      </c>
    </row>
    <row r="9" spans="1:9" x14ac:dyDescent="0.4">
      <c r="A9" t="s">
        <v>63</v>
      </c>
      <c r="B9" t="s">
        <v>0</v>
      </c>
      <c r="C9" t="s">
        <v>62</v>
      </c>
      <c r="D9">
        <v>1</v>
      </c>
    </row>
    <row r="10" spans="1:9" x14ac:dyDescent="0.4">
      <c r="A10" t="s">
        <v>50</v>
      </c>
      <c r="B10" t="s">
        <v>47</v>
      </c>
      <c r="C10" t="s">
        <v>0</v>
      </c>
      <c r="D10" t="s">
        <v>61</v>
      </c>
      <c r="E10">
        <v>15</v>
      </c>
    </row>
    <row r="11" spans="1:9" x14ac:dyDescent="0.4">
      <c r="A11" t="s">
        <v>50</v>
      </c>
      <c r="B11" t="s">
        <v>47</v>
      </c>
      <c r="C11" t="s">
        <v>60</v>
      </c>
      <c r="D11" t="s">
        <v>59</v>
      </c>
      <c r="E11" t="s">
        <v>58</v>
      </c>
      <c r="F11">
        <v>14</v>
      </c>
    </row>
    <row r="12" spans="1:9" x14ac:dyDescent="0.4">
      <c r="A12" t="s">
        <v>50</v>
      </c>
      <c r="B12" t="s">
        <v>47</v>
      </c>
      <c r="C12" t="s">
        <v>57</v>
      </c>
      <c r="D12">
        <v>9</v>
      </c>
    </row>
    <row r="13" spans="1:9" x14ac:dyDescent="0.4">
      <c r="A13" t="s">
        <v>50</v>
      </c>
      <c r="B13" t="s">
        <v>47</v>
      </c>
      <c r="C13" t="s">
        <v>41</v>
      </c>
      <c r="D13" t="s">
        <v>56</v>
      </c>
      <c r="E13">
        <v>3</v>
      </c>
    </row>
    <row r="14" spans="1:9" x14ac:dyDescent="0.4">
      <c r="A14" t="s">
        <v>50</v>
      </c>
      <c r="B14" t="s">
        <v>47</v>
      </c>
      <c r="C14" t="s">
        <v>55</v>
      </c>
      <c r="D14">
        <v>100</v>
      </c>
    </row>
    <row r="15" spans="1:9" x14ac:dyDescent="0.4">
      <c r="A15" t="s">
        <v>50</v>
      </c>
      <c r="B15" t="s">
        <v>47</v>
      </c>
      <c r="C15" t="s">
        <v>54</v>
      </c>
      <c r="D15">
        <v>1000</v>
      </c>
    </row>
    <row r="17" spans="1:11" x14ac:dyDescent="0.4">
      <c r="A17" t="s">
        <v>53</v>
      </c>
      <c r="B17" t="s">
        <v>52</v>
      </c>
      <c r="C17" t="s">
        <v>51</v>
      </c>
      <c r="D17" t="s">
        <v>75</v>
      </c>
      <c r="E17" t="s">
        <v>76</v>
      </c>
      <c r="F17" t="s">
        <v>77</v>
      </c>
      <c r="G17" t="s">
        <v>78</v>
      </c>
    </row>
    <row r="19" spans="1:11" x14ac:dyDescent="0.4">
      <c r="A19" t="s">
        <v>50</v>
      </c>
      <c r="B19" t="s">
        <v>47</v>
      </c>
      <c r="C19" t="s">
        <v>49</v>
      </c>
      <c r="D19" t="s">
        <v>48</v>
      </c>
      <c r="E19">
        <v>99759</v>
      </c>
      <c r="F19" t="s">
        <v>47</v>
      </c>
      <c r="G19">
        <v>100000</v>
      </c>
      <c r="H19" t="s">
        <v>46</v>
      </c>
    </row>
    <row r="21" spans="1:11" x14ac:dyDescent="0.4">
      <c r="A21" t="s">
        <v>45</v>
      </c>
      <c r="B21" t="s">
        <v>44</v>
      </c>
      <c r="C21" t="s">
        <v>43</v>
      </c>
    </row>
    <row r="23" spans="1:11" x14ac:dyDescent="0.4">
      <c r="A23" t="s">
        <v>22</v>
      </c>
      <c r="B23" t="s">
        <v>42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</row>
    <row r="25" spans="1:11" x14ac:dyDescent="0.4">
      <c r="A25">
        <v>2021</v>
      </c>
      <c r="B25" t="s">
        <v>5</v>
      </c>
      <c r="C25">
        <v>118</v>
      </c>
      <c r="D25">
        <v>100</v>
      </c>
      <c r="E25">
        <v>551</v>
      </c>
      <c r="F25">
        <v>72</v>
      </c>
      <c r="G25">
        <v>89</v>
      </c>
      <c r="H25">
        <v>37</v>
      </c>
      <c r="I25">
        <v>58</v>
      </c>
      <c r="J25">
        <v>265</v>
      </c>
      <c r="K25">
        <v>249</v>
      </c>
    </row>
    <row r="26" spans="1:11" x14ac:dyDescent="0.4">
      <c r="A26">
        <v>2022</v>
      </c>
      <c r="B26" t="s">
        <v>5</v>
      </c>
      <c r="C26">
        <v>75</v>
      </c>
      <c r="D26">
        <v>99</v>
      </c>
      <c r="E26">
        <v>464</v>
      </c>
      <c r="F26">
        <v>36</v>
      </c>
      <c r="G26">
        <v>80</v>
      </c>
      <c r="H26">
        <v>54</v>
      </c>
      <c r="I26">
        <v>84</v>
      </c>
      <c r="J26">
        <v>298</v>
      </c>
      <c r="K26">
        <v>284</v>
      </c>
    </row>
    <row r="27" spans="1:11" x14ac:dyDescent="0.4">
      <c r="A27">
        <v>2023</v>
      </c>
      <c r="B27" t="s">
        <v>5</v>
      </c>
      <c r="C27">
        <v>129</v>
      </c>
      <c r="D27">
        <v>80</v>
      </c>
      <c r="E27">
        <v>526</v>
      </c>
      <c r="F27">
        <v>28</v>
      </c>
      <c r="G27">
        <v>110</v>
      </c>
      <c r="H27">
        <v>54</v>
      </c>
      <c r="I27">
        <v>84</v>
      </c>
      <c r="J27">
        <v>214</v>
      </c>
      <c r="K27">
        <v>461</v>
      </c>
    </row>
    <row r="28" spans="1:11" x14ac:dyDescent="0.4">
      <c r="A28">
        <v>2024</v>
      </c>
      <c r="B28" t="s">
        <v>5</v>
      </c>
      <c r="C28">
        <v>83</v>
      </c>
      <c r="D28">
        <v>176</v>
      </c>
      <c r="E28">
        <v>578</v>
      </c>
      <c r="F28">
        <v>27</v>
      </c>
      <c r="G28">
        <v>110</v>
      </c>
      <c r="H28">
        <v>54</v>
      </c>
      <c r="I28">
        <v>84</v>
      </c>
      <c r="J28">
        <v>584</v>
      </c>
      <c r="K28">
        <v>461</v>
      </c>
    </row>
    <row r="29" spans="1:11" x14ac:dyDescent="0.4">
      <c r="A29">
        <v>2025</v>
      </c>
      <c r="B29" t="s">
        <v>5</v>
      </c>
      <c r="C29">
        <v>351</v>
      </c>
      <c r="D29">
        <v>139</v>
      </c>
      <c r="E29">
        <v>1296</v>
      </c>
      <c r="F29">
        <v>65</v>
      </c>
      <c r="G29">
        <v>213</v>
      </c>
      <c r="H29">
        <v>95</v>
      </c>
      <c r="I29">
        <v>197</v>
      </c>
      <c r="J29">
        <v>393</v>
      </c>
      <c r="K29">
        <v>476</v>
      </c>
    </row>
    <row r="30" spans="1:11" x14ac:dyDescent="0.4">
      <c r="A30">
        <v>2026</v>
      </c>
      <c r="B30" t="s">
        <v>5</v>
      </c>
      <c r="C30">
        <v>351</v>
      </c>
      <c r="D30">
        <v>139</v>
      </c>
      <c r="E30">
        <v>1296</v>
      </c>
      <c r="F30">
        <v>65</v>
      </c>
      <c r="G30">
        <v>213</v>
      </c>
      <c r="H30">
        <v>95</v>
      </c>
      <c r="I30">
        <v>197</v>
      </c>
      <c r="J30">
        <v>393</v>
      </c>
      <c r="K30">
        <v>476</v>
      </c>
    </row>
    <row r="31" spans="1:11" x14ac:dyDescent="0.4">
      <c r="A31">
        <v>2027</v>
      </c>
      <c r="B31" t="s">
        <v>5</v>
      </c>
      <c r="C31">
        <v>316</v>
      </c>
      <c r="D31">
        <v>125</v>
      </c>
      <c r="E31">
        <v>904</v>
      </c>
      <c r="F31">
        <v>58</v>
      </c>
      <c r="G31">
        <v>191</v>
      </c>
      <c r="H31">
        <v>85</v>
      </c>
      <c r="I31">
        <v>166</v>
      </c>
      <c r="J31">
        <v>228</v>
      </c>
      <c r="K31">
        <v>326</v>
      </c>
    </row>
    <row r="32" spans="1:11" x14ac:dyDescent="0.4">
      <c r="A32">
        <v>2028</v>
      </c>
      <c r="B32" t="s">
        <v>5</v>
      </c>
      <c r="C32">
        <v>185</v>
      </c>
      <c r="D32">
        <v>122</v>
      </c>
      <c r="E32">
        <v>692</v>
      </c>
      <c r="F32">
        <v>67</v>
      </c>
      <c r="G32">
        <v>158</v>
      </c>
      <c r="H32">
        <v>88</v>
      </c>
      <c r="I32">
        <v>169</v>
      </c>
      <c r="J32">
        <v>373</v>
      </c>
      <c r="K32">
        <v>298</v>
      </c>
    </row>
    <row r="33" spans="1:11" x14ac:dyDescent="0.4">
      <c r="A33">
        <v>2029</v>
      </c>
      <c r="B33" t="s">
        <v>5</v>
      </c>
      <c r="C33">
        <v>185</v>
      </c>
      <c r="D33">
        <v>122</v>
      </c>
      <c r="E33">
        <v>692</v>
      </c>
      <c r="F33">
        <v>67</v>
      </c>
      <c r="G33">
        <v>158</v>
      </c>
      <c r="H33">
        <v>88</v>
      </c>
      <c r="I33">
        <v>169</v>
      </c>
      <c r="J33">
        <v>373</v>
      </c>
      <c r="K33">
        <v>298</v>
      </c>
    </row>
    <row r="34" spans="1:11" x14ac:dyDescent="0.4">
      <c r="A34">
        <v>2030</v>
      </c>
      <c r="B34" t="s">
        <v>5</v>
      </c>
      <c r="C34">
        <v>185</v>
      </c>
      <c r="D34">
        <v>122</v>
      </c>
      <c r="E34">
        <v>692</v>
      </c>
      <c r="F34">
        <v>67</v>
      </c>
      <c r="G34">
        <v>158</v>
      </c>
      <c r="H34">
        <v>88</v>
      </c>
      <c r="I34">
        <v>169</v>
      </c>
      <c r="J34">
        <v>373</v>
      </c>
      <c r="K34">
        <v>298</v>
      </c>
    </row>
    <row r="35" spans="1:11" x14ac:dyDescent="0.4">
      <c r="A35">
        <v>2031</v>
      </c>
      <c r="B35" t="s">
        <v>5</v>
      </c>
      <c r="C35">
        <v>185</v>
      </c>
      <c r="D35">
        <v>122</v>
      </c>
      <c r="E35">
        <v>692</v>
      </c>
      <c r="F35">
        <v>67</v>
      </c>
      <c r="G35">
        <v>158</v>
      </c>
      <c r="H35">
        <v>88</v>
      </c>
      <c r="I35">
        <v>169</v>
      </c>
      <c r="J35">
        <v>373</v>
      </c>
      <c r="K35">
        <v>298</v>
      </c>
    </row>
    <row r="36" spans="1:11" x14ac:dyDescent="0.4">
      <c r="A36">
        <v>2032</v>
      </c>
      <c r="B36" t="s">
        <v>5</v>
      </c>
      <c r="C36">
        <v>185</v>
      </c>
      <c r="D36">
        <v>122</v>
      </c>
      <c r="E36">
        <v>692</v>
      </c>
      <c r="F36">
        <v>67</v>
      </c>
      <c r="G36">
        <v>158</v>
      </c>
      <c r="H36">
        <v>88</v>
      </c>
      <c r="I36">
        <v>169</v>
      </c>
      <c r="J36">
        <v>373</v>
      </c>
      <c r="K36">
        <v>298</v>
      </c>
    </row>
    <row r="37" spans="1:11" x14ac:dyDescent="0.4">
      <c r="A37">
        <v>2033</v>
      </c>
      <c r="B37" t="s">
        <v>5</v>
      </c>
      <c r="C37">
        <v>185</v>
      </c>
      <c r="D37">
        <v>122</v>
      </c>
      <c r="E37">
        <v>692</v>
      </c>
      <c r="F37">
        <v>67</v>
      </c>
      <c r="G37">
        <v>158</v>
      </c>
      <c r="H37">
        <v>88</v>
      </c>
      <c r="I37">
        <v>169</v>
      </c>
      <c r="J37">
        <v>373</v>
      </c>
      <c r="K37">
        <v>298</v>
      </c>
    </row>
    <row r="38" spans="1:11" x14ac:dyDescent="0.4">
      <c r="A38">
        <v>2034</v>
      </c>
      <c r="B38" t="s">
        <v>5</v>
      </c>
      <c r="C38">
        <v>185</v>
      </c>
      <c r="D38">
        <v>122</v>
      </c>
      <c r="E38">
        <v>692</v>
      </c>
      <c r="F38">
        <v>67</v>
      </c>
      <c r="G38">
        <v>158</v>
      </c>
      <c r="H38">
        <v>88</v>
      </c>
      <c r="I38">
        <v>169</v>
      </c>
      <c r="J38">
        <v>373</v>
      </c>
      <c r="K38">
        <v>298</v>
      </c>
    </row>
    <row r="40" spans="1:11" x14ac:dyDescent="0.4">
      <c r="A40" t="s">
        <v>41</v>
      </c>
      <c r="B40" t="s">
        <v>40</v>
      </c>
      <c r="C40" t="s">
        <v>32</v>
      </c>
    </row>
    <row r="42" spans="1:11" x14ac:dyDescent="0.4">
      <c r="A42" t="s">
        <v>22</v>
      </c>
      <c r="B42" t="s">
        <v>39</v>
      </c>
      <c r="C42" t="s">
        <v>38</v>
      </c>
      <c r="D42" t="s">
        <v>88</v>
      </c>
    </row>
    <row r="44" spans="1:11" x14ac:dyDescent="0.4">
      <c r="A44">
        <v>2021</v>
      </c>
      <c r="B44">
        <v>0.12</v>
      </c>
      <c r="C44">
        <v>0.83979999999999999</v>
      </c>
      <c r="D44">
        <v>4.02E-2</v>
      </c>
    </row>
    <row r="45" spans="1:11" x14ac:dyDescent="0.4">
      <c r="A45">
        <v>2022</v>
      </c>
      <c r="B45">
        <v>0.1198</v>
      </c>
      <c r="C45">
        <v>0.84089999999999998</v>
      </c>
      <c r="D45">
        <v>3.9300000000000002E-2</v>
      </c>
    </row>
    <row r="46" spans="1:11" x14ac:dyDescent="0.4">
      <c r="A46">
        <v>2023</v>
      </c>
      <c r="B46">
        <v>0.1193</v>
      </c>
      <c r="C46">
        <v>0.84040000000000004</v>
      </c>
      <c r="D46">
        <v>4.02E-2</v>
      </c>
    </row>
    <row r="47" spans="1:11" x14ac:dyDescent="0.4">
      <c r="A47">
        <v>2024</v>
      </c>
      <c r="B47">
        <v>0.1207</v>
      </c>
      <c r="C47">
        <v>0.83889999999999998</v>
      </c>
      <c r="D47">
        <v>4.0300000000000002E-2</v>
      </c>
    </row>
    <row r="48" spans="1:11" x14ac:dyDescent="0.4">
      <c r="A48">
        <v>2025</v>
      </c>
      <c r="B48">
        <v>0.11890000000000001</v>
      </c>
      <c r="C48">
        <v>0.84079999999999999</v>
      </c>
      <c r="D48">
        <v>4.0300000000000002E-2</v>
      </c>
    </row>
    <row r="49" spans="1:4" x14ac:dyDescent="0.4">
      <c r="A49">
        <v>2026</v>
      </c>
      <c r="B49">
        <v>0.1196</v>
      </c>
      <c r="C49">
        <v>0.84099999999999997</v>
      </c>
      <c r="D49">
        <v>3.9399999999999998E-2</v>
      </c>
    </row>
    <row r="50" spans="1:4" x14ac:dyDescent="0.4">
      <c r="A50">
        <v>2027</v>
      </c>
      <c r="B50">
        <v>0.1197</v>
      </c>
      <c r="C50">
        <v>0.83979999999999999</v>
      </c>
      <c r="D50">
        <v>4.0500000000000001E-2</v>
      </c>
    </row>
    <row r="51" spans="1:4" x14ac:dyDescent="0.4">
      <c r="A51">
        <v>2028</v>
      </c>
      <c r="B51">
        <v>0.1206</v>
      </c>
      <c r="C51">
        <v>0.83909999999999996</v>
      </c>
      <c r="D51">
        <v>4.0300000000000002E-2</v>
      </c>
    </row>
    <row r="52" spans="1:4" x14ac:dyDescent="0.4">
      <c r="A52">
        <v>2029</v>
      </c>
      <c r="B52">
        <v>0.1193</v>
      </c>
      <c r="C52">
        <v>0.84099999999999997</v>
      </c>
      <c r="D52">
        <v>3.9699999999999999E-2</v>
      </c>
    </row>
    <row r="53" spans="1:4" x14ac:dyDescent="0.4">
      <c r="A53">
        <v>2030</v>
      </c>
      <c r="B53">
        <v>0.1186</v>
      </c>
      <c r="C53">
        <v>0.84050000000000002</v>
      </c>
      <c r="D53">
        <v>4.0899999999999999E-2</v>
      </c>
    </row>
    <row r="54" spans="1:4" x14ac:dyDescent="0.4">
      <c r="A54">
        <v>2031</v>
      </c>
      <c r="B54">
        <v>0.12039999999999999</v>
      </c>
      <c r="C54">
        <v>0.83979999999999999</v>
      </c>
      <c r="D54">
        <v>3.9800000000000002E-2</v>
      </c>
    </row>
    <row r="55" spans="1:4" x14ac:dyDescent="0.4">
      <c r="A55">
        <v>2032</v>
      </c>
      <c r="B55">
        <v>0.1187</v>
      </c>
      <c r="C55">
        <v>0.84179999999999999</v>
      </c>
      <c r="D55">
        <v>3.9399999999999998E-2</v>
      </c>
    </row>
    <row r="56" spans="1:4" x14ac:dyDescent="0.4">
      <c r="A56">
        <v>2033</v>
      </c>
      <c r="B56">
        <v>0.1195</v>
      </c>
      <c r="C56">
        <v>0.84</v>
      </c>
      <c r="D56">
        <v>4.0500000000000001E-2</v>
      </c>
    </row>
    <row r="57" spans="1:4" x14ac:dyDescent="0.4">
      <c r="A57">
        <v>2034</v>
      </c>
      <c r="B57">
        <v>0.1217</v>
      </c>
      <c r="C57">
        <v>0.83919999999999995</v>
      </c>
      <c r="D57">
        <v>3.9100000000000003E-2</v>
      </c>
    </row>
    <row r="59" spans="1:4" x14ac:dyDescent="0.4">
      <c r="A59" t="s">
        <v>11</v>
      </c>
      <c r="B59">
        <v>1000</v>
      </c>
      <c r="C59" t="s">
        <v>30</v>
      </c>
    </row>
    <row r="61" spans="1:4" x14ac:dyDescent="0.4">
      <c r="A61" t="s">
        <v>22</v>
      </c>
      <c r="B61" t="s">
        <v>37</v>
      </c>
      <c r="C61" t="s">
        <v>34</v>
      </c>
      <c r="D61" t="s">
        <v>33</v>
      </c>
    </row>
    <row r="62" spans="1:4" x14ac:dyDescent="0.4">
      <c r="A62">
        <v>2021</v>
      </c>
      <c r="B62">
        <v>173.6283</v>
      </c>
      <c r="C62">
        <v>81.256500000000003</v>
      </c>
    </row>
    <row r="63" spans="1:4" x14ac:dyDescent="0.4">
      <c r="A63">
        <v>2022</v>
      </c>
      <c r="B63">
        <v>174.32849999999999</v>
      </c>
      <c r="C63">
        <v>83.226299999999995</v>
      </c>
    </row>
    <row r="64" spans="1:4" x14ac:dyDescent="0.4">
      <c r="A64">
        <v>2023</v>
      </c>
      <c r="B64">
        <v>174.47380000000001</v>
      </c>
      <c r="C64">
        <v>84.605500000000006</v>
      </c>
    </row>
    <row r="65" spans="1:11" x14ac:dyDescent="0.4">
      <c r="A65">
        <v>2024</v>
      </c>
      <c r="B65">
        <v>174.52449999999999</v>
      </c>
      <c r="C65">
        <v>84.104799999999997</v>
      </c>
    </row>
    <row r="66" spans="1:11" x14ac:dyDescent="0.4">
      <c r="A66">
        <v>2025</v>
      </c>
      <c r="B66">
        <v>174.72919999999999</v>
      </c>
      <c r="C66">
        <v>84.049599999999998</v>
      </c>
    </row>
    <row r="67" spans="1:11" x14ac:dyDescent="0.4">
      <c r="A67">
        <v>2026</v>
      </c>
      <c r="B67">
        <v>173.92429999999999</v>
      </c>
      <c r="C67">
        <v>83.029300000000006</v>
      </c>
    </row>
    <row r="68" spans="1:11" x14ac:dyDescent="0.4">
      <c r="A68">
        <v>2027</v>
      </c>
      <c r="B68">
        <v>173.83279999999999</v>
      </c>
      <c r="C68">
        <v>81.828599999999994</v>
      </c>
    </row>
    <row r="69" spans="1:11" x14ac:dyDescent="0.4">
      <c r="A69">
        <v>2028</v>
      </c>
      <c r="B69">
        <v>173.97049999999999</v>
      </c>
      <c r="C69">
        <v>82.513599999999997</v>
      </c>
    </row>
    <row r="70" spans="1:11" x14ac:dyDescent="0.4">
      <c r="A70">
        <v>2029</v>
      </c>
      <c r="B70">
        <v>173.8184</v>
      </c>
      <c r="C70">
        <v>81.450999999999993</v>
      </c>
    </row>
    <row r="71" spans="1:11" x14ac:dyDescent="0.4">
      <c r="A71">
        <v>2030</v>
      </c>
      <c r="B71">
        <v>174.3227</v>
      </c>
      <c r="C71">
        <v>83.707499999999996</v>
      </c>
    </row>
    <row r="72" spans="1:11" x14ac:dyDescent="0.4">
      <c r="A72">
        <v>2031</v>
      </c>
      <c r="B72">
        <v>174.42189999999999</v>
      </c>
      <c r="C72">
        <v>82.737200000000001</v>
      </c>
    </row>
    <row r="73" spans="1:11" x14ac:dyDescent="0.4">
      <c r="A73">
        <v>2032</v>
      </c>
      <c r="B73">
        <v>173.8115</v>
      </c>
      <c r="C73">
        <v>82.353899999999996</v>
      </c>
    </row>
    <row r="74" spans="1:11" x14ac:dyDescent="0.4">
      <c r="A74">
        <v>2033</v>
      </c>
      <c r="B74">
        <v>174.17250000000001</v>
      </c>
      <c r="C74">
        <v>82.757499999999993</v>
      </c>
    </row>
    <row r="75" spans="1:11" x14ac:dyDescent="0.4">
      <c r="A75">
        <v>2034</v>
      </c>
      <c r="B75">
        <v>173.8587</v>
      </c>
      <c r="C75">
        <v>84.028000000000006</v>
      </c>
    </row>
    <row r="77" spans="1:11" x14ac:dyDescent="0.4">
      <c r="A77" t="s">
        <v>11</v>
      </c>
      <c r="B77" t="s">
        <v>32</v>
      </c>
    </row>
    <row r="79" spans="1:11" x14ac:dyDescent="0.4">
      <c r="A79" t="s">
        <v>22</v>
      </c>
      <c r="B79" t="s">
        <v>37</v>
      </c>
      <c r="C79" s="2">
        <v>0.01</v>
      </c>
      <c r="D79" s="2">
        <v>0.05</v>
      </c>
      <c r="E79" s="2">
        <v>0.1</v>
      </c>
      <c r="F79" s="2">
        <v>0.25</v>
      </c>
      <c r="G79" s="2">
        <v>0.5</v>
      </c>
      <c r="H79" s="2">
        <v>0.75</v>
      </c>
      <c r="I79" s="2">
        <v>0.9</v>
      </c>
      <c r="J79" s="2">
        <v>0.95</v>
      </c>
      <c r="K79" s="2">
        <v>0.99</v>
      </c>
    </row>
    <row r="80" spans="1:11" x14ac:dyDescent="0.4">
      <c r="A80">
        <v>2021</v>
      </c>
      <c r="B80">
        <v>68.655199999999994</v>
      </c>
      <c r="C80">
        <v>70.776399999999995</v>
      </c>
      <c r="D80">
        <v>79.169499999999999</v>
      </c>
      <c r="E80">
        <v>104.8579</v>
      </c>
      <c r="F80">
        <v>168.48859999999999</v>
      </c>
      <c r="G80">
        <v>236.6208</v>
      </c>
      <c r="H80">
        <v>279.71550000000002</v>
      </c>
      <c r="I80">
        <v>306.44389999999999</v>
      </c>
      <c r="J80">
        <v>325.43239999999997</v>
      </c>
    </row>
    <row r="81" spans="1:10" x14ac:dyDescent="0.4">
      <c r="A81">
        <v>2022</v>
      </c>
      <c r="B81">
        <v>68.659199999999998</v>
      </c>
      <c r="C81">
        <v>70.877799999999993</v>
      </c>
      <c r="D81">
        <v>79.183899999999994</v>
      </c>
      <c r="E81">
        <v>104.6806</v>
      </c>
      <c r="F81">
        <v>168.59280000000001</v>
      </c>
      <c r="G81">
        <v>237.215</v>
      </c>
      <c r="H81">
        <v>279.19229999999999</v>
      </c>
      <c r="I81">
        <v>306.87759999999997</v>
      </c>
      <c r="J81">
        <v>334.22989999999999</v>
      </c>
    </row>
    <row r="82" spans="1:10" x14ac:dyDescent="0.4">
      <c r="A82">
        <v>2023</v>
      </c>
      <c r="B82">
        <v>68.655500000000004</v>
      </c>
      <c r="C82">
        <v>70.544300000000007</v>
      </c>
      <c r="D82">
        <v>78.959100000000007</v>
      </c>
      <c r="E82">
        <v>104.6541</v>
      </c>
      <c r="F82">
        <v>168.52080000000001</v>
      </c>
      <c r="G82">
        <v>237.20310000000001</v>
      </c>
      <c r="H82">
        <v>280.5222</v>
      </c>
      <c r="I82">
        <v>307.57459999999998</v>
      </c>
      <c r="J82">
        <v>356</v>
      </c>
    </row>
    <row r="83" spans="1:10" x14ac:dyDescent="0.4">
      <c r="A83">
        <v>2024</v>
      </c>
      <c r="B83">
        <v>68.648700000000005</v>
      </c>
      <c r="C83">
        <v>70.662999999999997</v>
      </c>
      <c r="D83">
        <v>79.195599999999999</v>
      </c>
      <c r="E83">
        <v>105.0992</v>
      </c>
      <c r="F83">
        <v>168.57480000000001</v>
      </c>
      <c r="G83">
        <v>236.75620000000001</v>
      </c>
      <c r="H83">
        <v>280.38490000000002</v>
      </c>
      <c r="I83">
        <v>307.40499999999997</v>
      </c>
      <c r="J83">
        <v>359.67520000000002</v>
      </c>
    </row>
    <row r="84" spans="1:10" x14ac:dyDescent="0.4">
      <c r="A84">
        <v>2025</v>
      </c>
      <c r="B84">
        <v>68.664000000000001</v>
      </c>
      <c r="C84">
        <v>70.714500000000001</v>
      </c>
      <c r="D84">
        <v>79.006799999999998</v>
      </c>
      <c r="E84">
        <v>105.2225</v>
      </c>
      <c r="F84">
        <v>168.6337</v>
      </c>
      <c r="G84">
        <v>236.999</v>
      </c>
      <c r="H84">
        <v>280.87259999999998</v>
      </c>
      <c r="I84">
        <v>307.14760000000001</v>
      </c>
      <c r="J84">
        <v>345.19290000000001</v>
      </c>
    </row>
    <row r="85" spans="1:10" x14ac:dyDescent="0.4">
      <c r="A85">
        <v>2026</v>
      </c>
      <c r="B85">
        <v>68.654499999999999</v>
      </c>
      <c r="C85">
        <v>70.751800000000003</v>
      </c>
      <c r="D85">
        <v>78.997</v>
      </c>
      <c r="E85">
        <v>104.7022</v>
      </c>
      <c r="F85">
        <v>168.4863</v>
      </c>
      <c r="G85">
        <v>236.25800000000001</v>
      </c>
      <c r="H85">
        <v>280.83069999999998</v>
      </c>
      <c r="I85">
        <v>307.4307</v>
      </c>
      <c r="J85">
        <v>336.60300000000001</v>
      </c>
    </row>
    <row r="86" spans="1:10" x14ac:dyDescent="0.4">
      <c r="A86">
        <v>2027</v>
      </c>
      <c r="B86">
        <v>68.633300000000006</v>
      </c>
      <c r="C86">
        <v>70.503699999999995</v>
      </c>
      <c r="D86">
        <v>78.971800000000002</v>
      </c>
      <c r="E86">
        <v>104.7756</v>
      </c>
      <c r="F86">
        <v>168.51079999999999</v>
      </c>
      <c r="G86">
        <v>236.6086</v>
      </c>
      <c r="H86">
        <v>280.18689999999998</v>
      </c>
      <c r="I86">
        <v>307.15780000000001</v>
      </c>
      <c r="J86">
        <v>325.74220000000003</v>
      </c>
    </row>
    <row r="87" spans="1:10" x14ac:dyDescent="0.4">
      <c r="A87">
        <v>2028</v>
      </c>
      <c r="B87">
        <v>68.645399999999995</v>
      </c>
      <c r="C87">
        <v>70.829400000000007</v>
      </c>
      <c r="D87">
        <v>79.066100000000006</v>
      </c>
      <c r="E87">
        <v>105.12609999999999</v>
      </c>
      <c r="F87">
        <v>168.4984</v>
      </c>
      <c r="G87">
        <v>236.88220000000001</v>
      </c>
      <c r="H87">
        <v>280.16860000000003</v>
      </c>
      <c r="I87">
        <v>307.1053</v>
      </c>
      <c r="J87">
        <v>327.0942</v>
      </c>
    </row>
    <row r="88" spans="1:10" x14ac:dyDescent="0.4">
      <c r="A88">
        <v>2029</v>
      </c>
      <c r="B88">
        <v>68.652600000000007</v>
      </c>
      <c r="C88">
        <v>70.702699999999993</v>
      </c>
      <c r="D88">
        <v>79.155100000000004</v>
      </c>
      <c r="E88">
        <v>104.8861</v>
      </c>
      <c r="F88">
        <v>168.56890000000001</v>
      </c>
      <c r="G88">
        <v>236.977</v>
      </c>
      <c r="H88">
        <v>280.1302</v>
      </c>
      <c r="I88">
        <v>306.78629999999998</v>
      </c>
      <c r="J88">
        <v>325.68340000000001</v>
      </c>
    </row>
    <row r="89" spans="1:10" x14ac:dyDescent="0.4">
      <c r="A89">
        <v>2030</v>
      </c>
      <c r="B89">
        <v>68.649699999999996</v>
      </c>
      <c r="C89">
        <v>70.642799999999994</v>
      </c>
      <c r="D89">
        <v>78.970600000000005</v>
      </c>
      <c r="E89">
        <v>104.7593</v>
      </c>
      <c r="F89">
        <v>168.5864</v>
      </c>
      <c r="G89">
        <v>237.08160000000001</v>
      </c>
      <c r="H89">
        <v>280.3057</v>
      </c>
      <c r="I89">
        <v>306.96449999999999</v>
      </c>
      <c r="J89">
        <v>340.61610000000002</v>
      </c>
    </row>
    <row r="90" spans="1:10" x14ac:dyDescent="0.4">
      <c r="A90">
        <v>2031</v>
      </c>
      <c r="B90">
        <v>68.64</v>
      </c>
      <c r="C90">
        <v>70.543800000000005</v>
      </c>
      <c r="D90">
        <v>79.111599999999996</v>
      </c>
      <c r="E90">
        <v>105.2379</v>
      </c>
      <c r="F90">
        <v>168.6345</v>
      </c>
      <c r="G90">
        <v>236.9599</v>
      </c>
      <c r="H90">
        <v>280.34449999999998</v>
      </c>
      <c r="I90">
        <v>307.16120000000001</v>
      </c>
      <c r="J90">
        <v>330.17509999999999</v>
      </c>
    </row>
    <row r="91" spans="1:10" x14ac:dyDescent="0.4">
      <c r="A91">
        <v>2032</v>
      </c>
      <c r="B91">
        <v>68.649100000000004</v>
      </c>
      <c r="C91">
        <v>70.7667</v>
      </c>
      <c r="D91">
        <v>79.116200000000006</v>
      </c>
      <c r="E91">
        <v>104.8292</v>
      </c>
      <c r="F91">
        <v>168.4846</v>
      </c>
      <c r="G91">
        <v>236.8434</v>
      </c>
      <c r="H91">
        <v>278.91239999999999</v>
      </c>
      <c r="I91">
        <v>306.82</v>
      </c>
      <c r="J91">
        <v>329.6995</v>
      </c>
    </row>
    <row r="92" spans="1:10" x14ac:dyDescent="0.4">
      <c r="A92">
        <v>2033</v>
      </c>
      <c r="B92">
        <v>68.645300000000006</v>
      </c>
      <c r="C92">
        <v>70.684899999999999</v>
      </c>
      <c r="D92">
        <v>78.945499999999996</v>
      </c>
      <c r="E92">
        <v>104.783</v>
      </c>
      <c r="F92">
        <v>168.53219999999999</v>
      </c>
      <c r="G92">
        <v>236.87110000000001</v>
      </c>
      <c r="H92">
        <v>280.63479999999998</v>
      </c>
      <c r="I92">
        <v>307.65570000000002</v>
      </c>
      <c r="J92">
        <v>340.90789999999998</v>
      </c>
    </row>
    <row r="93" spans="1:10" x14ac:dyDescent="0.4">
      <c r="A93">
        <v>2034</v>
      </c>
      <c r="B93">
        <v>68.655699999999996</v>
      </c>
      <c r="C93">
        <v>70.656899999999993</v>
      </c>
      <c r="D93">
        <v>78.991900000000001</v>
      </c>
      <c r="E93">
        <v>104.73869999999999</v>
      </c>
      <c r="F93">
        <v>168.49359999999999</v>
      </c>
      <c r="G93">
        <v>236.47219999999999</v>
      </c>
      <c r="H93">
        <v>279.61750000000001</v>
      </c>
      <c r="I93">
        <v>306.89030000000002</v>
      </c>
      <c r="J93">
        <v>331.5283</v>
      </c>
    </row>
    <row r="95" spans="1:10" x14ac:dyDescent="0.4">
      <c r="A95" t="s">
        <v>10</v>
      </c>
      <c r="B95" t="s">
        <v>3</v>
      </c>
      <c r="C95" t="s">
        <v>6</v>
      </c>
      <c r="D95" t="s">
        <v>36</v>
      </c>
      <c r="E95">
        <v>1000</v>
      </c>
      <c r="F95" t="s">
        <v>35</v>
      </c>
    </row>
    <row r="97" spans="1:3" x14ac:dyDescent="0.4">
      <c r="A97" t="s">
        <v>22</v>
      </c>
      <c r="B97" t="s">
        <v>34</v>
      </c>
      <c r="C97" t="s">
        <v>33</v>
      </c>
    </row>
    <row r="98" spans="1:3" x14ac:dyDescent="0.4">
      <c r="A98">
        <v>2021</v>
      </c>
      <c r="B98">
        <v>2.7357</v>
      </c>
      <c r="C98">
        <v>0.62749999999999995</v>
      </c>
    </row>
    <row r="99" spans="1:3" x14ac:dyDescent="0.4">
      <c r="A99">
        <v>2022</v>
      </c>
      <c r="B99">
        <v>4.0549999999999997</v>
      </c>
      <c r="C99">
        <v>0.86280000000000001</v>
      </c>
    </row>
    <row r="100" spans="1:3" x14ac:dyDescent="0.4">
      <c r="A100">
        <v>2023</v>
      </c>
      <c r="B100">
        <v>5.6536</v>
      </c>
      <c r="C100">
        <v>1.4241999999999999</v>
      </c>
    </row>
    <row r="101" spans="1:3" x14ac:dyDescent="0.4">
      <c r="A101">
        <v>2024</v>
      </c>
      <c r="B101">
        <v>5.8757999999999999</v>
      </c>
      <c r="C101">
        <v>1.7339</v>
      </c>
    </row>
    <row r="102" spans="1:3" x14ac:dyDescent="0.4">
      <c r="A102">
        <v>2025</v>
      </c>
      <c r="B102">
        <v>5.2290000000000001</v>
      </c>
      <c r="C102">
        <v>1.9088000000000001</v>
      </c>
    </row>
    <row r="103" spans="1:3" x14ac:dyDescent="0.4">
      <c r="A103">
        <v>2026</v>
      </c>
      <c r="B103">
        <v>4.2984</v>
      </c>
      <c r="C103">
        <v>1.9792000000000001</v>
      </c>
    </row>
    <row r="104" spans="1:3" x14ac:dyDescent="0.4">
      <c r="A104">
        <v>2027</v>
      </c>
      <c r="B104">
        <v>3.8963999999999999</v>
      </c>
      <c r="C104">
        <v>2.0062000000000002</v>
      </c>
    </row>
    <row r="105" spans="1:3" x14ac:dyDescent="0.4">
      <c r="A105">
        <v>2028</v>
      </c>
      <c r="B105">
        <v>3.9569999999999999</v>
      </c>
      <c r="C105">
        <v>2.0510999999999999</v>
      </c>
    </row>
    <row r="106" spans="1:3" x14ac:dyDescent="0.4">
      <c r="A106">
        <v>2029</v>
      </c>
      <c r="B106">
        <v>4.1094999999999997</v>
      </c>
      <c r="C106">
        <v>2.0840000000000001</v>
      </c>
    </row>
    <row r="107" spans="1:3" x14ac:dyDescent="0.4">
      <c r="A107">
        <v>2030</v>
      </c>
      <c r="B107">
        <v>4.2290000000000001</v>
      </c>
      <c r="C107">
        <v>2.1053999999999999</v>
      </c>
    </row>
    <row r="108" spans="1:3" x14ac:dyDescent="0.4">
      <c r="A108">
        <v>2031</v>
      </c>
      <c r="B108">
        <v>4.3232999999999997</v>
      </c>
      <c r="C108">
        <v>2.1212</v>
      </c>
    </row>
    <row r="109" spans="1:3" x14ac:dyDescent="0.4">
      <c r="A109">
        <v>2032</v>
      </c>
      <c r="B109">
        <v>4.3966000000000003</v>
      </c>
      <c r="C109">
        <v>2.1278000000000001</v>
      </c>
    </row>
    <row r="110" spans="1:3" x14ac:dyDescent="0.4">
      <c r="A110">
        <v>2033</v>
      </c>
      <c r="B110">
        <v>4.4574999999999996</v>
      </c>
      <c r="C110">
        <v>2.1431</v>
      </c>
    </row>
    <row r="111" spans="1:3" x14ac:dyDescent="0.4">
      <c r="A111">
        <v>2034</v>
      </c>
      <c r="B111">
        <v>4.5045999999999999</v>
      </c>
      <c r="C111">
        <v>2.1539999999999999</v>
      </c>
    </row>
    <row r="113" spans="1:20" x14ac:dyDescent="0.4">
      <c r="A113" t="s">
        <v>10</v>
      </c>
      <c r="B113" t="s">
        <v>3</v>
      </c>
      <c r="C113" t="s">
        <v>6</v>
      </c>
      <c r="D113" t="s">
        <v>32</v>
      </c>
    </row>
    <row r="115" spans="1:20" x14ac:dyDescent="0.4">
      <c r="A115" t="s">
        <v>22</v>
      </c>
      <c r="B115" s="2">
        <v>0.01</v>
      </c>
      <c r="C115" s="2">
        <v>0.05</v>
      </c>
      <c r="D115" s="2">
        <v>0.1</v>
      </c>
      <c r="E115" s="2">
        <v>0.25</v>
      </c>
      <c r="F115" s="2">
        <v>0.5</v>
      </c>
      <c r="G115" s="2">
        <v>0.75</v>
      </c>
      <c r="H115" s="2">
        <v>0.9</v>
      </c>
      <c r="I115" s="2">
        <v>0.95</v>
      </c>
      <c r="J115" s="2">
        <v>0.99</v>
      </c>
      <c r="L115" s="2">
        <v>0.01</v>
      </c>
      <c r="M115" s="2">
        <v>0.05</v>
      </c>
      <c r="N115" s="2">
        <v>0.1</v>
      </c>
      <c r="O115" s="2">
        <v>0.25</v>
      </c>
      <c r="P115" s="2">
        <v>0.5</v>
      </c>
      <c r="Q115" s="2">
        <v>0.75</v>
      </c>
      <c r="R115" s="2">
        <v>0.9</v>
      </c>
      <c r="S115" s="2">
        <v>0.95</v>
      </c>
      <c r="T115" s="2">
        <v>0.99</v>
      </c>
    </row>
    <row r="116" spans="1:20" x14ac:dyDescent="0.4">
      <c r="A116">
        <v>2021</v>
      </c>
      <c r="B116">
        <v>1.6041000000000001</v>
      </c>
      <c r="C116">
        <v>1.9774</v>
      </c>
      <c r="D116">
        <v>2.1164999999999998</v>
      </c>
      <c r="E116">
        <v>2.3317999999999999</v>
      </c>
      <c r="F116">
        <v>2.6396999999999999</v>
      </c>
      <c r="G116">
        <v>3.0213999999999999</v>
      </c>
      <c r="H116">
        <v>3.4207999999999998</v>
      </c>
      <c r="I116">
        <v>3.726</v>
      </c>
      <c r="J116">
        <v>5.3898000000000001</v>
      </c>
      <c r="L116">
        <f>B116*1000</f>
        <v>1604.1000000000001</v>
      </c>
      <c r="M116">
        <f t="shared" ref="M116:T129" si="0">C116*1000</f>
        <v>1977.4</v>
      </c>
      <c r="N116">
        <f t="shared" si="0"/>
        <v>2116.5</v>
      </c>
      <c r="O116">
        <f t="shared" si="0"/>
        <v>2331.7999999999997</v>
      </c>
      <c r="P116">
        <f t="shared" si="0"/>
        <v>2639.7</v>
      </c>
      <c r="Q116">
        <f t="shared" si="0"/>
        <v>3021.3999999999996</v>
      </c>
      <c r="R116">
        <f t="shared" si="0"/>
        <v>3420.7999999999997</v>
      </c>
      <c r="S116">
        <f t="shared" si="0"/>
        <v>3726</v>
      </c>
      <c r="T116">
        <f t="shared" si="0"/>
        <v>5389.8</v>
      </c>
    </row>
    <row r="117" spans="1:20" x14ac:dyDescent="0.4">
      <c r="A117">
        <v>2022</v>
      </c>
      <c r="B117">
        <v>2.3115999999999999</v>
      </c>
      <c r="C117">
        <v>2.8064</v>
      </c>
      <c r="D117">
        <v>3.0333999999999999</v>
      </c>
      <c r="E117">
        <v>3.4771000000000001</v>
      </c>
      <c r="F117">
        <v>3.9752999999999998</v>
      </c>
      <c r="G117">
        <v>4.5164</v>
      </c>
      <c r="H117">
        <v>5.1935000000000002</v>
      </c>
      <c r="I117">
        <v>5.6292999999999997</v>
      </c>
      <c r="J117">
        <v>6.6085000000000003</v>
      </c>
      <c r="L117">
        <f t="shared" ref="L117:L129" si="1">B117*1000</f>
        <v>2311.6</v>
      </c>
      <c r="M117">
        <f t="shared" si="0"/>
        <v>2806.4</v>
      </c>
      <c r="N117">
        <f t="shared" si="0"/>
        <v>3033.4</v>
      </c>
      <c r="O117">
        <f t="shared" si="0"/>
        <v>3477.1</v>
      </c>
      <c r="P117">
        <f t="shared" si="0"/>
        <v>3975.2999999999997</v>
      </c>
      <c r="Q117">
        <f t="shared" si="0"/>
        <v>4516.3999999999996</v>
      </c>
      <c r="R117">
        <f t="shared" si="0"/>
        <v>5193.5</v>
      </c>
      <c r="S117">
        <f t="shared" si="0"/>
        <v>5629.3</v>
      </c>
      <c r="T117">
        <f t="shared" si="0"/>
        <v>6608.5</v>
      </c>
    </row>
    <row r="118" spans="1:20" x14ac:dyDescent="0.4">
      <c r="A118">
        <v>2023</v>
      </c>
      <c r="B118">
        <v>3.0304000000000002</v>
      </c>
      <c r="C118">
        <v>3.5836000000000001</v>
      </c>
      <c r="D118">
        <v>3.9346000000000001</v>
      </c>
      <c r="E118">
        <v>4.6185999999999998</v>
      </c>
      <c r="F118">
        <v>5.5263</v>
      </c>
      <c r="G118">
        <v>6.4863</v>
      </c>
      <c r="H118">
        <v>7.5841000000000003</v>
      </c>
      <c r="I118">
        <v>8.2996999999999996</v>
      </c>
      <c r="J118">
        <v>9.5646000000000004</v>
      </c>
      <c r="L118">
        <f t="shared" si="1"/>
        <v>3030.4</v>
      </c>
      <c r="M118">
        <f t="shared" si="0"/>
        <v>3583.6</v>
      </c>
      <c r="N118">
        <f t="shared" si="0"/>
        <v>3934.6</v>
      </c>
      <c r="O118">
        <f t="shared" si="0"/>
        <v>4618.5999999999995</v>
      </c>
      <c r="P118">
        <f t="shared" si="0"/>
        <v>5526.3</v>
      </c>
      <c r="Q118">
        <f t="shared" si="0"/>
        <v>6486.3</v>
      </c>
      <c r="R118">
        <f t="shared" si="0"/>
        <v>7584.1</v>
      </c>
      <c r="S118">
        <f t="shared" si="0"/>
        <v>8299.6999999999989</v>
      </c>
      <c r="T118">
        <f t="shared" si="0"/>
        <v>9564.6</v>
      </c>
    </row>
    <row r="119" spans="1:20" x14ac:dyDescent="0.4">
      <c r="A119">
        <v>2024</v>
      </c>
      <c r="B119">
        <v>2.6271</v>
      </c>
      <c r="C119">
        <v>3.3302</v>
      </c>
      <c r="D119">
        <v>3.7818999999999998</v>
      </c>
      <c r="E119">
        <v>4.6333000000000002</v>
      </c>
      <c r="F119">
        <v>5.7221000000000002</v>
      </c>
      <c r="G119">
        <v>6.9484000000000004</v>
      </c>
      <c r="H119">
        <v>8.1402999999999999</v>
      </c>
      <c r="I119">
        <v>8.9174000000000007</v>
      </c>
      <c r="J119">
        <v>10.544</v>
      </c>
      <c r="L119">
        <f t="shared" si="1"/>
        <v>2627.1</v>
      </c>
      <c r="M119">
        <f t="shared" si="0"/>
        <v>3330.2000000000003</v>
      </c>
      <c r="N119">
        <f t="shared" si="0"/>
        <v>3781.8999999999996</v>
      </c>
      <c r="O119">
        <f t="shared" si="0"/>
        <v>4633.3</v>
      </c>
      <c r="P119">
        <f t="shared" si="0"/>
        <v>5722.1</v>
      </c>
      <c r="Q119">
        <f t="shared" si="0"/>
        <v>6948.4000000000005</v>
      </c>
      <c r="R119">
        <f t="shared" si="0"/>
        <v>8140.3</v>
      </c>
      <c r="S119">
        <f t="shared" si="0"/>
        <v>8917.4000000000015</v>
      </c>
      <c r="T119">
        <f t="shared" si="0"/>
        <v>10544</v>
      </c>
    </row>
    <row r="120" spans="1:20" x14ac:dyDescent="0.4">
      <c r="A120">
        <v>2025</v>
      </c>
      <c r="B120">
        <v>1.6328</v>
      </c>
      <c r="C120">
        <v>2.4354</v>
      </c>
      <c r="D120">
        <v>2.9333</v>
      </c>
      <c r="E120">
        <v>3.8715999999999999</v>
      </c>
      <c r="F120">
        <v>5.0739999999999998</v>
      </c>
      <c r="G120">
        <v>6.3975</v>
      </c>
      <c r="H120">
        <v>7.6790000000000003</v>
      </c>
      <c r="I120">
        <v>8.5162999999999993</v>
      </c>
      <c r="J120">
        <v>10.395300000000001</v>
      </c>
      <c r="L120">
        <f t="shared" si="1"/>
        <v>1632.8</v>
      </c>
      <c r="M120">
        <f t="shared" si="0"/>
        <v>2435.4</v>
      </c>
      <c r="N120">
        <f t="shared" si="0"/>
        <v>2933.3</v>
      </c>
      <c r="O120">
        <f t="shared" si="0"/>
        <v>3871.6</v>
      </c>
      <c r="P120">
        <f t="shared" si="0"/>
        <v>5074</v>
      </c>
      <c r="Q120">
        <f t="shared" si="0"/>
        <v>6397.5</v>
      </c>
      <c r="R120">
        <f t="shared" si="0"/>
        <v>7679</v>
      </c>
      <c r="S120">
        <f t="shared" si="0"/>
        <v>8516.2999999999993</v>
      </c>
      <c r="T120">
        <f t="shared" si="0"/>
        <v>10395.300000000001</v>
      </c>
    </row>
    <row r="121" spans="1:20" x14ac:dyDescent="0.4">
      <c r="A121">
        <v>2026</v>
      </c>
      <c r="B121">
        <v>0.70299999999999996</v>
      </c>
      <c r="C121">
        <v>1.4483999999999999</v>
      </c>
      <c r="D121">
        <v>1.9390000000000001</v>
      </c>
      <c r="E121">
        <v>2.8902000000000001</v>
      </c>
      <c r="F121">
        <v>4.1208</v>
      </c>
      <c r="G121">
        <v>5.4701000000000004</v>
      </c>
      <c r="H121">
        <v>6.8162000000000003</v>
      </c>
      <c r="I121">
        <v>7.6920999999999999</v>
      </c>
      <c r="J121">
        <v>9.798</v>
      </c>
      <c r="L121">
        <f t="shared" si="1"/>
        <v>703</v>
      </c>
      <c r="M121">
        <f t="shared" si="0"/>
        <v>1448.3999999999999</v>
      </c>
      <c r="N121">
        <f t="shared" si="0"/>
        <v>1939</v>
      </c>
      <c r="O121">
        <f t="shared" si="0"/>
        <v>2890.2000000000003</v>
      </c>
      <c r="P121">
        <f t="shared" si="0"/>
        <v>4120.8</v>
      </c>
      <c r="Q121">
        <f t="shared" si="0"/>
        <v>5470.1</v>
      </c>
      <c r="R121">
        <f t="shared" si="0"/>
        <v>6816.2</v>
      </c>
      <c r="S121">
        <f t="shared" si="0"/>
        <v>7692.1</v>
      </c>
      <c r="T121">
        <f t="shared" si="0"/>
        <v>9798</v>
      </c>
    </row>
    <row r="122" spans="1:20" x14ac:dyDescent="0.4">
      <c r="A122">
        <v>2027</v>
      </c>
      <c r="B122">
        <v>0.40200000000000002</v>
      </c>
      <c r="C122">
        <v>1.0678000000000001</v>
      </c>
      <c r="D122">
        <v>1.5242</v>
      </c>
      <c r="E122">
        <v>2.4740000000000002</v>
      </c>
      <c r="F122">
        <v>3.6894999999999998</v>
      </c>
      <c r="G122">
        <v>5.0648</v>
      </c>
      <c r="H122">
        <v>6.4490999999999996</v>
      </c>
      <c r="I122">
        <v>7.3593000000000002</v>
      </c>
      <c r="J122">
        <v>9.5863999999999994</v>
      </c>
      <c r="L122">
        <f t="shared" si="1"/>
        <v>402</v>
      </c>
      <c r="M122">
        <f t="shared" si="0"/>
        <v>1067.8000000000002</v>
      </c>
      <c r="N122">
        <f t="shared" si="0"/>
        <v>1524.2</v>
      </c>
      <c r="O122">
        <f t="shared" si="0"/>
        <v>2474</v>
      </c>
      <c r="P122">
        <f t="shared" si="0"/>
        <v>3689.5</v>
      </c>
      <c r="Q122">
        <f t="shared" si="0"/>
        <v>5064.8</v>
      </c>
      <c r="R122">
        <f t="shared" si="0"/>
        <v>6449.0999999999995</v>
      </c>
      <c r="S122">
        <f t="shared" si="0"/>
        <v>7359.3</v>
      </c>
      <c r="T122">
        <f t="shared" si="0"/>
        <v>9586.4</v>
      </c>
    </row>
    <row r="123" spans="1:20" x14ac:dyDescent="0.4">
      <c r="A123">
        <v>2028</v>
      </c>
      <c r="B123">
        <v>0.4012</v>
      </c>
      <c r="C123">
        <v>1.0742</v>
      </c>
      <c r="D123">
        <v>1.552</v>
      </c>
      <c r="E123">
        <v>2.5070999999999999</v>
      </c>
      <c r="F123">
        <v>3.7425999999999999</v>
      </c>
      <c r="G123">
        <v>5.1391999999999998</v>
      </c>
      <c r="H123">
        <v>6.5557999999999996</v>
      </c>
      <c r="I123">
        <v>7.4927000000000001</v>
      </c>
      <c r="J123">
        <v>9.7731999999999992</v>
      </c>
      <c r="L123">
        <f t="shared" si="1"/>
        <v>401.2</v>
      </c>
      <c r="M123">
        <f t="shared" si="0"/>
        <v>1074.2</v>
      </c>
      <c r="N123">
        <f t="shared" si="0"/>
        <v>1552</v>
      </c>
      <c r="O123">
        <f t="shared" si="0"/>
        <v>2507.1</v>
      </c>
      <c r="P123">
        <f t="shared" si="0"/>
        <v>3742.6</v>
      </c>
      <c r="Q123">
        <f t="shared" si="0"/>
        <v>5139.2</v>
      </c>
      <c r="R123">
        <f t="shared" si="0"/>
        <v>6555.7999999999993</v>
      </c>
      <c r="S123">
        <f t="shared" si="0"/>
        <v>7492.7</v>
      </c>
      <c r="T123">
        <f t="shared" si="0"/>
        <v>9773.1999999999989</v>
      </c>
    </row>
    <row r="124" spans="1:20" x14ac:dyDescent="0.4">
      <c r="A124">
        <v>2029</v>
      </c>
      <c r="B124">
        <v>0.44579999999999997</v>
      </c>
      <c r="C124">
        <v>1.167</v>
      </c>
      <c r="D124">
        <v>1.663</v>
      </c>
      <c r="E124">
        <v>2.6288</v>
      </c>
      <c r="F124">
        <v>3.8938000000000001</v>
      </c>
      <c r="G124">
        <v>5.3234000000000004</v>
      </c>
      <c r="H124">
        <v>6.7591999999999999</v>
      </c>
      <c r="I124">
        <v>7.7077999999999998</v>
      </c>
      <c r="J124">
        <v>10.0006</v>
      </c>
      <c r="L124">
        <f t="shared" si="1"/>
        <v>445.79999999999995</v>
      </c>
      <c r="M124">
        <f t="shared" si="0"/>
        <v>1167</v>
      </c>
      <c r="N124">
        <f t="shared" si="0"/>
        <v>1663</v>
      </c>
      <c r="O124">
        <f t="shared" si="0"/>
        <v>2628.8</v>
      </c>
      <c r="P124">
        <f t="shared" si="0"/>
        <v>3893.8</v>
      </c>
      <c r="Q124">
        <f t="shared" si="0"/>
        <v>5323.4000000000005</v>
      </c>
      <c r="R124">
        <f t="shared" si="0"/>
        <v>6759.2</v>
      </c>
      <c r="S124">
        <f t="shared" si="0"/>
        <v>7707.8</v>
      </c>
      <c r="T124">
        <f t="shared" si="0"/>
        <v>10000.6</v>
      </c>
    </row>
    <row r="125" spans="1:20" x14ac:dyDescent="0.4">
      <c r="A125">
        <v>2030</v>
      </c>
      <c r="B125">
        <v>0.4577</v>
      </c>
      <c r="C125">
        <v>1.2343</v>
      </c>
      <c r="D125">
        <v>1.7487999999999999</v>
      </c>
      <c r="E125">
        <v>2.7425999999999999</v>
      </c>
      <c r="F125">
        <v>4.0209999999999999</v>
      </c>
      <c r="G125">
        <v>5.4565999999999999</v>
      </c>
      <c r="H125">
        <v>6.9053000000000004</v>
      </c>
      <c r="I125">
        <v>7.8783000000000003</v>
      </c>
      <c r="J125">
        <v>10.1492</v>
      </c>
      <c r="L125">
        <f t="shared" si="1"/>
        <v>457.7</v>
      </c>
      <c r="M125">
        <f t="shared" si="0"/>
        <v>1234.3</v>
      </c>
      <c r="N125">
        <f t="shared" si="0"/>
        <v>1748.8</v>
      </c>
      <c r="O125">
        <f t="shared" si="0"/>
        <v>2742.6</v>
      </c>
      <c r="P125">
        <f t="shared" si="0"/>
        <v>4021</v>
      </c>
      <c r="Q125">
        <f t="shared" si="0"/>
        <v>5456.5999999999995</v>
      </c>
      <c r="R125">
        <f t="shared" si="0"/>
        <v>6905.3</v>
      </c>
      <c r="S125">
        <f t="shared" si="0"/>
        <v>7878.3</v>
      </c>
      <c r="T125">
        <f t="shared" si="0"/>
        <v>10149.200000000001</v>
      </c>
    </row>
    <row r="126" spans="1:20" x14ac:dyDescent="0.4">
      <c r="A126">
        <v>2031</v>
      </c>
      <c r="B126">
        <v>0.4859</v>
      </c>
      <c r="C126">
        <v>1.2923</v>
      </c>
      <c r="D126">
        <v>1.8198000000000001</v>
      </c>
      <c r="E126">
        <v>2.8294999999999999</v>
      </c>
      <c r="F126">
        <v>4.1077000000000004</v>
      </c>
      <c r="G126">
        <v>5.5693999999999999</v>
      </c>
      <c r="H126">
        <v>7.0145999999999997</v>
      </c>
      <c r="I126">
        <v>7.9747000000000003</v>
      </c>
      <c r="J126">
        <v>10.296900000000001</v>
      </c>
      <c r="L126">
        <f t="shared" si="1"/>
        <v>485.9</v>
      </c>
      <c r="M126">
        <f t="shared" si="0"/>
        <v>1292.3</v>
      </c>
      <c r="N126">
        <f t="shared" si="0"/>
        <v>1819.8000000000002</v>
      </c>
      <c r="O126">
        <f t="shared" si="0"/>
        <v>2829.5</v>
      </c>
      <c r="P126">
        <f t="shared" si="0"/>
        <v>4107.7000000000007</v>
      </c>
      <c r="Q126">
        <f t="shared" si="0"/>
        <v>5569.4</v>
      </c>
      <c r="R126">
        <f t="shared" si="0"/>
        <v>7014.5999999999995</v>
      </c>
      <c r="S126">
        <f t="shared" si="0"/>
        <v>7974.7000000000007</v>
      </c>
      <c r="T126">
        <f t="shared" si="0"/>
        <v>10296.900000000001</v>
      </c>
    </row>
    <row r="127" spans="1:20" x14ac:dyDescent="0.4">
      <c r="A127">
        <v>2032</v>
      </c>
      <c r="B127">
        <v>0.51259999999999994</v>
      </c>
      <c r="C127">
        <v>1.3281000000000001</v>
      </c>
      <c r="D127">
        <v>1.8734</v>
      </c>
      <c r="E127">
        <v>2.8891</v>
      </c>
      <c r="F127">
        <v>4.1952999999999996</v>
      </c>
      <c r="G127">
        <v>5.6510999999999996</v>
      </c>
      <c r="H127">
        <v>7.1014999999999997</v>
      </c>
      <c r="I127">
        <v>8.0426000000000002</v>
      </c>
      <c r="J127">
        <v>10.379799999999999</v>
      </c>
      <c r="L127">
        <f t="shared" si="1"/>
        <v>512.59999999999991</v>
      </c>
      <c r="M127">
        <f t="shared" si="0"/>
        <v>1328.1000000000001</v>
      </c>
      <c r="N127">
        <f t="shared" si="0"/>
        <v>1873.3999999999999</v>
      </c>
      <c r="O127">
        <f t="shared" si="0"/>
        <v>2889.1</v>
      </c>
      <c r="P127">
        <f t="shared" si="0"/>
        <v>4195.2999999999993</v>
      </c>
      <c r="Q127">
        <f t="shared" si="0"/>
        <v>5651.0999999999995</v>
      </c>
      <c r="R127">
        <f t="shared" si="0"/>
        <v>7101.5</v>
      </c>
      <c r="S127">
        <f t="shared" si="0"/>
        <v>8042.6</v>
      </c>
      <c r="T127">
        <f t="shared" si="0"/>
        <v>10379.799999999999</v>
      </c>
    </row>
    <row r="128" spans="1:20" x14ac:dyDescent="0.4">
      <c r="A128">
        <v>2033</v>
      </c>
      <c r="B128">
        <v>0.53590000000000004</v>
      </c>
      <c r="C128">
        <v>1.3735999999999999</v>
      </c>
      <c r="D128">
        <v>1.9119999999999999</v>
      </c>
      <c r="E128">
        <v>2.95</v>
      </c>
      <c r="F128">
        <v>4.2575000000000003</v>
      </c>
      <c r="G128">
        <v>5.7187000000000001</v>
      </c>
      <c r="H128">
        <v>7.1849999999999996</v>
      </c>
      <c r="I128">
        <v>8.1397999999999993</v>
      </c>
      <c r="J128">
        <v>10.438499999999999</v>
      </c>
      <c r="L128">
        <f t="shared" si="1"/>
        <v>535.90000000000009</v>
      </c>
      <c r="M128">
        <f t="shared" si="0"/>
        <v>1373.6</v>
      </c>
      <c r="N128">
        <f t="shared" si="0"/>
        <v>1912</v>
      </c>
      <c r="O128">
        <f t="shared" si="0"/>
        <v>2950</v>
      </c>
      <c r="P128">
        <f t="shared" si="0"/>
        <v>4257.5</v>
      </c>
      <c r="Q128">
        <f t="shared" si="0"/>
        <v>5718.7</v>
      </c>
      <c r="R128">
        <f t="shared" si="0"/>
        <v>7185</v>
      </c>
      <c r="S128">
        <f t="shared" si="0"/>
        <v>8139.7999999999993</v>
      </c>
      <c r="T128">
        <f t="shared" si="0"/>
        <v>10438.5</v>
      </c>
    </row>
    <row r="129" spans="1:20" x14ac:dyDescent="0.4">
      <c r="A129">
        <v>2034</v>
      </c>
      <c r="B129">
        <v>0.55359999999999998</v>
      </c>
      <c r="C129">
        <v>1.4059999999999999</v>
      </c>
      <c r="D129">
        <v>1.9460999999999999</v>
      </c>
      <c r="E129">
        <v>2.9849000000000001</v>
      </c>
      <c r="F129">
        <v>4.3060999999999998</v>
      </c>
      <c r="G129">
        <v>5.7794999999999996</v>
      </c>
      <c r="H129">
        <v>7.2359999999999998</v>
      </c>
      <c r="I129">
        <v>8.1873000000000005</v>
      </c>
      <c r="J129">
        <v>10.516400000000001</v>
      </c>
      <c r="L129">
        <f t="shared" si="1"/>
        <v>553.6</v>
      </c>
      <c r="M129">
        <f t="shared" si="0"/>
        <v>1406</v>
      </c>
      <c r="N129">
        <f t="shared" si="0"/>
        <v>1946.1</v>
      </c>
      <c r="O129">
        <f t="shared" si="0"/>
        <v>2984.9</v>
      </c>
      <c r="P129">
        <f t="shared" si="0"/>
        <v>4306.0999999999995</v>
      </c>
      <c r="Q129">
        <f t="shared" si="0"/>
        <v>5779.5</v>
      </c>
      <c r="R129">
        <f t="shared" si="0"/>
        <v>7236</v>
      </c>
      <c r="S129">
        <f t="shared" si="0"/>
        <v>8187.3</v>
      </c>
      <c r="T129">
        <f t="shared" si="0"/>
        <v>10516.400000000001</v>
      </c>
    </row>
    <row r="131" spans="1:20" x14ac:dyDescent="0.4">
      <c r="A131" s="1">
        <v>45658</v>
      </c>
      <c r="B131" t="s">
        <v>3</v>
      </c>
      <c r="C131" t="s">
        <v>6</v>
      </c>
      <c r="D131" t="s">
        <v>36</v>
      </c>
      <c r="E131">
        <v>1000</v>
      </c>
      <c r="F131" t="s">
        <v>35</v>
      </c>
    </row>
    <row r="133" spans="1:20" x14ac:dyDescent="0.4">
      <c r="A133" t="s">
        <v>22</v>
      </c>
      <c r="B133" t="s">
        <v>34</v>
      </c>
      <c r="C133" t="s">
        <v>33</v>
      </c>
    </row>
    <row r="134" spans="1:20" x14ac:dyDescent="0.4">
      <c r="A134">
        <v>2021</v>
      </c>
      <c r="B134">
        <v>9.2942</v>
      </c>
      <c r="C134">
        <v>1.5952</v>
      </c>
    </row>
    <row r="135" spans="1:20" x14ac:dyDescent="0.4">
      <c r="A135">
        <v>2022</v>
      </c>
      <c r="B135">
        <v>10.623200000000001</v>
      </c>
      <c r="C135">
        <v>2.0482999999999998</v>
      </c>
    </row>
    <row r="136" spans="1:20" x14ac:dyDescent="0.4">
      <c r="A136">
        <v>2023</v>
      </c>
      <c r="B136">
        <v>11.5527</v>
      </c>
      <c r="C136">
        <v>2.4226000000000001</v>
      </c>
    </row>
    <row r="137" spans="1:20" x14ac:dyDescent="0.4">
      <c r="A137">
        <v>2024</v>
      </c>
      <c r="B137">
        <v>11.9923</v>
      </c>
      <c r="C137">
        <v>2.6901999999999999</v>
      </c>
    </row>
    <row r="138" spans="1:20" x14ac:dyDescent="0.4">
      <c r="A138">
        <v>2025</v>
      </c>
      <c r="B138">
        <v>11.787100000000001</v>
      </c>
      <c r="C138">
        <v>2.863</v>
      </c>
    </row>
    <row r="139" spans="1:20" x14ac:dyDescent="0.4">
      <c r="A139">
        <v>2026</v>
      </c>
      <c r="B139">
        <v>10.667400000000001</v>
      </c>
      <c r="C139">
        <v>2.9744000000000002</v>
      </c>
    </row>
    <row r="140" spans="1:20" x14ac:dyDescent="0.4">
      <c r="A140">
        <v>2027</v>
      </c>
      <c r="B140">
        <v>9.7410999999999994</v>
      </c>
      <c r="C140">
        <v>3.0276999999999998</v>
      </c>
    </row>
    <row r="141" spans="1:20" x14ac:dyDescent="0.4">
      <c r="A141">
        <v>2028</v>
      </c>
      <c r="B141">
        <v>9.6940000000000008</v>
      </c>
      <c r="C141">
        <v>3.0541999999999998</v>
      </c>
    </row>
    <row r="142" spans="1:20" x14ac:dyDescent="0.4">
      <c r="A142">
        <v>2029</v>
      </c>
      <c r="B142">
        <v>9.8653999999999993</v>
      </c>
      <c r="C142">
        <v>3.0859000000000001</v>
      </c>
    </row>
    <row r="143" spans="1:20" x14ac:dyDescent="0.4">
      <c r="A143">
        <v>2030</v>
      </c>
      <c r="B143">
        <v>10.01</v>
      </c>
      <c r="C143">
        <v>3.1076999999999999</v>
      </c>
    </row>
    <row r="144" spans="1:20" x14ac:dyDescent="0.4">
      <c r="A144">
        <v>2031</v>
      </c>
      <c r="B144">
        <v>10.1289</v>
      </c>
      <c r="C144">
        <v>3.1251000000000002</v>
      </c>
    </row>
    <row r="145" spans="1:10" x14ac:dyDescent="0.4">
      <c r="A145">
        <v>2032</v>
      </c>
      <c r="B145">
        <v>10.2257</v>
      </c>
      <c r="C145">
        <v>3.1419999999999999</v>
      </c>
    </row>
    <row r="146" spans="1:10" x14ac:dyDescent="0.4">
      <c r="A146">
        <v>2033</v>
      </c>
      <c r="B146">
        <v>10.295299999999999</v>
      </c>
      <c r="C146">
        <v>3.1566999999999998</v>
      </c>
    </row>
    <row r="147" spans="1:10" x14ac:dyDescent="0.4">
      <c r="A147">
        <v>2034</v>
      </c>
      <c r="B147">
        <v>10.349500000000001</v>
      </c>
      <c r="C147">
        <v>3.1669</v>
      </c>
    </row>
    <row r="149" spans="1:10" x14ac:dyDescent="0.4">
      <c r="A149" s="1">
        <v>45658</v>
      </c>
      <c r="B149" t="s">
        <v>3</v>
      </c>
      <c r="C149" t="s">
        <v>6</v>
      </c>
      <c r="D149" t="s">
        <v>32</v>
      </c>
    </row>
    <row r="151" spans="1:10" x14ac:dyDescent="0.4">
      <c r="A151" t="s">
        <v>22</v>
      </c>
      <c r="B151" s="2">
        <v>0.01</v>
      </c>
      <c r="C151" s="2">
        <v>0.05</v>
      </c>
      <c r="D151" s="2">
        <v>0.1</v>
      </c>
      <c r="E151" s="2">
        <v>0.25</v>
      </c>
      <c r="F151" s="2">
        <v>0.5</v>
      </c>
      <c r="G151" s="2">
        <v>0.75</v>
      </c>
      <c r="H151" s="2">
        <v>0.9</v>
      </c>
      <c r="I151" s="2">
        <v>0.95</v>
      </c>
      <c r="J151" s="2">
        <v>0.99</v>
      </c>
    </row>
    <row r="152" spans="1:10" x14ac:dyDescent="0.4">
      <c r="A152">
        <v>2021</v>
      </c>
      <c r="B152">
        <v>6.3209999999999997</v>
      </c>
      <c r="C152">
        <v>6.9539999999999997</v>
      </c>
      <c r="D152">
        <v>7.3727999999999998</v>
      </c>
      <c r="E152">
        <v>8.1599000000000004</v>
      </c>
      <c r="F152">
        <v>9.1678999999999995</v>
      </c>
      <c r="G152">
        <v>10.1332</v>
      </c>
      <c r="H152">
        <v>11.5464</v>
      </c>
      <c r="I152">
        <v>12.291600000000001</v>
      </c>
      <c r="J152">
        <v>13.714</v>
      </c>
    </row>
    <row r="153" spans="1:10" x14ac:dyDescent="0.4">
      <c r="A153">
        <v>2022</v>
      </c>
      <c r="B153">
        <v>6.7066999999999997</v>
      </c>
      <c r="C153">
        <v>7.5696000000000003</v>
      </c>
      <c r="D153">
        <v>8.1123999999999992</v>
      </c>
      <c r="E153">
        <v>9.1846999999999994</v>
      </c>
      <c r="F153">
        <v>10.444699999999999</v>
      </c>
      <c r="G153">
        <v>11.880800000000001</v>
      </c>
      <c r="H153">
        <v>13.297800000000001</v>
      </c>
      <c r="I153">
        <v>14.2491</v>
      </c>
      <c r="J153">
        <v>16.130199999999999</v>
      </c>
    </row>
    <row r="154" spans="1:10" x14ac:dyDescent="0.4">
      <c r="A154">
        <v>2023</v>
      </c>
      <c r="B154">
        <v>6.8583999999999996</v>
      </c>
      <c r="C154">
        <v>7.9363999999999999</v>
      </c>
      <c r="D154">
        <v>8.6089000000000002</v>
      </c>
      <c r="E154">
        <v>9.8454999999999995</v>
      </c>
      <c r="F154">
        <v>11.3751</v>
      </c>
      <c r="G154">
        <v>13.0342</v>
      </c>
      <c r="H154">
        <v>14.672599999999999</v>
      </c>
      <c r="I154">
        <v>15.7204</v>
      </c>
      <c r="J154">
        <v>18.016100000000002</v>
      </c>
    </row>
    <row r="155" spans="1:10" x14ac:dyDescent="0.4">
      <c r="A155">
        <v>2024</v>
      </c>
      <c r="B155">
        <v>6.7560000000000002</v>
      </c>
      <c r="C155">
        <v>7.9718999999999998</v>
      </c>
      <c r="D155">
        <v>8.7303999999999995</v>
      </c>
      <c r="E155">
        <v>10.104200000000001</v>
      </c>
      <c r="F155">
        <v>11.809799999999999</v>
      </c>
      <c r="G155">
        <v>13.6341</v>
      </c>
      <c r="H155">
        <v>15.408300000000001</v>
      </c>
      <c r="I155">
        <v>16.561199999999999</v>
      </c>
      <c r="J155">
        <v>19.222200000000001</v>
      </c>
    </row>
    <row r="156" spans="1:10" x14ac:dyDescent="0.4">
      <c r="A156">
        <v>2025</v>
      </c>
      <c r="B156">
        <v>6.1734</v>
      </c>
      <c r="C156">
        <v>7.5206</v>
      </c>
      <c r="D156">
        <v>8.3306000000000004</v>
      </c>
      <c r="E156">
        <v>9.7910000000000004</v>
      </c>
      <c r="F156">
        <v>11.595499999999999</v>
      </c>
      <c r="G156">
        <v>13.520799999999999</v>
      </c>
      <c r="H156">
        <v>15.424099999999999</v>
      </c>
      <c r="I156">
        <v>16.651800000000001</v>
      </c>
      <c r="J156">
        <v>19.508700000000001</v>
      </c>
    </row>
    <row r="157" spans="1:10" x14ac:dyDescent="0.4">
      <c r="A157">
        <v>2026</v>
      </c>
      <c r="B157">
        <v>4.8499999999999996</v>
      </c>
      <c r="C157">
        <v>6.2522000000000002</v>
      </c>
      <c r="D157">
        <v>7.0826000000000002</v>
      </c>
      <c r="E157">
        <v>8.6176999999999992</v>
      </c>
      <c r="F157">
        <v>10.460699999999999</v>
      </c>
      <c r="G157">
        <v>12.440300000000001</v>
      </c>
      <c r="H157">
        <v>14.411899999999999</v>
      </c>
      <c r="I157">
        <v>15.690799999999999</v>
      </c>
      <c r="J157">
        <v>18.7667</v>
      </c>
    </row>
    <row r="158" spans="1:10" x14ac:dyDescent="0.4">
      <c r="A158">
        <v>2027</v>
      </c>
      <c r="B158">
        <v>3.8351999999999999</v>
      </c>
      <c r="C158">
        <v>5.26</v>
      </c>
      <c r="D158">
        <v>6.1289999999999996</v>
      </c>
      <c r="E158">
        <v>7.6460999999999997</v>
      </c>
      <c r="F158">
        <v>9.5264000000000006</v>
      </c>
      <c r="G158">
        <v>11.5425</v>
      </c>
      <c r="H158">
        <v>13.540699999999999</v>
      </c>
      <c r="I158">
        <v>14.8507</v>
      </c>
      <c r="J158">
        <v>18.0502</v>
      </c>
    </row>
    <row r="159" spans="1:10" x14ac:dyDescent="0.4">
      <c r="A159">
        <v>2028</v>
      </c>
      <c r="B159">
        <v>3.7378999999999998</v>
      </c>
      <c r="C159">
        <v>5.1928000000000001</v>
      </c>
      <c r="D159">
        <v>6.0364000000000004</v>
      </c>
      <c r="E159">
        <v>7.5852000000000004</v>
      </c>
      <c r="F159">
        <v>9.4751999999999992</v>
      </c>
      <c r="G159">
        <v>11.510400000000001</v>
      </c>
      <c r="H159">
        <v>13.5418</v>
      </c>
      <c r="I159">
        <v>14.8825</v>
      </c>
      <c r="J159">
        <v>18.044599999999999</v>
      </c>
    </row>
    <row r="160" spans="1:10" x14ac:dyDescent="0.4">
      <c r="A160">
        <v>2029</v>
      </c>
      <c r="B160">
        <v>3.7542</v>
      </c>
      <c r="C160">
        <v>5.2971000000000004</v>
      </c>
      <c r="D160">
        <v>6.1841999999999997</v>
      </c>
      <c r="E160">
        <v>7.7477</v>
      </c>
      <c r="F160">
        <v>9.6455000000000002</v>
      </c>
      <c r="G160">
        <v>11.702999999999999</v>
      </c>
      <c r="H160">
        <v>13.7539</v>
      </c>
      <c r="I160">
        <v>15.1182</v>
      </c>
      <c r="J160">
        <v>18.2332</v>
      </c>
    </row>
    <row r="161" spans="1:10" x14ac:dyDescent="0.4">
      <c r="A161">
        <v>2030</v>
      </c>
      <c r="B161">
        <v>3.8218000000000001</v>
      </c>
      <c r="C161">
        <v>5.4080000000000004</v>
      </c>
      <c r="D161">
        <v>6.3068999999999997</v>
      </c>
      <c r="E161">
        <v>7.8875999999999999</v>
      </c>
      <c r="F161">
        <v>9.7847000000000008</v>
      </c>
      <c r="G161">
        <v>11.8668</v>
      </c>
      <c r="H161">
        <v>13.9171</v>
      </c>
      <c r="I161">
        <v>15.281700000000001</v>
      </c>
      <c r="J161">
        <v>18.4831</v>
      </c>
    </row>
    <row r="162" spans="1:10" x14ac:dyDescent="0.4">
      <c r="A162">
        <v>2031</v>
      </c>
      <c r="B162">
        <v>3.8795000000000002</v>
      </c>
      <c r="C162">
        <v>5.4974999999999996</v>
      </c>
      <c r="D162">
        <v>6.3888999999999996</v>
      </c>
      <c r="E162">
        <v>7.9897999999999998</v>
      </c>
      <c r="F162">
        <v>9.92</v>
      </c>
      <c r="G162">
        <v>11.9953</v>
      </c>
      <c r="H162">
        <v>14.054</v>
      </c>
      <c r="I162">
        <v>15.413399999999999</v>
      </c>
      <c r="J162">
        <v>18.674800000000001</v>
      </c>
    </row>
    <row r="163" spans="1:10" x14ac:dyDescent="0.4">
      <c r="A163">
        <v>2032</v>
      </c>
      <c r="B163">
        <v>3.9527999999999999</v>
      </c>
      <c r="C163">
        <v>5.5602999999999998</v>
      </c>
      <c r="D163">
        <v>6.4664000000000001</v>
      </c>
      <c r="E163">
        <v>8.0835000000000008</v>
      </c>
      <c r="F163">
        <v>10.0154</v>
      </c>
      <c r="G163">
        <v>12.111800000000001</v>
      </c>
      <c r="H163">
        <v>14.1777</v>
      </c>
      <c r="I163">
        <v>15.5259</v>
      </c>
      <c r="J163">
        <v>18.755199999999999</v>
      </c>
    </row>
    <row r="164" spans="1:10" x14ac:dyDescent="0.4">
      <c r="A164">
        <v>2033</v>
      </c>
      <c r="B164">
        <v>3.9657</v>
      </c>
      <c r="C164">
        <v>5.6269999999999998</v>
      </c>
      <c r="D164">
        <v>6.5273000000000003</v>
      </c>
      <c r="E164">
        <v>8.1417999999999999</v>
      </c>
      <c r="F164">
        <v>10.0931</v>
      </c>
      <c r="G164">
        <v>12.1866</v>
      </c>
      <c r="H164">
        <v>14.248799999999999</v>
      </c>
      <c r="I164">
        <v>15.612500000000001</v>
      </c>
      <c r="J164">
        <v>18.829599999999999</v>
      </c>
    </row>
    <row r="165" spans="1:10" x14ac:dyDescent="0.4">
      <c r="A165">
        <v>2034</v>
      </c>
      <c r="B165">
        <v>3.9845000000000002</v>
      </c>
      <c r="C165">
        <v>5.6468999999999996</v>
      </c>
      <c r="D165">
        <v>6.5762999999999998</v>
      </c>
      <c r="E165">
        <v>8.1925000000000008</v>
      </c>
      <c r="F165">
        <v>10.141400000000001</v>
      </c>
      <c r="G165">
        <v>12.257199999999999</v>
      </c>
      <c r="H165">
        <v>14.316000000000001</v>
      </c>
      <c r="I165">
        <v>15.679399999999999</v>
      </c>
      <c r="J165">
        <v>18.989599999999999</v>
      </c>
    </row>
    <row r="167" spans="1:10" x14ac:dyDescent="0.4">
      <c r="A167" t="s">
        <v>9</v>
      </c>
      <c r="B167" t="s">
        <v>6</v>
      </c>
      <c r="C167" t="s">
        <v>36</v>
      </c>
      <c r="D167">
        <v>1000</v>
      </c>
      <c r="E167" t="s">
        <v>35</v>
      </c>
    </row>
    <row r="169" spans="1:10" x14ac:dyDescent="0.4">
      <c r="A169" t="s">
        <v>22</v>
      </c>
      <c r="B169" t="s">
        <v>34</v>
      </c>
      <c r="C169" t="s">
        <v>33</v>
      </c>
    </row>
    <row r="170" spans="1:10" x14ac:dyDescent="0.4">
      <c r="A170">
        <v>2021</v>
      </c>
      <c r="B170">
        <v>9.0599000000000007</v>
      </c>
      <c r="C170">
        <v>1.6991000000000001</v>
      </c>
    </row>
    <row r="171" spans="1:10" x14ac:dyDescent="0.4">
      <c r="A171">
        <v>2022</v>
      </c>
      <c r="B171">
        <v>10.1753</v>
      </c>
      <c r="C171">
        <v>2.1453000000000002</v>
      </c>
    </row>
    <row r="172" spans="1:10" x14ac:dyDescent="0.4">
      <c r="A172">
        <v>2023</v>
      </c>
      <c r="B172">
        <v>10.8299</v>
      </c>
      <c r="C172">
        <v>2.4839000000000002</v>
      </c>
    </row>
    <row r="173" spans="1:10" x14ac:dyDescent="0.4">
      <c r="A173">
        <v>2024</v>
      </c>
      <c r="B173">
        <v>10.914300000000001</v>
      </c>
      <c r="C173">
        <v>2.7201</v>
      </c>
    </row>
    <row r="174" spans="1:10" x14ac:dyDescent="0.4">
      <c r="A174">
        <v>2025</v>
      </c>
      <c r="B174">
        <v>10.160600000000001</v>
      </c>
      <c r="C174">
        <v>2.8847999999999998</v>
      </c>
    </row>
    <row r="175" spans="1:10" x14ac:dyDescent="0.4">
      <c r="A175">
        <v>2026</v>
      </c>
      <c r="B175">
        <v>9.1188000000000002</v>
      </c>
      <c r="C175">
        <v>2.9721000000000002</v>
      </c>
    </row>
    <row r="176" spans="1:10" x14ac:dyDescent="0.4">
      <c r="A176">
        <v>2027</v>
      </c>
      <c r="B176">
        <v>8.6881000000000004</v>
      </c>
      <c r="C176">
        <v>3.0045999999999999</v>
      </c>
    </row>
    <row r="177" spans="1:10" x14ac:dyDescent="0.4">
      <c r="A177">
        <v>2028</v>
      </c>
      <c r="B177">
        <v>8.7743000000000002</v>
      </c>
      <c r="C177">
        <v>3.02</v>
      </c>
    </row>
    <row r="178" spans="1:10" x14ac:dyDescent="0.4">
      <c r="A178">
        <v>2029</v>
      </c>
      <c r="B178">
        <v>8.9367999999999999</v>
      </c>
      <c r="C178">
        <v>3.0486</v>
      </c>
    </row>
    <row r="179" spans="1:10" x14ac:dyDescent="0.4">
      <c r="A179">
        <v>2030</v>
      </c>
      <c r="B179">
        <v>9.0663999999999998</v>
      </c>
      <c r="C179">
        <v>3.0626000000000002</v>
      </c>
    </row>
    <row r="180" spans="1:10" x14ac:dyDescent="0.4">
      <c r="A180">
        <v>2031</v>
      </c>
      <c r="B180">
        <v>9.1761999999999997</v>
      </c>
      <c r="C180">
        <v>3.0790999999999999</v>
      </c>
    </row>
    <row r="181" spans="1:10" x14ac:dyDescent="0.4">
      <c r="A181">
        <v>2032</v>
      </c>
      <c r="B181">
        <v>9.2621000000000002</v>
      </c>
      <c r="C181">
        <v>3.0911</v>
      </c>
    </row>
    <row r="182" spans="1:10" x14ac:dyDescent="0.4">
      <c r="A182">
        <v>2033</v>
      </c>
      <c r="B182">
        <v>9.3207000000000004</v>
      </c>
      <c r="C182">
        <v>3.1015000000000001</v>
      </c>
    </row>
    <row r="183" spans="1:10" x14ac:dyDescent="0.4">
      <c r="A183">
        <v>2034</v>
      </c>
      <c r="B183">
        <v>9.3706999999999994</v>
      </c>
      <c r="C183">
        <v>3.1152000000000002</v>
      </c>
    </row>
    <row r="185" spans="1:10" x14ac:dyDescent="0.4">
      <c r="A185" t="s">
        <v>9</v>
      </c>
      <c r="B185" t="s">
        <v>6</v>
      </c>
      <c r="C185" t="s">
        <v>32</v>
      </c>
    </row>
    <row r="187" spans="1:10" x14ac:dyDescent="0.4">
      <c r="A187" t="s">
        <v>22</v>
      </c>
      <c r="B187" s="2">
        <v>0.01</v>
      </c>
      <c r="C187" s="2">
        <v>0.05</v>
      </c>
      <c r="D187" s="2">
        <v>0.1</v>
      </c>
      <c r="E187" s="2">
        <v>0.25</v>
      </c>
      <c r="F187" s="2">
        <v>0.5</v>
      </c>
      <c r="G187" s="2">
        <v>0.75</v>
      </c>
      <c r="H187" s="2">
        <v>0.9</v>
      </c>
      <c r="I187" s="2">
        <v>0.95</v>
      </c>
      <c r="J187" s="2">
        <v>0.99</v>
      </c>
    </row>
    <row r="188" spans="1:10" x14ac:dyDescent="0.4">
      <c r="A188">
        <v>2021</v>
      </c>
      <c r="B188">
        <v>5.9408000000000003</v>
      </c>
      <c r="C188">
        <v>6.5635000000000003</v>
      </c>
      <c r="D188">
        <v>7.0019</v>
      </c>
      <c r="E188">
        <v>7.8311999999999999</v>
      </c>
      <c r="F188">
        <v>8.9247999999999994</v>
      </c>
      <c r="G188">
        <v>9.9871999999999996</v>
      </c>
      <c r="H188">
        <v>11.4756</v>
      </c>
      <c r="I188">
        <v>12.2186</v>
      </c>
      <c r="J188">
        <v>13.725300000000001</v>
      </c>
    </row>
    <row r="189" spans="1:10" x14ac:dyDescent="0.4">
      <c r="A189">
        <v>2022</v>
      </c>
      <c r="B189">
        <v>6.1047000000000002</v>
      </c>
      <c r="C189">
        <v>6.9889999999999999</v>
      </c>
      <c r="D189">
        <v>7.5583999999999998</v>
      </c>
      <c r="E189">
        <v>8.6585999999999999</v>
      </c>
      <c r="F189">
        <v>9.9891000000000005</v>
      </c>
      <c r="G189">
        <v>11.5</v>
      </c>
      <c r="H189">
        <v>12.973800000000001</v>
      </c>
      <c r="I189">
        <v>13.948600000000001</v>
      </c>
      <c r="J189">
        <v>15.8752</v>
      </c>
    </row>
    <row r="190" spans="1:10" x14ac:dyDescent="0.4">
      <c r="A190">
        <v>2023</v>
      </c>
      <c r="B190">
        <v>6.0342000000000002</v>
      </c>
      <c r="C190">
        <v>7.1369999999999996</v>
      </c>
      <c r="D190">
        <v>7.8224999999999998</v>
      </c>
      <c r="E190">
        <v>9.0717999999999996</v>
      </c>
      <c r="F190">
        <v>10.654999999999999</v>
      </c>
      <c r="G190">
        <v>12.3528</v>
      </c>
      <c r="H190">
        <v>14.007899999999999</v>
      </c>
      <c r="I190">
        <v>15.087300000000001</v>
      </c>
      <c r="J190">
        <v>17.473400000000002</v>
      </c>
    </row>
    <row r="191" spans="1:10" x14ac:dyDescent="0.4">
      <c r="A191">
        <v>2024</v>
      </c>
      <c r="B191">
        <v>5.6254</v>
      </c>
      <c r="C191">
        <v>6.8692000000000002</v>
      </c>
      <c r="D191">
        <v>7.6322999999999999</v>
      </c>
      <c r="E191">
        <v>9.0165000000000006</v>
      </c>
      <c r="F191">
        <v>10.723699999999999</v>
      </c>
      <c r="G191">
        <v>12.5753</v>
      </c>
      <c r="H191">
        <v>14.3681</v>
      </c>
      <c r="I191">
        <v>15.5107</v>
      </c>
      <c r="J191">
        <v>18.202200000000001</v>
      </c>
    </row>
    <row r="192" spans="1:10" x14ac:dyDescent="0.4">
      <c r="A192">
        <v>2025</v>
      </c>
      <c r="B192">
        <v>4.5263</v>
      </c>
      <c r="C192">
        <v>5.8695000000000004</v>
      </c>
      <c r="D192">
        <v>6.6886999999999999</v>
      </c>
      <c r="E192">
        <v>8.1662999999999997</v>
      </c>
      <c r="F192">
        <v>9.9657</v>
      </c>
      <c r="G192">
        <v>11.901999999999999</v>
      </c>
      <c r="H192">
        <v>13.794600000000001</v>
      </c>
      <c r="I192">
        <v>15.0375</v>
      </c>
      <c r="J192">
        <v>17.948599999999999</v>
      </c>
    </row>
    <row r="193" spans="1:10" x14ac:dyDescent="0.4">
      <c r="A193">
        <v>2026</v>
      </c>
      <c r="B193">
        <v>3.2753999999999999</v>
      </c>
      <c r="C193">
        <v>4.7015000000000002</v>
      </c>
      <c r="D193">
        <v>5.5426000000000002</v>
      </c>
      <c r="E193">
        <v>7.0797999999999996</v>
      </c>
      <c r="F193">
        <v>8.9110999999999994</v>
      </c>
      <c r="G193">
        <v>10.9009</v>
      </c>
      <c r="H193">
        <v>12.83</v>
      </c>
      <c r="I193">
        <v>14.116199999999999</v>
      </c>
      <c r="J193">
        <v>17.273299999999999</v>
      </c>
    </row>
    <row r="194" spans="1:10" x14ac:dyDescent="0.4">
      <c r="A194">
        <v>2027</v>
      </c>
      <c r="B194">
        <v>2.8317999999999999</v>
      </c>
      <c r="C194">
        <v>4.2601000000000004</v>
      </c>
      <c r="D194">
        <v>5.0942999999999996</v>
      </c>
      <c r="E194">
        <v>6.6173000000000002</v>
      </c>
      <c r="F194">
        <v>8.4695999999999998</v>
      </c>
      <c r="G194">
        <v>10.4786</v>
      </c>
      <c r="H194">
        <v>12.44</v>
      </c>
      <c r="I194">
        <v>13.7399</v>
      </c>
      <c r="J194">
        <v>16.912600000000001</v>
      </c>
    </row>
    <row r="195" spans="1:10" x14ac:dyDescent="0.4">
      <c r="A195">
        <v>2028</v>
      </c>
      <c r="B195">
        <v>2.867</v>
      </c>
      <c r="C195">
        <v>4.3094999999999999</v>
      </c>
      <c r="D195">
        <v>5.1721000000000004</v>
      </c>
      <c r="E195">
        <v>6.6943999999999999</v>
      </c>
      <c r="F195">
        <v>8.5582999999999991</v>
      </c>
      <c r="G195">
        <v>10.5838</v>
      </c>
      <c r="H195">
        <v>12.561199999999999</v>
      </c>
      <c r="I195">
        <v>13.885199999999999</v>
      </c>
      <c r="J195">
        <v>16.995200000000001</v>
      </c>
    </row>
    <row r="196" spans="1:10" x14ac:dyDescent="0.4">
      <c r="A196">
        <v>2029</v>
      </c>
      <c r="B196">
        <v>2.9011</v>
      </c>
      <c r="C196">
        <v>4.4222000000000001</v>
      </c>
      <c r="D196">
        <v>5.2972000000000001</v>
      </c>
      <c r="E196">
        <v>6.8540000000000001</v>
      </c>
      <c r="F196">
        <v>8.7175999999999991</v>
      </c>
      <c r="G196">
        <v>10.755100000000001</v>
      </c>
      <c r="H196">
        <v>12.776999999999999</v>
      </c>
      <c r="I196">
        <v>14.1228</v>
      </c>
      <c r="J196">
        <v>17.222799999999999</v>
      </c>
    </row>
    <row r="197" spans="1:10" x14ac:dyDescent="0.4">
      <c r="A197">
        <v>2030</v>
      </c>
      <c r="B197">
        <v>2.9598</v>
      </c>
      <c r="C197">
        <v>4.5267999999999997</v>
      </c>
      <c r="D197">
        <v>5.4120999999999997</v>
      </c>
      <c r="E197">
        <v>6.9710999999999999</v>
      </c>
      <c r="F197">
        <v>8.8478999999999992</v>
      </c>
      <c r="G197">
        <v>10.9102</v>
      </c>
      <c r="H197">
        <v>12.9078</v>
      </c>
      <c r="I197">
        <v>14.2468</v>
      </c>
      <c r="J197">
        <v>17.418500000000002</v>
      </c>
    </row>
    <row r="198" spans="1:10" x14ac:dyDescent="0.4">
      <c r="A198">
        <v>2031</v>
      </c>
      <c r="B198">
        <v>3.0331000000000001</v>
      </c>
      <c r="C198">
        <v>4.5987</v>
      </c>
      <c r="D198">
        <v>5.4941000000000004</v>
      </c>
      <c r="E198">
        <v>7.0571999999999999</v>
      </c>
      <c r="F198">
        <v>8.9718</v>
      </c>
      <c r="G198">
        <v>11.0307</v>
      </c>
      <c r="H198">
        <v>13.045400000000001</v>
      </c>
      <c r="I198">
        <v>14.3719</v>
      </c>
      <c r="J198">
        <v>17.534600000000001</v>
      </c>
    </row>
    <row r="199" spans="1:10" x14ac:dyDescent="0.4">
      <c r="A199">
        <v>2032</v>
      </c>
      <c r="B199">
        <v>3.0748000000000002</v>
      </c>
      <c r="C199">
        <v>4.6734999999999998</v>
      </c>
      <c r="D199">
        <v>5.5505000000000004</v>
      </c>
      <c r="E199">
        <v>7.1478999999999999</v>
      </c>
      <c r="F199">
        <v>9.0508000000000006</v>
      </c>
      <c r="G199">
        <v>11.1286</v>
      </c>
      <c r="H199">
        <v>13.1424</v>
      </c>
      <c r="I199">
        <v>14.4825</v>
      </c>
      <c r="J199">
        <v>17.623899999999999</v>
      </c>
    </row>
    <row r="200" spans="1:10" x14ac:dyDescent="0.4">
      <c r="A200">
        <v>2033</v>
      </c>
      <c r="B200">
        <v>3.1244999999999998</v>
      </c>
      <c r="C200">
        <v>4.7313999999999998</v>
      </c>
      <c r="D200">
        <v>5.6200999999999999</v>
      </c>
      <c r="E200">
        <v>7.1944999999999997</v>
      </c>
      <c r="F200">
        <v>9.1212999999999997</v>
      </c>
      <c r="G200">
        <v>11.193300000000001</v>
      </c>
      <c r="H200">
        <v>13.2119</v>
      </c>
      <c r="I200">
        <v>14.5488</v>
      </c>
      <c r="J200">
        <v>17.7576</v>
      </c>
    </row>
    <row r="201" spans="1:10" x14ac:dyDescent="0.4">
      <c r="A201">
        <v>2034</v>
      </c>
      <c r="B201">
        <v>3.0920999999999998</v>
      </c>
      <c r="C201">
        <v>4.7436999999999996</v>
      </c>
      <c r="D201">
        <v>5.6612</v>
      </c>
      <c r="E201">
        <v>7.2447999999999997</v>
      </c>
      <c r="F201">
        <v>9.1640999999999995</v>
      </c>
      <c r="G201">
        <v>11.240500000000001</v>
      </c>
      <c r="H201">
        <v>13.286300000000001</v>
      </c>
      <c r="I201">
        <v>14.6221</v>
      </c>
      <c r="J201">
        <v>17.8688</v>
      </c>
    </row>
    <row r="203" spans="1:10" x14ac:dyDescent="0.4">
      <c r="A203" t="s">
        <v>8</v>
      </c>
      <c r="B203" t="s">
        <v>7</v>
      </c>
      <c r="C203" t="s">
        <v>6</v>
      </c>
      <c r="D203" t="s">
        <v>36</v>
      </c>
      <c r="E203">
        <v>1000</v>
      </c>
      <c r="F203" t="s">
        <v>35</v>
      </c>
    </row>
    <row r="205" spans="1:10" x14ac:dyDescent="0.4">
      <c r="A205" t="s">
        <v>22</v>
      </c>
      <c r="B205" t="s">
        <v>34</v>
      </c>
      <c r="C205" t="s">
        <v>33</v>
      </c>
    </row>
    <row r="206" spans="1:10" x14ac:dyDescent="0.4">
      <c r="A206">
        <v>2021</v>
      </c>
      <c r="B206">
        <v>1.5398000000000001</v>
      </c>
      <c r="C206">
        <v>0</v>
      </c>
    </row>
    <row r="207" spans="1:10" x14ac:dyDescent="0.4">
      <c r="A207">
        <v>2022</v>
      </c>
      <c r="B207">
        <v>1.4739</v>
      </c>
      <c r="C207">
        <v>0</v>
      </c>
    </row>
    <row r="208" spans="1:10" x14ac:dyDescent="0.4">
      <c r="A208">
        <v>2023</v>
      </c>
      <c r="B208">
        <v>1.6854</v>
      </c>
      <c r="C208">
        <v>9.1999999999999998E-3</v>
      </c>
    </row>
    <row r="209" spans="1:10" x14ac:dyDescent="0.4">
      <c r="A209">
        <v>2024</v>
      </c>
      <c r="B209">
        <v>2.1564999999999999</v>
      </c>
      <c r="C209">
        <v>2.3599999999999999E-2</v>
      </c>
    </row>
    <row r="210" spans="1:10" x14ac:dyDescent="0.4">
      <c r="A210">
        <v>2025</v>
      </c>
      <c r="B210">
        <v>3.2246000000000001</v>
      </c>
      <c r="C210">
        <v>3.6799999999999999E-2</v>
      </c>
    </row>
    <row r="211" spans="1:10" x14ac:dyDescent="0.4">
      <c r="A211">
        <v>2026</v>
      </c>
      <c r="B211">
        <v>3.2239</v>
      </c>
      <c r="C211">
        <v>5.9499999999999997E-2</v>
      </c>
    </row>
    <row r="212" spans="1:10" x14ac:dyDescent="0.4">
      <c r="A212">
        <v>2027</v>
      </c>
      <c r="B212">
        <v>2.3980999999999999</v>
      </c>
      <c r="C212">
        <v>6.7400000000000002E-2</v>
      </c>
    </row>
    <row r="213" spans="1:10" x14ac:dyDescent="0.4">
      <c r="A213">
        <v>2028</v>
      </c>
      <c r="B213">
        <v>2.1476000000000002</v>
      </c>
      <c r="C213">
        <v>7.1599999999999997E-2</v>
      </c>
    </row>
    <row r="214" spans="1:10" x14ac:dyDescent="0.4">
      <c r="A214">
        <v>2029</v>
      </c>
      <c r="B214">
        <v>2.1472000000000002</v>
      </c>
      <c r="C214">
        <v>7.7499999999999999E-2</v>
      </c>
    </row>
    <row r="215" spans="1:10" x14ac:dyDescent="0.4">
      <c r="A215">
        <v>2030</v>
      </c>
      <c r="B215">
        <v>2.1465000000000001</v>
      </c>
      <c r="C215">
        <v>8.6499999999999994E-2</v>
      </c>
    </row>
    <row r="216" spans="1:10" x14ac:dyDescent="0.4">
      <c r="A216">
        <v>2031</v>
      </c>
      <c r="B216">
        <v>2.1459999999999999</v>
      </c>
      <c r="C216">
        <v>9.3100000000000002E-2</v>
      </c>
    </row>
    <row r="217" spans="1:10" x14ac:dyDescent="0.4">
      <c r="A217">
        <v>2032</v>
      </c>
      <c r="B217">
        <v>2.1455000000000002</v>
      </c>
      <c r="C217">
        <v>9.8199999999999996E-2</v>
      </c>
    </row>
    <row r="218" spans="1:10" x14ac:dyDescent="0.4">
      <c r="A218">
        <v>2033</v>
      </c>
      <c r="B218">
        <v>2.1452</v>
      </c>
      <c r="C218">
        <v>0.1016</v>
      </c>
    </row>
    <row r="219" spans="1:10" x14ac:dyDescent="0.4">
      <c r="A219">
        <v>2034</v>
      </c>
      <c r="B219">
        <v>2.1448</v>
      </c>
      <c r="C219">
        <v>0.10539999999999999</v>
      </c>
    </row>
    <row r="221" spans="1:10" x14ac:dyDescent="0.4">
      <c r="A221" t="s">
        <v>8</v>
      </c>
      <c r="B221" t="s">
        <v>7</v>
      </c>
      <c r="C221" t="s">
        <v>32</v>
      </c>
    </row>
    <row r="223" spans="1:10" x14ac:dyDescent="0.4">
      <c r="A223" t="s">
        <v>22</v>
      </c>
      <c r="B223" s="2">
        <v>0.01</v>
      </c>
      <c r="C223" s="2">
        <v>0.05</v>
      </c>
      <c r="D223" s="2">
        <v>0.1</v>
      </c>
      <c r="E223" s="2">
        <v>0.25</v>
      </c>
      <c r="F223" s="2">
        <v>0.5</v>
      </c>
      <c r="G223" s="2">
        <v>0.75</v>
      </c>
      <c r="H223" s="2">
        <v>0.9</v>
      </c>
      <c r="I223" s="2">
        <v>0.95</v>
      </c>
      <c r="J223" s="2">
        <v>0.99</v>
      </c>
    </row>
    <row r="224" spans="1:10" x14ac:dyDescent="0.4">
      <c r="A224">
        <v>2021</v>
      </c>
      <c r="B224">
        <v>1.5398000000000001</v>
      </c>
      <c r="C224">
        <v>1.5398000000000001</v>
      </c>
      <c r="D224">
        <v>1.5398000000000001</v>
      </c>
      <c r="E224">
        <v>1.5398000000000001</v>
      </c>
      <c r="F224">
        <v>1.5398000000000001</v>
      </c>
      <c r="G224">
        <v>1.5398000000000001</v>
      </c>
      <c r="H224">
        <v>1.5398000000000001</v>
      </c>
      <c r="I224">
        <v>1.5398000000000001</v>
      </c>
      <c r="J224">
        <v>1.5398000000000001</v>
      </c>
    </row>
    <row r="225" spans="1:10" x14ac:dyDescent="0.4">
      <c r="A225">
        <v>2022</v>
      </c>
      <c r="B225">
        <v>1.4739</v>
      </c>
      <c r="C225">
        <v>1.4739</v>
      </c>
      <c r="D225">
        <v>1.4739</v>
      </c>
      <c r="E225">
        <v>1.4739</v>
      </c>
      <c r="F225">
        <v>1.4739</v>
      </c>
      <c r="G225">
        <v>1.4739</v>
      </c>
      <c r="H225">
        <v>1.4739</v>
      </c>
      <c r="I225">
        <v>1.4739</v>
      </c>
      <c r="J225">
        <v>1.4739</v>
      </c>
    </row>
    <row r="226" spans="1:10" x14ac:dyDescent="0.4">
      <c r="A226">
        <v>2023</v>
      </c>
      <c r="B226">
        <v>1.6854</v>
      </c>
      <c r="C226">
        <v>1.6854</v>
      </c>
      <c r="D226">
        <v>1.6854</v>
      </c>
      <c r="E226">
        <v>1.6854</v>
      </c>
      <c r="F226">
        <v>1.6854</v>
      </c>
      <c r="G226">
        <v>1.6854</v>
      </c>
      <c r="H226">
        <v>1.6854</v>
      </c>
      <c r="I226">
        <v>1.6854</v>
      </c>
      <c r="J226">
        <v>1.6854</v>
      </c>
    </row>
    <row r="227" spans="1:10" x14ac:dyDescent="0.4">
      <c r="A227">
        <v>2024</v>
      </c>
      <c r="B227">
        <v>2.1566999999999998</v>
      </c>
      <c r="C227">
        <v>2.1566999999999998</v>
      </c>
      <c r="D227">
        <v>2.1566999999999998</v>
      </c>
      <c r="E227">
        <v>2.1566999999999998</v>
      </c>
      <c r="F227">
        <v>2.1566999999999998</v>
      </c>
      <c r="G227">
        <v>2.1566999999999998</v>
      </c>
      <c r="H227">
        <v>2.1566999999999998</v>
      </c>
      <c r="I227">
        <v>2.1566999999999998</v>
      </c>
      <c r="J227">
        <v>2.1566999999999998</v>
      </c>
    </row>
    <row r="228" spans="1:10" x14ac:dyDescent="0.4">
      <c r="A228">
        <v>2025</v>
      </c>
      <c r="B228">
        <v>3.2250000000000001</v>
      </c>
      <c r="C228">
        <v>3.2250000000000001</v>
      </c>
      <c r="D228">
        <v>3.2250000000000001</v>
      </c>
      <c r="E228">
        <v>3.2250000000000001</v>
      </c>
      <c r="F228">
        <v>3.2250000000000001</v>
      </c>
      <c r="G228">
        <v>3.2250000000000001</v>
      </c>
      <c r="H228">
        <v>3.2250000000000001</v>
      </c>
      <c r="I228">
        <v>3.2250000000000001</v>
      </c>
      <c r="J228">
        <v>3.2250000000000001</v>
      </c>
    </row>
    <row r="229" spans="1:10" x14ac:dyDescent="0.4">
      <c r="A229">
        <v>2026</v>
      </c>
      <c r="B229">
        <v>3.2250000000000001</v>
      </c>
      <c r="C229">
        <v>3.2250000000000001</v>
      </c>
      <c r="D229">
        <v>3.2250000000000001</v>
      </c>
      <c r="E229">
        <v>3.2250000000000001</v>
      </c>
      <c r="F229">
        <v>3.2250000000000001</v>
      </c>
      <c r="G229">
        <v>3.2250000000000001</v>
      </c>
      <c r="H229">
        <v>3.2250000000000001</v>
      </c>
      <c r="I229">
        <v>3.2250000000000001</v>
      </c>
      <c r="J229">
        <v>3.2250000000000001</v>
      </c>
    </row>
    <row r="230" spans="1:10" x14ac:dyDescent="0.4">
      <c r="A230">
        <v>2027</v>
      </c>
      <c r="B230">
        <v>2.4</v>
      </c>
      <c r="C230">
        <v>2.4</v>
      </c>
      <c r="D230">
        <v>2.4</v>
      </c>
      <c r="E230">
        <v>2.4</v>
      </c>
      <c r="F230">
        <v>2.4</v>
      </c>
      <c r="G230">
        <v>2.4</v>
      </c>
      <c r="H230">
        <v>2.4</v>
      </c>
      <c r="I230">
        <v>2.4</v>
      </c>
      <c r="J230">
        <v>2.4</v>
      </c>
    </row>
    <row r="231" spans="1:10" x14ac:dyDescent="0.4">
      <c r="A231">
        <v>2028</v>
      </c>
      <c r="B231">
        <v>2.15</v>
      </c>
      <c r="C231">
        <v>2.15</v>
      </c>
      <c r="D231">
        <v>2.15</v>
      </c>
      <c r="E231">
        <v>2.15</v>
      </c>
      <c r="F231">
        <v>2.15</v>
      </c>
      <c r="G231">
        <v>2.15</v>
      </c>
      <c r="H231">
        <v>2.15</v>
      </c>
      <c r="I231">
        <v>2.15</v>
      </c>
      <c r="J231">
        <v>2.15</v>
      </c>
    </row>
    <row r="232" spans="1:10" x14ac:dyDescent="0.4">
      <c r="A232">
        <v>2029</v>
      </c>
      <c r="B232">
        <v>2.15</v>
      </c>
      <c r="C232">
        <v>2.15</v>
      </c>
      <c r="D232">
        <v>2.15</v>
      </c>
      <c r="E232">
        <v>2.15</v>
      </c>
      <c r="F232">
        <v>2.15</v>
      </c>
      <c r="G232">
        <v>2.15</v>
      </c>
      <c r="H232">
        <v>2.15</v>
      </c>
      <c r="I232">
        <v>2.15</v>
      </c>
      <c r="J232">
        <v>2.15</v>
      </c>
    </row>
    <row r="233" spans="1:10" x14ac:dyDescent="0.4">
      <c r="A233">
        <v>2030</v>
      </c>
      <c r="B233">
        <v>2.15</v>
      </c>
      <c r="C233">
        <v>2.15</v>
      </c>
      <c r="D233">
        <v>2.15</v>
      </c>
      <c r="E233">
        <v>2.15</v>
      </c>
      <c r="F233">
        <v>2.15</v>
      </c>
      <c r="G233">
        <v>2.15</v>
      </c>
      <c r="H233">
        <v>2.15</v>
      </c>
      <c r="I233">
        <v>2.15</v>
      </c>
      <c r="J233">
        <v>2.15</v>
      </c>
    </row>
    <row r="234" spans="1:10" x14ac:dyDescent="0.4">
      <c r="A234">
        <v>2031</v>
      </c>
      <c r="B234">
        <v>2.15</v>
      </c>
      <c r="C234">
        <v>2.15</v>
      </c>
      <c r="D234">
        <v>2.15</v>
      </c>
      <c r="E234">
        <v>2.15</v>
      </c>
      <c r="F234">
        <v>2.15</v>
      </c>
      <c r="G234">
        <v>2.15</v>
      </c>
      <c r="H234">
        <v>2.15</v>
      </c>
      <c r="I234">
        <v>2.15</v>
      </c>
      <c r="J234">
        <v>2.15</v>
      </c>
    </row>
    <row r="235" spans="1:10" x14ac:dyDescent="0.4">
      <c r="A235">
        <v>2032</v>
      </c>
      <c r="B235">
        <v>2.15</v>
      </c>
      <c r="C235">
        <v>2.15</v>
      </c>
      <c r="D235">
        <v>2.15</v>
      </c>
      <c r="E235">
        <v>2.15</v>
      </c>
      <c r="F235">
        <v>2.15</v>
      </c>
      <c r="G235">
        <v>2.15</v>
      </c>
      <c r="H235">
        <v>2.15</v>
      </c>
      <c r="I235">
        <v>2.15</v>
      </c>
      <c r="J235">
        <v>2.15</v>
      </c>
    </row>
    <row r="236" spans="1:10" x14ac:dyDescent="0.4">
      <c r="A236">
        <v>2033</v>
      </c>
      <c r="B236">
        <v>2.15</v>
      </c>
      <c r="C236">
        <v>2.15</v>
      </c>
      <c r="D236">
        <v>2.15</v>
      </c>
      <c r="E236">
        <v>2.15</v>
      </c>
      <c r="F236">
        <v>2.15</v>
      </c>
      <c r="G236">
        <v>2.15</v>
      </c>
      <c r="H236">
        <v>2.15</v>
      </c>
      <c r="I236">
        <v>2.15</v>
      </c>
      <c r="J236">
        <v>2.15</v>
      </c>
    </row>
    <row r="237" spans="1:10" x14ac:dyDescent="0.4">
      <c r="A237">
        <v>2034</v>
      </c>
      <c r="B237">
        <v>2.15</v>
      </c>
      <c r="C237">
        <v>2.15</v>
      </c>
      <c r="D237">
        <v>2.15</v>
      </c>
      <c r="E237">
        <v>2.15</v>
      </c>
      <c r="F237">
        <v>2.15</v>
      </c>
      <c r="G237">
        <v>2.15</v>
      </c>
      <c r="H237">
        <v>2.15</v>
      </c>
      <c r="I237">
        <v>2.15</v>
      </c>
      <c r="J237">
        <v>2.15</v>
      </c>
    </row>
    <row r="239" spans="1:10" x14ac:dyDescent="0.4">
      <c r="A239" t="s">
        <v>5</v>
      </c>
      <c r="B239" t="s">
        <v>36</v>
      </c>
      <c r="C239">
        <v>1000</v>
      </c>
      <c r="D239" t="s">
        <v>35</v>
      </c>
    </row>
    <row r="241" spans="1:3" x14ac:dyDescent="0.4">
      <c r="A241" t="s">
        <v>22</v>
      </c>
      <c r="B241" t="s">
        <v>34</v>
      </c>
      <c r="C241" t="s">
        <v>33</v>
      </c>
    </row>
    <row r="242" spans="1:3" x14ac:dyDescent="0.4">
      <c r="A242">
        <v>2021</v>
      </c>
      <c r="B242">
        <v>1.5398000000000001</v>
      </c>
      <c r="C242">
        <v>0</v>
      </c>
    </row>
    <row r="243" spans="1:3" x14ac:dyDescent="0.4">
      <c r="A243">
        <v>2022</v>
      </c>
      <c r="B243">
        <v>1.4739</v>
      </c>
      <c r="C243">
        <v>0</v>
      </c>
    </row>
    <row r="244" spans="1:3" x14ac:dyDescent="0.4">
      <c r="A244">
        <v>2023</v>
      </c>
      <c r="B244">
        <v>1.6854</v>
      </c>
      <c r="C244">
        <v>9.1999999999999998E-3</v>
      </c>
    </row>
    <row r="245" spans="1:3" x14ac:dyDescent="0.4">
      <c r="A245">
        <v>2024</v>
      </c>
      <c r="B245">
        <v>2.1564999999999999</v>
      </c>
      <c r="C245">
        <v>2.3599999999999999E-2</v>
      </c>
    </row>
    <row r="246" spans="1:3" x14ac:dyDescent="0.4">
      <c r="A246">
        <v>2025</v>
      </c>
      <c r="B246">
        <v>3.2246000000000001</v>
      </c>
      <c r="C246">
        <v>3.6799999999999999E-2</v>
      </c>
    </row>
    <row r="247" spans="1:3" x14ac:dyDescent="0.4">
      <c r="A247">
        <v>2026</v>
      </c>
      <c r="B247">
        <v>3.2239</v>
      </c>
      <c r="C247">
        <v>5.9499999999999997E-2</v>
      </c>
    </row>
    <row r="248" spans="1:3" x14ac:dyDescent="0.4">
      <c r="A248">
        <v>2027</v>
      </c>
      <c r="B248">
        <v>2.3980999999999999</v>
      </c>
      <c r="C248">
        <v>6.7400000000000002E-2</v>
      </c>
    </row>
    <row r="249" spans="1:3" x14ac:dyDescent="0.4">
      <c r="A249">
        <v>2028</v>
      </c>
      <c r="B249">
        <v>2.1476000000000002</v>
      </c>
      <c r="C249">
        <v>7.1599999999999997E-2</v>
      </c>
    </row>
    <row r="250" spans="1:3" x14ac:dyDescent="0.4">
      <c r="A250">
        <v>2029</v>
      </c>
      <c r="B250">
        <v>2.1472000000000002</v>
      </c>
      <c r="C250">
        <v>7.7499999999999999E-2</v>
      </c>
    </row>
    <row r="251" spans="1:3" x14ac:dyDescent="0.4">
      <c r="A251">
        <v>2030</v>
      </c>
      <c r="B251">
        <v>2.1465000000000001</v>
      </c>
      <c r="C251">
        <v>8.6499999999999994E-2</v>
      </c>
    </row>
    <row r="252" spans="1:3" x14ac:dyDescent="0.4">
      <c r="A252">
        <v>2031</v>
      </c>
      <c r="B252">
        <v>2.1459999999999999</v>
      </c>
      <c r="C252">
        <v>9.3100000000000002E-2</v>
      </c>
    </row>
    <row r="253" spans="1:3" x14ac:dyDescent="0.4">
      <c r="A253">
        <v>2032</v>
      </c>
      <c r="B253">
        <v>2.1455000000000002</v>
      </c>
      <c r="C253">
        <v>9.8199999999999996E-2</v>
      </c>
    </row>
    <row r="254" spans="1:3" x14ac:dyDescent="0.4">
      <c r="A254">
        <v>2033</v>
      </c>
      <c r="B254">
        <v>2.1452</v>
      </c>
      <c r="C254">
        <v>0.1016</v>
      </c>
    </row>
    <row r="255" spans="1:3" x14ac:dyDescent="0.4">
      <c r="A255">
        <v>2034</v>
      </c>
      <c r="B255">
        <v>2.1448</v>
      </c>
      <c r="C255">
        <v>0.10539999999999999</v>
      </c>
    </row>
    <row r="257" spans="1:20" x14ac:dyDescent="0.4">
      <c r="A257" t="s">
        <v>5</v>
      </c>
      <c r="B257" t="s">
        <v>32</v>
      </c>
    </row>
    <row r="259" spans="1:20" x14ac:dyDescent="0.4">
      <c r="A259" t="s">
        <v>22</v>
      </c>
      <c r="B259" s="2">
        <v>0.01</v>
      </c>
      <c r="C259" s="2">
        <v>0.05</v>
      </c>
      <c r="D259" s="2">
        <v>0.1</v>
      </c>
      <c r="E259" s="2">
        <v>0.25</v>
      </c>
      <c r="F259" s="2">
        <v>0.5</v>
      </c>
      <c r="G259" s="2">
        <v>0.75</v>
      </c>
      <c r="H259" s="2">
        <v>0.9</v>
      </c>
      <c r="I259" s="2">
        <v>0.95</v>
      </c>
      <c r="J259" s="2">
        <v>0.99</v>
      </c>
      <c r="L259" s="2">
        <v>0.01</v>
      </c>
      <c r="M259" s="2">
        <v>0.05</v>
      </c>
      <c r="N259" s="2">
        <v>0.1</v>
      </c>
      <c r="O259" s="2">
        <v>0.25</v>
      </c>
      <c r="P259" s="2">
        <v>0.5</v>
      </c>
      <c r="Q259" s="2">
        <v>0.75</v>
      </c>
      <c r="R259" s="2">
        <v>0.9</v>
      </c>
      <c r="S259" s="2">
        <v>0.95</v>
      </c>
      <c r="T259" s="2">
        <v>0.99</v>
      </c>
    </row>
    <row r="260" spans="1:20" x14ac:dyDescent="0.4">
      <c r="A260">
        <v>2021</v>
      </c>
      <c r="B260">
        <v>1.5398000000000001</v>
      </c>
      <c r="C260">
        <v>1.5398000000000001</v>
      </c>
      <c r="D260">
        <v>1.5398000000000001</v>
      </c>
      <c r="E260">
        <v>1.5398000000000001</v>
      </c>
      <c r="F260">
        <v>1.5398000000000001</v>
      </c>
      <c r="G260">
        <v>1.5398000000000001</v>
      </c>
      <c r="H260">
        <v>1.5398000000000001</v>
      </c>
      <c r="I260">
        <v>1.5398000000000001</v>
      </c>
      <c r="J260">
        <v>1.5398000000000001</v>
      </c>
      <c r="L260">
        <f>B260*1000</f>
        <v>1539.8</v>
      </c>
      <c r="M260">
        <f t="shared" ref="M260:T273" si="2">C260*1000</f>
        <v>1539.8</v>
      </c>
      <c r="N260">
        <f t="shared" si="2"/>
        <v>1539.8</v>
      </c>
      <c r="O260">
        <f t="shared" si="2"/>
        <v>1539.8</v>
      </c>
      <c r="P260">
        <f t="shared" si="2"/>
        <v>1539.8</v>
      </c>
      <c r="Q260">
        <f t="shared" si="2"/>
        <v>1539.8</v>
      </c>
      <c r="R260">
        <f t="shared" si="2"/>
        <v>1539.8</v>
      </c>
      <c r="S260">
        <f t="shared" si="2"/>
        <v>1539.8</v>
      </c>
      <c r="T260">
        <f t="shared" si="2"/>
        <v>1539.8</v>
      </c>
    </row>
    <row r="261" spans="1:20" x14ac:dyDescent="0.4">
      <c r="A261">
        <v>2022</v>
      </c>
      <c r="B261">
        <v>1.4739</v>
      </c>
      <c r="C261">
        <v>1.4739</v>
      </c>
      <c r="D261">
        <v>1.4739</v>
      </c>
      <c r="E261">
        <v>1.4739</v>
      </c>
      <c r="F261">
        <v>1.4739</v>
      </c>
      <c r="G261">
        <v>1.4739</v>
      </c>
      <c r="H261">
        <v>1.4739</v>
      </c>
      <c r="I261">
        <v>1.4739</v>
      </c>
      <c r="J261">
        <v>1.4739</v>
      </c>
      <c r="L261">
        <f t="shared" ref="L261:L273" si="3">B261*1000</f>
        <v>1473.9</v>
      </c>
      <c r="M261">
        <f t="shared" si="2"/>
        <v>1473.9</v>
      </c>
      <c r="N261">
        <f t="shared" si="2"/>
        <v>1473.9</v>
      </c>
      <c r="O261">
        <f t="shared" si="2"/>
        <v>1473.9</v>
      </c>
      <c r="P261">
        <f t="shared" si="2"/>
        <v>1473.9</v>
      </c>
      <c r="Q261">
        <f t="shared" si="2"/>
        <v>1473.9</v>
      </c>
      <c r="R261">
        <f t="shared" si="2"/>
        <v>1473.9</v>
      </c>
      <c r="S261">
        <f t="shared" si="2"/>
        <v>1473.9</v>
      </c>
      <c r="T261">
        <f t="shared" si="2"/>
        <v>1473.9</v>
      </c>
    </row>
    <row r="262" spans="1:20" x14ac:dyDescent="0.4">
      <c r="A262">
        <v>2023</v>
      </c>
      <c r="B262">
        <v>1.6854</v>
      </c>
      <c r="C262">
        <v>1.6854</v>
      </c>
      <c r="D262">
        <v>1.6854</v>
      </c>
      <c r="E262">
        <v>1.6854</v>
      </c>
      <c r="F262">
        <v>1.6854</v>
      </c>
      <c r="G262">
        <v>1.6854</v>
      </c>
      <c r="H262">
        <v>1.6854</v>
      </c>
      <c r="I262">
        <v>1.6854</v>
      </c>
      <c r="J262">
        <v>1.6854</v>
      </c>
      <c r="L262">
        <f t="shared" si="3"/>
        <v>1685.4</v>
      </c>
      <c r="M262">
        <f t="shared" si="2"/>
        <v>1685.4</v>
      </c>
      <c r="N262">
        <f t="shared" si="2"/>
        <v>1685.4</v>
      </c>
      <c r="O262">
        <f t="shared" si="2"/>
        <v>1685.4</v>
      </c>
      <c r="P262">
        <f t="shared" si="2"/>
        <v>1685.4</v>
      </c>
      <c r="Q262">
        <f t="shared" si="2"/>
        <v>1685.4</v>
      </c>
      <c r="R262">
        <f t="shared" si="2"/>
        <v>1685.4</v>
      </c>
      <c r="S262">
        <f t="shared" si="2"/>
        <v>1685.4</v>
      </c>
      <c r="T262">
        <f t="shared" si="2"/>
        <v>1685.4</v>
      </c>
    </row>
    <row r="263" spans="1:20" x14ac:dyDescent="0.4">
      <c r="A263">
        <v>2024</v>
      </c>
      <c r="B263">
        <v>2.1566999999999998</v>
      </c>
      <c r="C263">
        <v>2.1566999999999998</v>
      </c>
      <c r="D263">
        <v>2.1566999999999998</v>
      </c>
      <c r="E263">
        <v>2.1566999999999998</v>
      </c>
      <c r="F263">
        <v>2.1566999999999998</v>
      </c>
      <c r="G263">
        <v>2.1566999999999998</v>
      </c>
      <c r="H263">
        <v>2.1566999999999998</v>
      </c>
      <c r="I263">
        <v>2.1566999999999998</v>
      </c>
      <c r="J263">
        <v>2.1566999999999998</v>
      </c>
      <c r="L263">
        <f t="shared" si="3"/>
        <v>2156.6999999999998</v>
      </c>
      <c r="M263">
        <f t="shared" si="2"/>
        <v>2156.6999999999998</v>
      </c>
      <c r="N263">
        <f t="shared" si="2"/>
        <v>2156.6999999999998</v>
      </c>
      <c r="O263">
        <f t="shared" si="2"/>
        <v>2156.6999999999998</v>
      </c>
      <c r="P263">
        <f t="shared" si="2"/>
        <v>2156.6999999999998</v>
      </c>
      <c r="Q263">
        <f t="shared" si="2"/>
        <v>2156.6999999999998</v>
      </c>
      <c r="R263">
        <f t="shared" si="2"/>
        <v>2156.6999999999998</v>
      </c>
      <c r="S263">
        <f t="shared" si="2"/>
        <v>2156.6999999999998</v>
      </c>
      <c r="T263">
        <f t="shared" si="2"/>
        <v>2156.6999999999998</v>
      </c>
    </row>
    <row r="264" spans="1:20" x14ac:dyDescent="0.4">
      <c r="A264">
        <v>2025</v>
      </c>
      <c r="B264">
        <v>3.2250000000000001</v>
      </c>
      <c r="C264">
        <v>3.2250000000000001</v>
      </c>
      <c r="D264">
        <v>3.2250000000000001</v>
      </c>
      <c r="E264">
        <v>3.2250000000000001</v>
      </c>
      <c r="F264">
        <v>3.2250000000000001</v>
      </c>
      <c r="G264">
        <v>3.2250000000000001</v>
      </c>
      <c r="H264">
        <v>3.2250000000000001</v>
      </c>
      <c r="I264">
        <v>3.2250000000000001</v>
      </c>
      <c r="J264">
        <v>3.2250000000000001</v>
      </c>
      <c r="L264">
        <f t="shared" si="3"/>
        <v>3225</v>
      </c>
      <c r="M264">
        <f t="shared" si="2"/>
        <v>3225</v>
      </c>
      <c r="N264">
        <f t="shared" si="2"/>
        <v>3225</v>
      </c>
      <c r="O264">
        <f t="shared" si="2"/>
        <v>3225</v>
      </c>
      <c r="P264">
        <f t="shared" si="2"/>
        <v>3225</v>
      </c>
      <c r="Q264">
        <f t="shared" si="2"/>
        <v>3225</v>
      </c>
      <c r="R264">
        <f t="shared" si="2"/>
        <v>3225</v>
      </c>
      <c r="S264">
        <f t="shared" si="2"/>
        <v>3225</v>
      </c>
      <c r="T264">
        <f t="shared" si="2"/>
        <v>3225</v>
      </c>
    </row>
    <row r="265" spans="1:20" x14ac:dyDescent="0.4">
      <c r="A265">
        <v>2026</v>
      </c>
      <c r="B265">
        <v>3.2250000000000001</v>
      </c>
      <c r="C265">
        <v>3.2250000000000001</v>
      </c>
      <c r="D265">
        <v>3.2250000000000001</v>
      </c>
      <c r="E265">
        <v>3.2250000000000001</v>
      </c>
      <c r="F265">
        <v>3.2250000000000001</v>
      </c>
      <c r="G265">
        <v>3.2250000000000001</v>
      </c>
      <c r="H265">
        <v>3.2250000000000001</v>
      </c>
      <c r="I265">
        <v>3.2250000000000001</v>
      </c>
      <c r="J265">
        <v>3.2250000000000001</v>
      </c>
      <c r="L265">
        <f t="shared" si="3"/>
        <v>3225</v>
      </c>
      <c r="M265">
        <f t="shared" si="2"/>
        <v>3225</v>
      </c>
      <c r="N265">
        <f t="shared" si="2"/>
        <v>3225</v>
      </c>
      <c r="O265">
        <f t="shared" si="2"/>
        <v>3225</v>
      </c>
      <c r="P265">
        <f t="shared" si="2"/>
        <v>3225</v>
      </c>
      <c r="Q265">
        <f t="shared" si="2"/>
        <v>3225</v>
      </c>
      <c r="R265">
        <f t="shared" si="2"/>
        <v>3225</v>
      </c>
      <c r="S265">
        <f t="shared" si="2"/>
        <v>3225</v>
      </c>
      <c r="T265">
        <f t="shared" si="2"/>
        <v>3225</v>
      </c>
    </row>
    <row r="266" spans="1:20" x14ac:dyDescent="0.4">
      <c r="A266">
        <v>2027</v>
      </c>
      <c r="B266">
        <v>2.4</v>
      </c>
      <c r="C266">
        <v>2.4</v>
      </c>
      <c r="D266">
        <v>2.4</v>
      </c>
      <c r="E266">
        <v>2.4</v>
      </c>
      <c r="F266">
        <v>2.4</v>
      </c>
      <c r="G266">
        <v>2.4</v>
      </c>
      <c r="H266">
        <v>2.4</v>
      </c>
      <c r="I266">
        <v>2.4</v>
      </c>
      <c r="J266">
        <v>2.4</v>
      </c>
      <c r="L266">
        <f t="shared" si="3"/>
        <v>2400</v>
      </c>
      <c r="M266">
        <f t="shared" si="2"/>
        <v>2400</v>
      </c>
      <c r="N266">
        <f t="shared" si="2"/>
        <v>2400</v>
      </c>
      <c r="O266">
        <f t="shared" si="2"/>
        <v>2400</v>
      </c>
      <c r="P266">
        <f t="shared" si="2"/>
        <v>2400</v>
      </c>
      <c r="Q266">
        <f t="shared" si="2"/>
        <v>2400</v>
      </c>
      <c r="R266">
        <f t="shared" si="2"/>
        <v>2400</v>
      </c>
      <c r="S266">
        <f t="shared" si="2"/>
        <v>2400</v>
      </c>
      <c r="T266">
        <f t="shared" si="2"/>
        <v>2400</v>
      </c>
    </row>
    <row r="267" spans="1:20" x14ac:dyDescent="0.4">
      <c r="A267">
        <v>2028</v>
      </c>
      <c r="B267">
        <v>2.15</v>
      </c>
      <c r="C267">
        <v>2.15</v>
      </c>
      <c r="D267">
        <v>2.15</v>
      </c>
      <c r="E267">
        <v>2.15</v>
      </c>
      <c r="F267">
        <v>2.15</v>
      </c>
      <c r="G267">
        <v>2.15</v>
      </c>
      <c r="H267">
        <v>2.15</v>
      </c>
      <c r="I267">
        <v>2.15</v>
      </c>
      <c r="J267">
        <v>2.15</v>
      </c>
      <c r="L267">
        <f t="shared" si="3"/>
        <v>2150</v>
      </c>
      <c r="M267">
        <f t="shared" si="2"/>
        <v>2150</v>
      </c>
      <c r="N267">
        <f t="shared" si="2"/>
        <v>2150</v>
      </c>
      <c r="O267">
        <f t="shared" si="2"/>
        <v>2150</v>
      </c>
      <c r="P267">
        <f t="shared" si="2"/>
        <v>2150</v>
      </c>
      <c r="Q267">
        <f t="shared" si="2"/>
        <v>2150</v>
      </c>
      <c r="R267">
        <f t="shared" si="2"/>
        <v>2150</v>
      </c>
      <c r="S267">
        <f t="shared" si="2"/>
        <v>2150</v>
      </c>
      <c r="T267">
        <f t="shared" si="2"/>
        <v>2150</v>
      </c>
    </row>
    <row r="268" spans="1:20" x14ac:dyDescent="0.4">
      <c r="A268">
        <v>2029</v>
      </c>
      <c r="B268">
        <v>2.15</v>
      </c>
      <c r="C268">
        <v>2.15</v>
      </c>
      <c r="D268">
        <v>2.15</v>
      </c>
      <c r="E268">
        <v>2.15</v>
      </c>
      <c r="F268">
        <v>2.15</v>
      </c>
      <c r="G268">
        <v>2.15</v>
      </c>
      <c r="H268">
        <v>2.15</v>
      </c>
      <c r="I268">
        <v>2.15</v>
      </c>
      <c r="J268">
        <v>2.15</v>
      </c>
      <c r="L268">
        <f t="shared" si="3"/>
        <v>2150</v>
      </c>
      <c r="M268">
        <f t="shared" si="2"/>
        <v>2150</v>
      </c>
      <c r="N268">
        <f t="shared" si="2"/>
        <v>2150</v>
      </c>
      <c r="O268">
        <f t="shared" si="2"/>
        <v>2150</v>
      </c>
      <c r="P268">
        <f t="shared" si="2"/>
        <v>2150</v>
      </c>
      <c r="Q268">
        <f t="shared" si="2"/>
        <v>2150</v>
      </c>
      <c r="R268">
        <f t="shared" si="2"/>
        <v>2150</v>
      </c>
      <c r="S268">
        <f t="shared" si="2"/>
        <v>2150</v>
      </c>
      <c r="T268">
        <f t="shared" si="2"/>
        <v>2150</v>
      </c>
    </row>
    <row r="269" spans="1:20" x14ac:dyDescent="0.4">
      <c r="A269">
        <v>2030</v>
      </c>
      <c r="B269">
        <v>2.15</v>
      </c>
      <c r="C269">
        <v>2.15</v>
      </c>
      <c r="D269">
        <v>2.15</v>
      </c>
      <c r="E269">
        <v>2.15</v>
      </c>
      <c r="F269">
        <v>2.15</v>
      </c>
      <c r="G269">
        <v>2.15</v>
      </c>
      <c r="H269">
        <v>2.15</v>
      </c>
      <c r="I269">
        <v>2.15</v>
      </c>
      <c r="J269">
        <v>2.15</v>
      </c>
      <c r="L269">
        <f t="shared" si="3"/>
        <v>2150</v>
      </c>
      <c r="M269">
        <f t="shared" si="2"/>
        <v>2150</v>
      </c>
      <c r="N269">
        <f t="shared" si="2"/>
        <v>2150</v>
      </c>
      <c r="O269">
        <f t="shared" si="2"/>
        <v>2150</v>
      </c>
      <c r="P269">
        <f t="shared" si="2"/>
        <v>2150</v>
      </c>
      <c r="Q269">
        <f t="shared" si="2"/>
        <v>2150</v>
      </c>
      <c r="R269">
        <f t="shared" si="2"/>
        <v>2150</v>
      </c>
      <c r="S269">
        <f t="shared" si="2"/>
        <v>2150</v>
      </c>
      <c r="T269">
        <f t="shared" si="2"/>
        <v>2150</v>
      </c>
    </row>
    <row r="270" spans="1:20" x14ac:dyDescent="0.4">
      <c r="A270">
        <v>2031</v>
      </c>
      <c r="B270">
        <v>2.15</v>
      </c>
      <c r="C270">
        <v>2.15</v>
      </c>
      <c r="D270">
        <v>2.15</v>
      </c>
      <c r="E270">
        <v>2.15</v>
      </c>
      <c r="F270">
        <v>2.15</v>
      </c>
      <c r="G270">
        <v>2.15</v>
      </c>
      <c r="H270">
        <v>2.15</v>
      </c>
      <c r="I270">
        <v>2.15</v>
      </c>
      <c r="J270">
        <v>2.15</v>
      </c>
      <c r="L270">
        <f t="shared" si="3"/>
        <v>2150</v>
      </c>
      <c r="M270">
        <f t="shared" si="2"/>
        <v>2150</v>
      </c>
      <c r="N270">
        <f t="shared" si="2"/>
        <v>2150</v>
      </c>
      <c r="O270">
        <f t="shared" si="2"/>
        <v>2150</v>
      </c>
      <c r="P270">
        <f t="shared" si="2"/>
        <v>2150</v>
      </c>
      <c r="Q270">
        <f t="shared" si="2"/>
        <v>2150</v>
      </c>
      <c r="R270">
        <f t="shared" si="2"/>
        <v>2150</v>
      </c>
      <c r="S270">
        <f t="shared" si="2"/>
        <v>2150</v>
      </c>
      <c r="T270">
        <f t="shared" si="2"/>
        <v>2150</v>
      </c>
    </row>
    <row r="271" spans="1:20" x14ac:dyDescent="0.4">
      <c r="A271">
        <v>2032</v>
      </c>
      <c r="B271">
        <v>2.15</v>
      </c>
      <c r="C271">
        <v>2.15</v>
      </c>
      <c r="D271">
        <v>2.15</v>
      </c>
      <c r="E271">
        <v>2.15</v>
      </c>
      <c r="F271">
        <v>2.15</v>
      </c>
      <c r="G271">
        <v>2.15</v>
      </c>
      <c r="H271">
        <v>2.15</v>
      </c>
      <c r="I271">
        <v>2.15</v>
      </c>
      <c r="J271">
        <v>2.15</v>
      </c>
      <c r="L271">
        <f t="shared" si="3"/>
        <v>2150</v>
      </c>
      <c r="M271">
        <f t="shared" si="2"/>
        <v>2150</v>
      </c>
      <c r="N271">
        <f t="shared" si="2"/>
        <v>2150</v>
      </c>
      <c r="O271">
        <f t="shared" si="2"/>
        <v>2150</v>
      </c>
      <c r="P271">
        <f t="shared" si="2"/>
        <v>2150</v>
      </c>
      <c r="Q271">
        <f t="shared" si="2"/>
        <v>2150</v>
      </c>
      <c r="R271">
        <f t="shared" si="2"/>
        <v>2150</v>
      </c>
      <c r="S271">
        <f t="shared" si="2"/>
        <v>2150</v>
      </c>
      <c r="T271">
        <f t="shared" si="2"/>
        <v>2150</v>
      </c>
    </row>
    <row r="272" spans="1:20" x14ac:dyDescent="0.4">
      <c r="A272">
        <v>2033</v>
      </c>
      <c r="B272">
        <v>2.15</v>
      </c>
      <c r="C272">
        <v>2.15</v>
      </c>
      <c r="D272">
        <v>2.15</v>
      </c>
      <c r="E272">
        <v>2.15</v>
      </c>
      <c r="F272">
        <v>2.15</v>
      </c>
      <c r="G272">
        <v>2.15</v>
      </c>
      <c r="H272">
        <v>2.15</v>
      </c>
      <c r="I272">
        <v>2.15</v>
      </c>
      <c r="J272">
        <v>2.15</v>
      </c>
      <c r="L272">
        <f t="shared" si="3"/>
        <v>2150</v>
      </c>
      <c r="M272">
        <f t="shared" si="2"/>
        <v>2150</v>
      </c>
      <c r="N272">
        <f t="shared" si="2"/>
        <v>2150</v>
      </c>
      <c r="O272">
        <f t="shared" si="2"/>
        <v>2150</v>
      </c>
      <c r="P272">
        <f t="shared" si="2"/>
        <v>2150</v>
      </c>
      <c r="Q272">
        <f t="shared" si="2"/>
        <v>2150</v>
      </c>
      <c r="R272">
        <f t="shared" si="2"/>
        <v>2150</v>
      </c>
      <c r="S272">
        <f t="shared" si="2"/>
        <v>2150</v>
      </c>
      <c r="T272">
        <f t="shared" si="2"/>
        <v>2150</v>
      </c>
    </row>
    <row r="273" spans="1:20" x14ac:dyDescent="0.4">
      <c r="A273">
        <v>2034</v>
      </c>
      <c r="B273">
        <v>2.15</v>
      </c>
      <c r="C273">
        <v>2.15</v>
      </c>
      <c r="D273">
        <v>2.15</v>
      </c>
      <c r="E273">
        <v>2.15</v>
      </c>
      <c r="F273">
        <v>2.15</v>
      </c>
      <c r="G273">
        <v>2.15</v>
      </c>
      <c r="H273">
        <v>2.15</v>
      </c>
      <c r="I273">
        <v>2.15</v>
      </c>
      <c r="J273">
        <v>2.15</v>
      </c>
      <c r="L273">
        <f t="shared" si="3"/>
        <v>2150</v>
      </c>
      <c r="M273">
        <f t="shared" si="2"/>
        <v>2150</v>
      </c>
      <c r="N273">
        <f t="shared" si="2"/>
        <v>2150</v>
      </c>
      <c r="O273">
        <f t="shared" si="2"/>
        <v>2150</v>
      </c>
      <c r="P273">
        <f t="shared" si="2"/>
        <v>2150</v>
      </c>
      <c r="Q273">
        <f t="shared" si="2"/>
        <v>2150</v>
      </c>
      <c r="R273">
        <f t="shared" si="2"/>
        <v>2150</v>
      </c>
      <c r="S273">
        <f t="shared" si="2"/>
        <v>2150</v>
      </c>
      <c r="T273">
        <f t="shared" si="2"/>
        <v>2150</v>
      </c>
    </row>
    <row r="275" spans="1:20" x14ac:dyDescent="0.4">
      <c r="A275" t="s">
        <v>26</v>
      </c>
      <c r="B275" t="s">
        <v>25</v>
      </c>
      <c r="C275" t="s">
        <v>24</v>
      </c>
    </row>
    <row r="277" spans="1:20" x14ac:dyDescent="0.4">
      <c r="A277" t="s">
        <v>22</v>
      </c>
      <c r="B277" t="s">
        <v>34</v>
      </c>
      <c r="C277" t="s">
        <v>33</v>
      </c>
    </row>
    <row r="278" spans="1:20" x14ac:dyDescent="0.4">
      <c r="A278">
        <v>2021</v>
      </c>
      <c r="B278">
        <v>0.52710000000000001</v>
      </c>
      <c r="C278">
        <v>9.4799999999999995E-2</v>
      </c>
    </row>
    <row r="279" spans="1:20" x14ac:dyDescent="0.4">
      <c r="A279">
        <v>2022</v>
      </c>
      <c r="B279">
        <v>0.37269999999999998</v>
      </c>
      <c r="C279">
        <v>7.4999999999999997E-2</v>
      </c>
    </row>
    <row r="280" spans="1:20" x14ac:dyDescent="0.4">
      <c r="A280">
        <v>2023</v>
      </c>
      <c r="B280">
        <v>0.38159999999999999</v>
      </c>
      <c r="C280">
        <v>9.0999999999999998E-2</v>
      </c>
    </row>
    <row r="281" spans="1:20" x14ac:dyDescent="0.4">
      <c r="A281">
        <v>2024</v>
      </c>
      <c r="B281">
        <v>0.42399999999999999</v>
      </c>
      <c r="C281">
        <v>0.1206</v>
      </c>
    </row>
    <row r="282" spans="1:20" x14ac:dyDescent="0.4">
      <c r="A282">
        <v>2025</v>
      </c>
      <c r="B282">
        <v>0.69899999999999995</v>
      </c>
      <c r="C282">
        <v>0.2712</v>
      </c>
    </row>
    <row r="283" spans="1:20" x14ac:dyDescent="0.4">
      <c r="A283">
        <v>2026</v>
      </c>
      <c r="B283">
        <v>0.90090000000000003</v>
      </c>
      <c r="C283">
        <v>0.56779999999999997</v>
      </c>
    </row>
    <row r="284" spans="1:20" x14ac:dyDescent="0.4">
      <c r="A284">
        <v>2027</v>
      </c>
      <c r="B284">
        <v>0.78490000000000004</v>
      </c>
      <c r="C284">
        <v>0.6421</v>
      </c>
    </row>
    <row r="285" spans="1:20" x14ac:dyDescent="0.4">
      <c r="A285">
        <v>2028</v>
      </c>
      <c r="B285">
        <v>0.69040000000000001</v>
      </c>
      <c r="C285">
        <v>0.55289999999999995</v>
      </c>
    </row>
    <row r="286" spans="1:20" x14ac:dyDescent="0.4">
      <c r="A286">
        <v>2029</v>
      </c>
      <c r="B286">
        <v>0.66520000000000001</v>
      </c>
      <c r="C286">
        <v>0.5403</v>
      </c>
    </row>
    <row r="287" spans="1:20" x14ac:dyDescent="0.4">
      <c r="A287">
        <v>2030</v>
      </c>
      <c r="B287">
        <v>0.64410000000000001</v>
      </c>
      <c r="C287">
        <v>0.52059999999999995</v>
      </c>
    </row>
    <row r="288" spans="1:20" x14ac:dyDescent="0.4">
      <c r="A288">
        <v>2031</v>
      </c>
      <c r="B288">
        <v>0.62739999999999996</v>
      </c>
      <c r="C288">
        <v>0.49940000000000001</v>
      </c>
    </row>
    <row r="289" spans="1:21" x14ac:dyDescent="0.4">
      <c r="A289">
        <v>2032</v>
      </c>
      <c r="B289">
        <v>0.61319999999999997</v>
      </c>
      <c r="C289">
        <v>0.46949999999999997</v>
      </c>
    </row>
    <row r="290" spans="1:21" x14ac:dyDescent="0.4">
      <c r="A290">
        <v>2033</v>
      </c>
      <c r="B290">
        <v>0.60309999999999997</v>
      </c>
      <c r="C290">
        <v>0.45129999999999998</v>
      </c>
    </row>
    <row r="291" spans="1:21" x14ac:dyDescent="0.4">
      <c r="A291">
        <v>2034</v>
      </c>
      <c r="B291">
        <v>0.59589999999999999</v>
      </c>
      <c r="C291">
        <v>0.4425</v>
      </c>
    </row>
    <row r="293" spans="1:21" x14ac:dyDescent="0.4">
      <c r="A293" t="s">
        <v>26</v>
      </c>
      <c r="B293" t="s">
        <v>25</v>
      </c>
      <c r="C293" t="s">
        <v>24</v>
      </c>
      <c r="D293" t="s">
        <v>32</v>
      </c>
    </row>
    <row r="295" spans="1:21" x14ac:dyDescent="0.4">
      <c r="A295" t="s">
        <v>22</v>
      </c>
      <c r="B295" s="2">
        <v>0.01</v>
      </c>
      <c r="C295" s="2">
        <v>0.05</v>
      </c>
      <c r="D295" s="2">
        <v>0.1</v>
      </c>
      <c r="E295" s="2">
        <v>0.25</v>
      </c>
      <c r="F295" s="2">
        <v>0.5</v>
      </c>
      <c r="G295" s="2">
        <v>0.75</v>
      </c>
      <c r="H295" s="2">
        <v>0.9</v>
      </c>
      <c r="I295" s="2">
        <v>0.95</v>
      </c>
      <c r="J295" s="2">
        <v>0.99</v>
      </c>
      <c r="L295" t="s">
        <v>22</v>
      </c>
      <c r="M295" s="2">
        <v>0.01</v>
      </c>
      <c r="N295" s="2">
        <v>0.05</v>
      </c>
      <c r="O295" s="2">
        <v>0.1</v>
      </c>
      <c r="P295" s="2">
        <v>0.25</v>
      </c>
      <c r="Q295" s="2">
        <v>0.5</v>
      </c>
      <c r="R295" s="2">
        <v>0.75</v>
      </c>
      <c r="S295" s="2">
        <v>0.9</v>
      </c>
      <c r="T295" s="2">
        <v>0.95</v>
      </c>
      <c r="U295" s="2">
        <v>0.99</v>
      </c>
    </row>
    <row r="296" spans="1:21" x14ac:dyDescent="0.4">
      <c r="A296">
        <v>2021</v>
      </c>
      <c r="B296">
        <v>0.28339999999999999</v>
      </c>
      <c r="C296">
        <v>0.38690000000000002</v>
      </c>
      <c r="D296">
        <v>0.41820000000000002</v>
      </c>
      <c r="E296">
        <v>0.46350000000000002</v>
      </c>
      <c r="F296">
        <v>0.52500000000000002</v>
      </c>
      <c r="G296">
        <v>0.58330000000000004</v>
      </c>
      <c r="H296">
        <v>0.63719999999999999</v>
      </c>
      <c r="I296">
        <v>0.67279999999999995</v>
      </c>
      <c r="J296">
        <v>0.82879999999999998</v>
      </c>
      <c r="L296">
        <v>2021</v>
      </c>
      <c r="M296" s="14">
        <f>B296*0.63</f>
        <v>0.17854199999999998</v>
      </c>
      <c r="N296" s="14">
        <f t="shared" ref="N296:U309" si="4">C296*0.63</f>
        <v>0.24374700000000002</v>
      </c>
      <c r="O296" s="14">
        <f t="shared" si="4"/>
        <v>0.26346600000000003</v>
      </c>
      <c r="P296" s="14">
        <f t="shared" si="4"/>
        <v>0.29200500000000001</v>
      </c>
      <c r="Q296" s="14">
        <f t="shared" si="4"/>
        <v>0.33075000000000004</v>
      </c>
      <c r="R296" s="14">
        <f t="shared" si="4"/>
        <v>0.36747900000000006</v>
      </c>
      <c r="S296" s="14">
        <f t="shared" si="4"/>
        <v>0.40143600000000002</v>
      </c>
      <c r="T296" s="14">
        <f t="shared" si="4"/>
        <v>0.42386399999999996</v>
      </c>
      <c r="U296" s="14">
        <f t="shared" si="4"/>
        <v>0.52214399999999994</v>
      </c>
    </row>
    <row r="297" spans="1:21" x14ac:dyDescent="0.4">
      <c r="A297">
        <v>2022</v>
      </c>
      <c r="B297">
        <v>0.22600000000000001</v>
      </c>
      <c r="C297">
        <v>0.2606</v>
      </c>
      <c r="D297">
        <v>0.28079999999999999</v>
      </c>
      <c r="E297">
        <v>0.32500000000000001</v>
      </c>
      <c r="F297">
        <v>0.36370000000000002</v>
      </c>
      <c r="G297">
        <v>0.41489999999999999</v>
      </c>
      <c r="H297">
        <v>0.47299999999999998</v>
      </c>
      <c r="I297">
        <v>0.51100000000000001</v>
      </c>
      <c r="J297">
        <v>0.58760000000000001</v>
      </c>
      <c r="L297">
        <v>2022</v>
      </c>
      <c r="M297" s="14">
        <f t="shared" ref="M297:M309" si="5">B297*0.63</f>
        <v>0.14238000000000001</v>
      </c>
      <c r="N297" s="14">
        <f t="shared" si="4"/>
        <v>0.16417799999999999</v>
      </c>
      <c r="O297" s="14">
        <f t="shared" si="4"/>
        <v>0.17690400000000001</v>
      </c>
      <c r="P297" s="14">
        <f t="shared" si="4"/>
        <v>0.20475000000000002</v>
      </c>
      <c r="Q297" s="14">
        <f t="shared" si="4"/>
        <v>0.22913100000000003</v>
      </c>
      <c r="R297" s="14">
        <f t="shared" si="4"/>
        <v>0.26138699999999998</v>
      </c>
      <c r="S297" s="14">
        <f t="shared" si="4"/>
        <v>0.29798999999999998</v>
      </c>
      <c r="T297" s="14">
        <f t="shared" si="4"/>
        <v>0.32192999999999999</v>
      </c>
      <c r="U297" s="14">
        <f t="shared" si="4"/>
        <v>0.37018800000000002</v>
      </c>
    </row>
    <row r="298" spans="1:21" x14ac:dyDescent="0.4">
      <c r="A298">
        <v>2023</v>
      </c>
      <c r="B298">
        <v>0.22309999999999999</v>
      </c>
      <c r="C298">
        <v>0.2555</v>
      </c>
      <c r="D298">
        <v>0.27660000000000001</v>
      </c>
      <c r="E298">
        <v>0.31759999999999999</v>
      </c>
      <c r="F298">
        <v>0.36919999999999997</v>
      </c>
      <c r="G298">
        <v>0.43159999999999998</v>
      </c>
      <c r="H298">
        <v>0.50339999999999996</v>
      </c>
      <c r="I298">
        <v>0.55130000000000001</v>
      </c>
      <c r="J298">
        <v>0.65029999999999999</v>
      </c>
      <c r="L298">
        <v>2023</v>
      </c>
      <c r="M298" s="14">
        <f t="shared" si="5"/>
        <v>0.14055299999999998</v>
      </c>
      <c r="N298" s="14">
        <f t="shared" si="4"/>
        <v>0.160965</v>
      </c>
      <c r="O298" s="14">
        <f t="shared" si="4"/>
        <v>0.174258</v>
      </c>
      <c r="P298" s="14">
        <f t="shared" si="4"/>
        <v>0.20008799999999999</v>
      </c>
      <c r="Q298" s="14">
        <f t="shared" si="4"/>
        <v>0.232596</v>
      </c>
      <c r="R298" s="14">
        <f t="shared" si="4"/>
        <v>0.27190799999999998</v>
      </c>
      <c r="S298" s="14">
        <f t="shared" si="4"/>
        <v>0.31714199999999998</v>
      </c>
      <c r="T298" s="14">
        <f t="shared" si="4"/>
        <v>0.34731899999999999</v>
      </c>
      <c r="U298" s="14">
        <f t="shared" si="4"/>
        <v>0.40968899999999997</v>
      </c>
    </row>
    <row r="299" spans="1:21" x14ac:dyDescent="0.4">
      <c r="A299">
        <v>2024</v>
      </c>
      <c r="B299">
        <v>0.23200000000000001</v>
      </c>
      <c r="C299">
        <v>0.27079999999999999</v>
      </c>
      <c r="D299">
        <v>0.29409999999999997</v>
      </c>
      <c r="E299">
        <v>0.33929999999999999</v>
      </c>
      <c r="F299">
        <v>0.40300000000000002</v>
      </c>
      <c r="G299">
        <v>0.48570000000000002</v>
      </c>
      <c r="H299">
        <v>0.58120000000000005</v>
      </c>
      <c r="I299">
        <v>0.65100000000000002</v>
      </c>
      <c r="J299">
        <v>0.80769999999999997</v>
      </c>
      <c r="L299">
        <v>2024</v>
      </c>
      <c r="M299" s="14">
        <f t="shared" si="5"/>
        <v>0.14616000000000001</v>
      </c>
      <c r="N299" s="14">
        <f t="shared" si="4"/>
        <v>0.17060400000000001</v>
      </c>
      <c r="O299" s="14">
        <f t="shared" si="4"/>
        <v>0.18528299999999998</v>
      </c>
      <c r="P299" s="14">
        <f t="shared" si="4"/>
        <v>0.213759</v>
      </c>
      <c r="Q299" s="14">
        <f t="shared" si="4"/>
        <v>0.25389</v>
      </c>
      <c r="R299" s="14">
        <f t="shared" si="4"/>
        <v>0.30599100000000001</v>
      </c>
      <c r="S299" s="14">
        <f t="shared" si="4"/>
        <v>0.36615600000000004</v>
      </c>
      <c r="T299" s="14">
        <f t="shared" si="4"/>
        <v>0.41012999999999999</v>
      </c>
      <c r="U299" s="14">
        <f t="shared" si="4"/>
        <v>0.50885099999999994</v>
      </c>
    </row>
    <row r="300" spans="1:21" x14ac:dyDescent="0.4">
      <c r="A300">
        <v>2025</v>
      </c>
      <c r="B300">
        <v>0.3337</v>
      </c>
      <c r="C300">
        <v>0.40160000000000001</v>
      </c>
      <c r="D300">
        <v>0.44030000000000002</v>
      </c>
      <c r="E300">
        <v>0.51970000000000005</v>
      </c>
      <c r="F300">
        <v>0.63800000000000001</v>
      </c>
      <c r="G300">
        <v>0.80710000000000004</v>
      </c>
      <c r="H300">
        <v>1.0230999999999999</v>
      </c>
      <c r="I300">
        <v>1.2010000000000001</v>
      </c>
      <c r="J300">
        <v>1.6627000000000001</v>
      </c>
      <c r="L300">
        <v>2025</v>
      </c>
      <c r="M300" s="14">
        <f t="shared" si="5"/>
        <v>0.210231</v>
      </c>
      <c r="N300" s="14">
        <f t="shared" si="4"/>
        <v>0.25300800000000001</v>
      </c>
      <c r="O300" s="14">
        <f t="shared" si="4"/>
        <v>0.277389</v>
      </c>
      <c r="P300" s="14">
        <f t="shared" si="4"/>
        <v>0.32741100000000001</v>
      </c>
      <c r="Q300" s="14">
        <f t="shared" si="4"/>
        <v>0.40194000000000002</v>
      </c>
      <c r="R300" s="14">
        <f t="shared" si="4"/>
        <v>0.50847300000000006</v>
      </c>
      <c r="S300" s="14">
        <f t="shared" si="4"/>
        <v>0.64455299999999993</v>
      </c>
      <c r="T300" s="14">
        <f t="shared" si="4"/>
        <v>0.75663000000000002</v>
      </c>
      <c r="U300" s="14">
        <f t="shared" si="4"/>
        <v>1.047501</v>
      </c>
    </row>
    <row r="301" spans="1:21" x14ac:dyDescent="0.4">
      <c r="A301">
        <v>2026</v>
      </c>
      <c r="B301">
        <v>0.35060000000000002</v>
      </c>
      <c r="C301">
        <v>0.43759999999999999</v>
      </c>
      <c r="D301">
        <v>0.48859999999999998</v>
      </c>
      <c r="E301">
        <v>0.59440000000000004</v>
      </c>
      <c r="F301">
        <v>0.76139999999999997</v>
      </c>
      <c r="G301">
        <v>1.0246999999999999</v>
      </c>
      <c r="H301">
        <v>1.4207000000000001</v>
      </c>
      <c r="I301">
        <v>1.7906</v>
      </c>
      <c r="J301">
        <v>3.0304000000000002</v>
      </c>
      <c r="L301">
        <v>2026</v>
      </c>
      <c r="M301" s="14">
        <f t="shared" si="5"/>
        <v>0.22087800000000002</v>
      </c>
      <c r="N301" s="14">
        <f t="shared" si="4"/>
        <v>0.27568799999999999</v>
      </c>
      <c r="O301" s="14">
        <f t="shared" si="4"/>
        <v>0.30781799999999998</v>
      </c>
      <c r="P301" s="14">
        <f t="shared" si="4"/>
        <v>0.37447200000000003</v>
      </c>
      <c r="Q301" s="14">
        <f t="shared" si="4"/>
        <v>0.479682</v>
      </c>
      <c r="R301" s="14">
        <f t="shared" si="4"/>
        <v>0.64556099999999994</v>
      </c>
      <c r="S301" s="14">
        <f t="shared" si="4"/>
        <v>0.89504100000000009</v>
      </c>
      <c r="T301" s="14">
        <f t="shared" si="4"/>
        <v>1.1280779999999999</v>
      </c>
      <c r="U301" s="14">
        <f t="shared" si="4"/>
        <v>1.9091520000000002</v>
      </c>
    </row>
    <row r="302" spans="1:21" x14ac:dyDescent="0.4">
      <c r="A302">
        <v>2027</v>
      </c>
      <c r="B302">
        <v>0.26579999999999998</v>
      </c>
      <c r="C302">
        <v>0.33929999999999999</v>
      </c>
      <c r="D302">
        <v>0.38290000000000002</v>
      </c>
      <c r="E302">
        <v>0.4748</v>
      </c>
      <c r="F302">
        <v>0.62460000000000004</v>
      </c>
      <c r="G302">
        <v>0.87339999999999995</v>
      </c>
      <c r="H302">
        <v>1.2883</v>
      </c>
      <c r="I302">
        <v>1.6968000000000001</v>
      </c>
      <c r="J302">
        <v>3.3209</v>
      </c>
      <c r="L302">
        <v>2027</v>
      </c>
      <c r="M302" s="14">
        <f t="shared" si="5"/>
        <v>0.16745399999999999</v>
      </c>
      <c r="N302" s="14">
        <f t="shared" si="4"/>
        <v>0.213759</v>
      </c>
      <c r="O302" s="14">
        <f t="shared" si="4"/>
        <v>0.24122700000000002</v>
      </c>
      <c r="P302" s="14">
        <f t="shared" si="4"/>
        <v>0.299124</v>
      </c>
      <c r="Q302" s="14">
        <f t="shared" si="4"/>
        <v>0.39349800000000001</v>
      </c>
      <c r="R302" s="14">
        <f t="shared" si="4"/>
        <v>0.55024200000000001</v>
      </c>
      <c r="S302" s="14">
        <f t="shared" si="4"/>
        <v>0.81162900000000004</v>
      </c>
      <c r="T302" s="14">
        <f t="shared" si="4"/>
        <v>1.0689840000000002</v>
      </c>
      <c r="U302" s="14">
        <f t="shared" si="4"/>
        <v>2.0921669999999999</v>
      </c>
    </row>
    <row r="303" spans="1:21" x14ac:dyDescent="0.4">
      <c r="A303">
        <v>2028</v>
      </c>
      <c r="B303">
        <v>0.2354</v>
      </c>
      <c r="C303">
        <v>0.2984</v>
      </c>
      <c r="D303">
        <v>0.3367</v>
      </c>
      <c r="E303">
        <v>0.41770000000000002</v>
      </c>
      <c r="F303">
        <v>0.54949999999999999</v>
      </c>
      <c r="G303">
        <v>0.77139999999999997</v>
      </c>
      <c r="H303">
        <v>1.1295999999999999</v>
      </c>
      <c r="I303">
        <v>1.5006999999999999</v>
      </c>
      <c r="J303">
        <v>2.9277000000000002</v>
      </c>
      <c r="L303">
        <v>2028</v>
      </c>
      <c r="M303" s="14">
        <f t="shared" si="5"/>
        <v>0.14830199999999999</v>
      </c>
      <c r="N303" s="14">
        <f t="shared" si="4"/>
        <v>0.18799199999999999</v>
      </c>
      <c r="O303" s="14">
        <f t="shared" si="4"/>
        <v>0.212121</v>
      </c>
      <c r="P303" s="14">
        <f t="shared" si="4"/>
        <v>0.26315100000000002</v>
      </c>
      <c r="Q303" s="14">
        <f t="shared" si="4"/>
        <v>0.34618500000000002</v>
      </c>
      <c r="R303" s="14">
        <f t="shared" si="4"/>
        <v>0.48598199999999997</v>
      </c>
      <c r="S303" s="14">
        <f t="shared" si="4"/>
        <v>0.71164799999999995</v>
      </c>
      <c r="T303" s="14">
        <f t="shared" si="4"/>
        <v>0.94544099999999998</v>
      </c>
      <c r="U303" s="14">
        <f t="shared" si="4"/>
        <v>1.8444510000000001</v>
      </c>
    </row>
    <row r="304" spans="1:21" x14ac:dyDescent="0.4">
      <c r="A304">
        <v>2029</v>
      </c>
      <c r="B304">
        <v>0.2319</v>
      </c>
      <c r="C304">
        <v>0.29170000000000001</v>
      </c>
      <c r="D304">
        <v>0.32850000000000001</v>
      </c>
      <c r="E304">
        <v>0.40629999999999999</v>
      </c>
      <c r="F304">
        <v>0.53210000000000002</v>
      </c>
      <c r="G304">
        <v>0.7429</v>
      </c>
      <c r="H304">
        <v>1.0746</v>
      </c>
      <c r="I304">
        <v>1.4213</v>
      </c>
      <c r="J304">
        <v>2.7376999999999998</v>
      </c>
      <c r="L304">
        <v>2029</v>
      </c>
      <c r="M304" s="14">
        <f t="shared" si="5"/>
        <v>0.146097</v>
      </c>
      <c r="N304" s="14">
        <f t="shared" si="4"/>
        <v>0.18377100000000002</v>
      </c>
      <c r="O304" s="14">
        <f t="shared" si="4"/>
        <v>0.206955</v>
      </c>
      <c r="P304" s="14">
        <f t="shared" si="4"/>
        <v>0.255969</v>
      </c>
      <c r="Q304" s="14">
        <f t="shared" si="4"/>
        <v>0.33522299999999999</v>
      </c>
      <c r="R304" s="14">
        <f t="shared" si="4"/>
        <v>0.46802700000000003</v>
      </c>
      <c r="S304" s="14">
        <f t="shared" si="4"/>
        <v>0.67699799999999999</v>
      </c>
      <c r="T304" s="14">
        <f t="shared" si="4"/>
        <v>0.89541899999999996</v>
      </c>
      <c r="U304" s="14">
        <f t="shared" si="4"/>
        <v>1.7247509999999999</v>
      </c>
    </row>
    <row r="305" spans="1:21" x14ac:dyDescent="0.4">
      <c r="A305">
        <v>2030</v>
      </c>
      <c r="B305">
        <v>0.22750000000000001</v>
      </c>
      <c r="C305">
        <v>0.28589999999999999</v>
      </c>
      <c r="D305">
        <v>0.32179999999999997</v>
      </c>
      <c r="E305">
        <v>0.3972</v>
      </c>
      <c r="F305">
        <v>0.51890000000000003</v>
      </c>
      <c r="G305">
        <v>0.71760000000000002</v>
      </c>
      <c r="H305">
        <v>1.0335000000000001</v>
      </c>
      <c r="I305">
        <v>1.3577999999999999</v>
      </c>
      <c r="J305">
        <v>2.6114999999999999</v>
      </c>
      <c r="L305">
        <v>2030</v>
      </c>
      <c r="M305" s="14">
        <f t="shared" si="5"/>
        <v>0.14332500000000001</v>
      </c>
      <c r="N305" s="14">
        <f t="shared" si="4"/>
        <v>0.180117</v>
      </c>
      <c r="O305" s="14">
        <f t="shared" si="4"/>
        <v>0.202734</v>
      </c>
      <c r="P305" s="14">
        <f t="shared" si="4"/>
        <v>0.25023600000000001</v>
      </c>
      <c r="Q305" s="14">
        <f t="shared" si="4"/>
        <v>0.326907</v>
      </c>
      <c r="R305" s="14">
        <f t="shared" si="4"/>
        <v>0.45208799999999999</v>
      </c>
      <c r="S305" s="14">
        <f t="shared" si="4"/>
        <v>0.65110500000000004</v>
      </c>
      <c r="T305" s="14">
        <f t="shared" si="4"/>
        <v>0.8554139999999999</v>
      </c>
      <c r="U305" s="14">
        <f t="shared" si="4"/>
        <v>1.6452450000000001</v>
      </c>
    </row>
    <row r="306" spans="1:21" x14ac:dyDescent="0.4">
      <c r="A306">
        <v>2031</v>
      </c>
      <c r="B306">
        <v>0.22520000000000001</v>
      </c>
      <c r="C306">
        <v>0.28270000000000001</v>
      </c>
      <c r="D306">
        <v>0.31730000000000003</v>
      </c>
      <c r="E306">
        <v>0.3901</v>
      </c>
      <c r="F306">
        <v>0.50849999999999995</v>
      </c>
      <c r="G306">
        <v>0.69830000000000003</v>
      </c>
      <c r="H306">
        <v>1</v>
      </c>
      <c r="I306">
        <v>1.3115000000000001</v>
      </c>
      <c r="J306">
        <v>2.5011000000000001</v>
      </c>
      <c r="L306">
        <v>2031</v>
      </c>
      <c r="M306" s="14">
        <f t="shared" si="5"/>
        <v>0.141876</v>
      </c>
      <c r="N306" s="14">
        <f t="shared" si="4"/>
        <v>0.17810100000000001</v>
      </c>
      <c r="O306" s="14">
        <f t="shared" si="4"/>
        <v>0.19989900000000002</v>
      </c>
      <c r="P306" s="14">
        <f t="shared" si="4"/>
        <v>0.24576300000000001</v>
      </c>
      <c r="Q306" s="14">
        <f t="shared" si="4"/>
        <v>0.32035499999999995</v>
      </c>
      <c r="R306" s="14">
        <f t="shared" si="4"/>
        <v>0.43992900000000001</v>
      </c>
      <c r="S306" s="14">
        <f t="shared" si="4"/>
        <v>0.63</v>
      </c>
      <c r="T306" s="14">
        <f t="shared" si="4"/>
        <v>0.82624500000000012</v>
      </c>
      <c r="U306" s="14">
        <f t="shared" si="4"/>
        <v>1.575693</v>
      </c>
    </row>
    <row r="307" spans="1:21" x14ac:dyDescent="0.4">
      <c r="A307">
        <v>2032</v>
      </c>
      <c r="B307">
        <v>0.223</v>
      </c>
      <c r="C307">
        <v>0.28089999999999998</v>
      </c>
      <c r="D307">
        <v>0.31430000000000002</v>
      </c>
      <c r="E307">
        <v>0.38490000000000002</v>
      </c>
      <c r="F307">
        <v>0.4995</v>
      </c>
      <c r="G307">
        <v>0.68630000000000002</v>
      </c>
      <c r="H307">
        <v>0.98440000000000005</v>
      </c>
      <c r="I307">
        <v>1.2726999999999999</v>
      </c>
      <c r="J307">
        <v>2.3866999999999998</v>
      </c>
      <c r="L307">
        <v>2032</v>
      </c>
      <c r="M307" s="14">
        <f t="shared" si="5"/>
        <v>0.14049</v>
      </c>
      <c r="N307" s="14">
        <f t="shared" si="4"/>
        <v>0.17696699999999999</v>
      </c>
      <c r="O307" s="14">
        <f t="shared" si="4"/>
        <v>0.19800900000000002</v>
      </c>
      <c r="P307" s="14">
        <f t="shared" si="4"/>
        <v>0.24248700000000001</v>
      </c>
      <c r="Q307" s="14">
        <f t="shared" si="4"/>
        <v>0.31468499999999999</v>
      </c>
      <c r="R307" s="14">
        <f t="shared" si="4"/>
        <v>0.432369</v>
      </c>
      <c r="S307" s="14">
        <f t="shared" si="4"/>
        <v>0.62017200000000006</v>
      </c>
      <c r="T307" s="14">
        <f t="shared" si="4"/>
        <v>0.80180099999999999</v>
      </c>
      <c r="U307" s="14">
        <f t="shared" si="4"/>
        <v>1.5036209999999999</v>
      </c>
    </row>
    <row r="308" spans="1:21" x14ac:dyDescent="0.4">
      <c r="A308">
        <v>2033</v>
      </c>
      <c r="B308">
        <v>0.2228</v>
      </c>
      <c r="C308">
        <v>0.27839999999999998</v>
      </c>
      <c r="D308">
        <v>0.31140000000000001</v>
      </c>
      <c r="E308">
        <v>0.38090000000000002</v>
      </c>
      <c r="F308">
        <v>0.49349999999999999</v>
      </c>
      <c r="G308">
        <v>0.67500000000000004</v>
      </c>
      <c r="H308">
        <v>0.96760000000000002</v>
      </c>
      <c r="I308">
        <v>1.2426999999999999</v>
      </c>
      <c r="J308">
        <v>2.3098000000000001</v>
      </c>
      <c r="L308">
        <v>2033</v>
      </c>
      <c r="M308" s="14">
        <f t="shared" si="5"/>
        <v>0.14036399999999999</v>
      </c>
      <c r="N308" s="14">
        <f t="shared" si="4"/>
        <v>0.17539199999999999</v>
      </c>
      <c r="O308" s="14">
        <f t="shared" si="4"/>
        <v>0.196182</v>
      </c>
      <c r="P308" s="14">
        <f t="shared" si="4"/>
        <v>0.23996700000000001</v>
      </c>
      <c r="Q308" s="14">
        <f t="shared" si="4"/>
        <v>0.31090499999999999</v>
      </c>
      <c r="R308" s="14">
        <f t="shared" si="4"/>
        <v>0.42525000000000002</v>
      </c>
      <c r="S308" s="14">
        <f t="shared" si="4"/>
        <v>0.60958800000000002</v>
      </c>
      <c r="T308" s="14">
        <f t="shared" si="4"/>
        <v>0.78290099999999996</v>
      </c>
      <c r="U308" s="14">
        <f t="shared" si="4"/>
        <v>1.455174</v>
      </c>
    </row>
    <row r="309" spans="1:21" x14ac:dyDescent="0.4">
      <c r="A309">
        <v>2034</v>
      </c>
      <c r="B309">
        <v>0.21990000000000001</v>
      </c>
      <c r="C309">
        <v>0.27660000000000001</v>
      </c>
      <c r="D309">
        <v>0.30940000000000001</v>
      </c>
      <c r="E309">
        <v>0.37780000000000002</v>
      </c>
      <c r="F309">
        <v>0.48930000000000001</v>
      </c>
      <c r="G309">
        <v>0.66900000000000004</v>
      </c>
      <c r="H309">
        <v>0.95540000000000003</v>
      </c>
      <c r="I309">
        <v>1.2177</v>
      </c>
      <c r="J309">
        <v>2.2425999999999999</v>
      </c>
      <c r="L309">
        <v>2034</v>
      </c>
      <c r="M309" s="14">
        <f t="shared" si="5"/>
        <v>0.13853700000000002</v>
      </c>
      <c r="N309" s="14">
        <f t="shared" si="4"/>
        <v>0.174258</v>
      </c>
      <c r="O309" s="14">
        <f t="shared" si="4"/>
        <v>0.19492200000000001</v>
      </c>
      <c r="P309" s="14">
        <f t="shared" si="4"/>
        <v>0.23801400000000003</v>
      </c>
      <c r="Q309" s="14">
        <f t="shared" si="4"/>
        <v>0.30825900000000001</v>
      </c>
      <c r="R309" s="14">
        <f t="shared" si="4"/>
        <v>0.42147000000000001</v>
      </c>
      <c r="S309" s="14">
        <f t="shared" si="4"/>
        <v>0.60190200000000005</v>
      </c>
      <c r="T309" s="14">
        <f t="shared" si="4"/>
        <v>0.76715100000000003</v>
      </c>
      <c r="U309" s="14">
        <f t="shared" si="4"/>
        <v>1.412838</v>
      </c>
    </row>
    <row r="311" spans="1:21" x14ac:dyDescent="0.4">
      <c r="A311" s="1">
        <v>45658</v>
      </c>
      <c r="B311" t="s">
        <v>3</v>
      </c>
      <c r="C311" t="s">
        <v>2</v>
      </c>
      <c r="D311" t="s">
        <v>1</v>
      </c>
      <c r="E311" t="s">
        <v>0</v>
      </c>
      <c r="F311" t="s">
        <v>31</v>
      </c>
      <c r="G311">
        <v>1000</v>
      </c>
      <c r="H311" t="s">
        <v>30</v>
      </c>
    </row>
    <row r="313" spans="1:21" x14ac:dyDescent="0.4">
      <c r="A313">
        <v>2021</v>
      </c>
    </row>
    <row r="315" spans="1:21" x14ac:dyDescent="0.4">
      <c r="A315" t="s">
        <v>0</v>
      </c>
      <c r="B315" s="2">
        <v>0.01</v>
      </c>
      <c r="C315" s="2">
        <v>0.05</v>
      </c>
      <c r="D315" s="2">
        <v>0.1</v>
      </c>
      <c r="E315" s="2">
        <v>0.25</v>
      </c>
      <c r="F315" s="2">
        <v>0.5</v>
      </c>
      <c r="G315" s="2">
        <v>0.75</v>
      </c>
      <c r="H315" s="2">
        <v>0.9</v>
      </c>
      <c r="I315" s="2">
        <v>0.95</v>
      </c>
      <c r="J315" s="2">
        <v>0.99</v>
      </c>
    </row>
    <row r="316" spans="1:21" x14ac:dyDescent="0.4">
      <c r="A316">
        <v>1</v>
      </c>
      <c r="B316">
        <v>140.23699999999999</v>
      </c>
      <c r="C316">
        <v>175.09</v>
      </c>
      <c r="D316">
        <v>184.83199999999999</v>
      </c>
      <c r="E316">
        <v>216.71299999999999</v>
      </c>
      <c r="F316">
        <v>261.14800000000002</v>
      </c>
      <c r="G316">
        <v>317.36900000000003</v>
      </c>
      <c r="H316">
        <v>385.62900000000002</v>
      </c>
      <c r="I316">
        <v>409.50799999999998</v>
      </c>
      <c r="J316">
        <v>464.92500000000001</v>
      </c>
    </row>
    <row r="317" spans="1:21" x14ac:dyDescent="0.4">
      <c r="A317">
        <v>2</v>
      </c>
      <c r="B317">
        <v>58.938899999999997</v>
      </c>
      <c r="C317">
        <v>77.947699999999998</v>
      </c>
      <c r="D317">
        <v>80.861999999999995</v>
      </c>
      <c r="E317">
        <v>85.445099999999996</v>
      </c>
      <c r="F317">
        <v>100.4175</v>
      </c>
      <c r="G317">
        <v>112.524</v>
      </c>
      <c r="H317">
        <v>125.34699999999999</v>
      </c>
      <c r="I317">
        <v>138.49799999999999</v>
      </c>
      <c r="J317">
        <v>148.43899999999999</v>
      </c>
    </row>
    <row r="318" spans="1:21" x14ac:dyDescent="0.4">
      <c r="A318">
        <v>3</v>
      </c>
      <c r="B318">
        <v>34.198599999999999</v>
      </c>
      <c r="C318">
        <v>41.346600000000002</v>
      </c>
      <c r="D318">
        <v>43.517699999999998</v>
      </c>
      <c r="E318">
        <v>47.938099999999999</v>
      </c>
      <c r="F318">
        <v>54.8765</v>
      </c>
      <c r="G318">
        <v>60.445500000000003</v>
      </c>
      <c r="H318">
        <v>67.3245</v>
      </c>
      <c r="I318">
        <v>74.481700000000004</v>
      </c>
      <c r="J318">
        <v>84.833500000000001</v>
      </c>
    </row>
    <row r="319" spans="1:21" x14ac:dyDescent="0.4">
      <c r="A319">
        <v>4</v>
      </c>
      <c r="B319">
        <v>4.4701000000000004</v>
      </c>
      <c r="C319">
        <v>6.3288000000000002</v>
      </c>
      <c r="D319">
        <v>7.3712</v>
      </c>
      <c r="E319">
        <v>8.3369</v>
      </c>
      <c r="F319">
        <v>9.5329999999999995</v>
      </c>
      <c r="G319">
        <v>10.835800000000001</v>
      </c>
      <c r="H319">
        <v>12.5169</v>
      </c>
      <c r="I319">
        <v>14.0136</v>
      </c>
      <c r="J319">
        <v>20.605399999999999</v>
      </c>
    </row>
    <row r="320" spans="1:21" x14ac:dyDescent="0.4">
      <c r="A320">
        <v>5</v>
      </c>
      <c r="B320">
        <v>1.2938000000000001</v>
      </c>
      <c r="C320">
        <v>1.6031</v>
      </c>
      <c r="D320">
        <v>1.7337</v>
      </c>
      <c r="E320">
        <v>2.2441</v>
      </c>
      <c r="F320">
        <v>2.6907000000000001</v>
      </c>
      <c r="G320">
        <v>3.2694999999999999</v>
      </c>
      <c r="H320">
        <v>4.2092000000000001</v>
      </c>
      <c r="I320">
        <v>4.8898000000000001</v>
      </c>
      <c r="J320">
        <v>7.4995000000000003</v>
      </c>
    </row>
    <row r="321" spans="1:10" x14ac:dyDescent="0.4">
      <c r="A321">
        <v>6</v>
      </c>
      <c r="B321">
        <v>0.29170000000000001</v>
      </c>
      <c r="C321">
        <v>0.48420000000000002</v>
      </c>
      <c r="D321">
        <v>0.60240000000000005</v>
      </c>
      <c r="E321">
        <v>0.69359999999999999</v>
      </c>
      <c r="F321">
        <v>0.96650000000000003</v>
      </c>
      <c r="G321">
        <v>1.2286999999999999</v>
      </c>
      <c r="H321">
        <v>1.8233999999999999</v>
      </c>
      <c r="I321">
        <v>2.1764999999999999</v>
      </c>
      <c r="J321">
        <v>5.0518000000000001</v>
      </c>
    </row>
    <row r="322" spans="1:10" x14ac:dyDescent="0.4">
      <c r="A322">
        <v>7</v>
      </c>
      <c r="B322">
        <v>2.7799999999999998E-2</v>
      </c>
      <c r="C322">
        <v>5.8400000000000001E-2</v>
      </c>
      <c r="D322">
        <v>7.3899999999999993E-2</v>
      </c>
      <c r="E322">
        <v>0.10249999999999999</v>
      </c>
      <c r="F322">
        <v>0.15909999999999999</v>
      </c>
      <c r="G322">
        <v>0.2261</v>
      </c>
      <c r="H322">
        <v>0.31640000000000001</v>
      </c>
      <c r="I322">
        <v>0.39960000000000001</v>
      </c>
      <c r="J322">
        <v>1.3048999999999999</v>
      </c>
    </row>
    <row r="323" spans="1:10" x14ac:dyDescent="0.4">
      <c r="A323">
        <v>8</v>
      </c>
      <c r="B323">
        <v>8.2000000000000007E-3</v>
      </c>
      <c r="C323">
        <v>2.92E-2</v>
      </c>
      <c r="D323">
        <v>3.6999999999999998E-2</v>
      </c>
      <c r="E323">
        <v>5.8400000000000001E-2</v>
      </c>
      <c r="F323">
        <v>0.10920000000000001</v>
      </c>
      <c r="G323">
        <v>0.16700000000000001</v>
      </c>
      <c r="H323">
        <v>0.25750000000000001</v>
      </c>
      <c r="I323">
        <v>0.4456</v>
      </c>
      <c r="J323">
        <v>2.1858</v>
      </c>
    </row>
    <row r="324" spans="1:10" x14ac:dyDescent="0.4">
      <c r="A324">
        <v>9</v>
      </c>
      <c r="B324">
        <v>2.9999999999999997E-4</v>
      </c>
      <c r="C324">
        <v>1.4E-3</v>
      </c>
      <c r="D324">
        <v>2.0999999999999999E-3</v>
      </c>
      <c r="E324">
        <v>3.5000000000000001E-3</v>
      </c>
      <c r="F324">
        <v>8.5000000000000006E-3</v>
      </c>
      <c r="G324">
        <v>1.44E-2</v>
      </c>
      <c r="H324">
        <v>2.23E-2</v>
      </c>
      <c r="I324">
        <v>3.3399999999999999E-2</v>
      </c>
      <c r="J324">
        <v>0.2402</v>
      </c>
    </row>
    <row r="325" spans="1:10" x14ac:dyDescent="0.4">
      <c r="A325">
        <v>10</v>
      </c>
      <c r="B325">
        <v>1E-4</v>
      </c>
      <c r="C325">
        <v>5.0000000000000001E-4</v>
      </c>
      <c r="D325">
        <v>6.9999999999999999E-4</v>
      </c>
      <c r="E325">
        <v>1.5E-3</v>
      </c>
      <c r="F325">
        <v>4.3E-3</v>
      </c>
      <c r="G325">
        <v>6.8999999999999999E-3</v>
      </c>
      <c r="H325">
        <v>1.43E-2</v>
      </c>
      <c r="I325">
        <v>2.4199999999999999E-2</v>
      </c>
      <c r="J325">
        <v>0.26090000000000002</v>
      </c>
    </row>
    <row r="326" spans="1:10" x14ac:dyDescent="0.4">
      <c r="A326">
        <v>11</v>
      </c>
      <c r="B326">
        <v>0</v>
      </c>
      <c r="C326">
        <v>1E-4</v>
      </c>
      <c r="D326">
        <v>2.0000000000000001E-4</v>
      </c>
      <c r="E326">
        <v>4.0000000000000002E-4</v>
      </c>
      <c r="F326">
        <v>1.4E-3</v>
      </c>
      <c r="G326">
        <v>2.8E-3</v>
      </c>
      <c r="H326">
        <v>5.1000000000000004E-3</v>
      </c>
      <c r="I326">
        <v>8.2000000000000007E-3</v>
      </c>
      <c r="J326">
        <v>0.1988</v>
      </c>
    </row>
    <row r="327" spans="1:10" x14ac:dyDescent="0.4">
      <c r="A327">
        <v>12</v>
      </c>
      <c r="B327">
        <v>0</v>
      </c>
      <c r="C327">
        <v>0</v>
      </c>
      <c r="D327">
        <v>0</v>
      </c>
      <c r="E327">
        <v>0</v>
      </c>
      <c r="F327">
        <v>1E-4</v>
      </c>
      <c r="G327">
        <v>2.9999999999999997E-4</v>
      </c>
      <c r="H327">
        <v>5.0000000000000001E-4</v>
      </c>
      <c r="I327">
        <v>8.0000000000000004E-4</v>
      </c>
      <c r="J327">
        <v>2.8000000000000001E-2</v>
      </c>
    </row>
    <row r="328" spans="1:10" x14ac:dyDescent="0.4">
      <c r="A328">
        <v>13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2.0000000000000001E-4</v>
      </c>
      <c r="H328">
        <v>2.9999999999999997E-4</v>
      </c>
      <c r="I328">
        <v>5.0000000000000001E-4</v>
      </c>
      <c r="J328">
        <v>3.1600000000000003E-2</v>
      </c>
    </row>
    <row r="329" spans="1:10" x14ac:dyDescent="0.4">
      <c r="A329">
        <v>14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1E-4</v>
      </c>
      <c r="I329">
        <v>1E-4</v>
      </c>
      <c r="J329">
        <v>1.83E-2</v>
      </c>
    </row>
    <row r="330" spans="1:10" x14ac:dyDescent="0.4">
      <c r="A330" t="s">
        <v>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1.2699999999999999E-2</v>
      </c>
    </row>
    <row r="332" spans="1:10" x14ac:dyDescent="0.4">
      <c r="A332">
        <v>2022</v>
      </c>
    </row>
    <row r="334" spans="1:10" x14ac:dyDescent="0.4">
      <c r="A334" t="s">
        <v>0</v>
      </c>
      <c r="B334" s="2">
        <v>0.01</v>
      </c>
      <c r="C334" s="2">
        <v>0.05</v>
      </c>
      <c r="D334" s="2">
        <v>0.1</v>
      </c>
      <c r="E334" s="2">
        <v>0.25</v>
      </c>
      <c r="F334" s="2">
        <v>0.5</v>
      </c>
      <c r="G334" s="2">
        <v>0.75</v>
      </c>
      <c r="H334" s="2">
        <v>0.9</v>
      </c>
      <c r="I334" s="2">
        <v>0.95</v>
      </c>
      <c r="J334" s="2">
        <v>0.99</v>
      </c>
    </row>
    <row r="335" spans="1:10" x14ac:dyDescent="0.4">
      <c r="A335">
        <v>1</v>
      </c>
      <c r="B335">
        <v>68.655199999999994</v>
      </c>
      <c r="C335">
        <v>70.776399999999995</v>
      </c>
      <c r="D335">
        <v>79.169499999999999</v>
      </c>
      <c r="E335">
        <v>104.8579</v>
      </c>
      <c r="F335">
        <v>168.48859999999999</v>
      </c>
      <c r="G335">
        <v>236.6208</v>
      </c>
      <c r="H335">
        <v>279.71550000000002</v>
      </c>
      <c r="I335">
        <v>306.44389999999999</v>
      </c>
      <c r="J335">
        <v>325.43239999999997</v>
      </c>
    </row>
    <row r="336" spans="1:10" x14ac:dyDescent="0.4">
      <c r="A336">
        <v>2</v>
      </c>
      <c r="B336">
        <v>87.857600000000005</v>
      </c>
      <c r="C336">
        <v>103.922</v>
      </c>
      <c r="D336">
        <v>110.7773</v>
      </c>
      <c r="E336">
        <v>128.05840000000001</v>
      </c>
      <c r="F336">
        <v>156.46420000000001</v>
      </c>
      <c r="G336">
        <v>191.71360000000001</v>
      </c>
      <c r="H336">
        <v>233.03450000000001</v>
      </c>
      <c r="I336">
        <v>253.42779999999999</v>
      </c>
      <c r="J336">
        <v>288.80549999999999</v>
      </c>
    </row>
    <row r="337" spans="1:10" x14ac:dyDescent="0.4">
      <c r="A337">
        <v>3</v>
      </c>
      <c r="B337">
        <v>30.193999999999999</v>
      </c>
      <c r="C337">
        <v>40.695999999999998</v>
      </c>
      <c r="D337">
        <v>43.047600000000003</v>
      </c>
      <c r="E337">
        <v>46.7821</v>
      </c>
      <c r="F337">
        <v>54.204900000000002</v>
      </c>
      <c r="G337">
        <v>62.809899999999999</v>
      </c>
      <c r="H337">
        <v>71.549599999999998</v>
      </c>
      <c r="I337">
        <v>78.517799999999994</v>
      </c>
      <c r="J337">
        <v>89.147400000000005</v>
      </c>
    </row>
    <row r="338" spans="1:10" x14ac:dyDescent="0.4">
      <c r="A338">
        <v>4</v>
      </c>
      <c r="B338">
        <v>15.2506</v>
      </c>
      <c r="C338">
        <v>18.640999999999998</v>
      </c>
      <c r="D338">
        <v>20.575099999999999</v>
      </c>
      <c r="E338">
        <v>23.125</v>
      </c>
      <c r="F338">
        <v>26.551500000000001</v>
      </c>
      <c r="G338">
        <v>30.747399999999999</v>
      </c>
      <c r="H338">
        <v>35.485799999999998</v>
      </c>
      <c r="I338">
        <v>40.027299999999997</v>
      </c>
      <c r="J338">
        <v>50.2423</v>
      </c>
    </row>
    <row r="339" spans="1:10" x14ac:dyDescent="0.4">
      <c r="A339">
        <v>5</v>
      </c>
      <c r="B339">
        <v>1.9811000000000001</v>
      </c>
      <c r="C339">
        <v>2.7429999999999999</v>
      </c>
      <c r="D339">
        <v>3.2496</v>
      </c>
      <c r="E339">
        <v>3.7778999999999998</v>
      </c>
      <c r="F339">
        <v>4.4702999999999999</v>
      </c>
      <c r="G339">
        <v>5.2507000000000001</v>
      </c>
      <c r="H339">
        <v>6.4249000000000001</v>
      </c>
      <c r="I339">
        <v>7.0674999999999999</v>
      </c>
      <c r="J339">
        <v>11.8992</v>
      </c>
    </row>
    <row r="340" spans="1:10" x14ac:dyDescent="0.4">
      <c r="A340">
        <v>6</v>
      </c>
      <c r="B340">
        <v>0.53979999999999995</v>
      </c>
      <c r="C340">
        <v>0.65529999999999999</v>
      </c>
      <c r="D340">
        <v>0.74109999999999998</v>
      </c>
      <c r="E340">
        <v>1.0003</v>
      </c>
      <c r="F340">
        <v>1.2045999999999999</v>
      </c>
      <c r="G340">
        <v>1.544</v>
      </c>
      <c r="H340">
        <v>2.0807000000000002</v>
      </c>
      <c r="I340">
        <v>2.4472999999999998</v>
      </c>
      <c r="J340">
        <v>4.5007000000000001</v>
      </c>
    </row>
    <row r="341" spans="1:10" x14ac:dyDescent="0.4">
      <c r="A341">
        <v>7</v>
      </c>
      <c r="B341">
        <v>0.13009999999999999</v>
      </c>
      <c r="C341">
        <v>0.2165</v>
      </c>
      <c r="D341">
        <v>0.2515</v>
      </c>
      <c r="E341">
        <v>0.30980000000000002</v>
      </c>
      <c r="F341">
        <v>0.4199</v>
      </c>
      <c r="G341">
        <v>0.58320000000000005</v>
      </c>
      <c r="H341">
        <v>0.88719999999999999</v>
      </c>
      <c r="I341">
        <v>1.0817000000000001</v>
      </c>
      <c r="J341">
        <v>3.0470000000000002</v>
      </c>
    </row>
    <row r="342" spans="1:10" x14ac:dyDescent="0.4">
      <c r="A342">
        <v>8</v>
      </c>
      <c r="B342">
        <v>1.32E-2</v>
      </c>
      <c r="C342">
        <v>2.5399999999999999E-2</v>
      </c>
      <c r="D342">
        <v>3.2599999999999997E-2</v>
      </c>
      <c r="E342">
        <v>4.5100000000000001E-2</v>
      </c>
      <c r="F342">
        <v>6.9500000000000006E-2</v>
      </c>
      <c r="G342">
        <v>0.10680000000000001</v>
      </c>
      <c r="H342">
        <v>0.1605</v>
      </c>
      <c r="I342">
        <v>0.20619999999999999</v>
      </c>
      <c r="J342">
        <v>0.80820000000000003</v>
      </c>
    </row>
    <row r="343" spans="1:10" x14ac:dyDescent="0.4">
      <c r="A343">
        <v>9</v>
      </c>
      <c r="B343">
        <v>4.0000000000000001E-3</v>
      </c>
      <c r="C343">
        <v>1.2800000000000001E-2</v>
      </c>
      <c r="D343">
        <v>1.6500000000000001E-2</v>
      </c>
      <c r="E343">
        <v>2.7E-2</v>
      </c>
      <c r="F343">
        <v>4.8899999999999999E-2</v>
      </c>
      <c r="G343">
        <v>8.0199999999999994E-2</v>
      </c>
      <c r="H343">
        <v>0.12989999999999999</v>
      </c>
      <c r="I343">
        <v>0.21970000000000001</v>
      </c>
      <c r="J343">
        <v>1.3303</v>
      </c>
    </row>
    <row r="344" spans="1:10" x14ac:dyDescent="0.4">
      <c r="A344">
        <v>10</v>
      </c>
      <c r="B344">
        <v>1E-4</v>
      </c>
      <c r="C344">
        <v>5.9999999999999995E-4</v>
      </c>
      <c r="D344">
        <v>8.9999999999999998E-4</v>
      </c>
      <c r="E344">
        <v>1.6999999999999999E-3</v>
      </c>
      <c r="F344">
        <v>3.8E-3</v>
      </c>
      <c r="G344">
        <v>6.8999999999999999E-3</v>
      </c>
      <c r="H344">
        <v>1.11E-2</v>
      </c>
      <c r="I344">
        <v>1.77E-2</v>
      </c>
      <c r="J344">
        <v>0.1467</v>
      </c>
    </row>
    <row r="345" spans="1:10" x14ac:dyDescent="0.4">
      <c r="A345">
        <v>11</v>
      </c>
      <c r="B345">
        <v>0</v>
      </c>
      <c r="C345">
        <v>2.0000000000000001E-4</v>
      </c>
      <c r="D345">
        <v>2.9999999999999997E-4</v>
      </c>
      <c r="E345">
        <v>6.9999999999999999E-4</v>
      </c>
      <c r="F345">
        <v>2E-3</v>
      </c>
      <c r="G345">
        <v>3.3E-3</v>
      </c>
      <c r="H345">
        <v>7.6E-3</v>
      </c>
      <c r="I345">
        <v>1.23E-2</v>
      </c>
      <c r="J345">
        <v>0.1623</v>
      </c>
    </row>
    <row r="346" spans="1:10" x14ac:dyDescent="0.4">
      <c r="A346">
        <v>12</v>
      </c>
      <c r="B346">
        <v>0</v>
      </c>
      <c r="C346">
        <v>0</v>
      </c>
      <c r="D346">
        <v>1E-4</v>
      </c>
      <c r="E346">
        <v>2.0000000000000001E-4</v>
      </c>
      <c r="F346">
        <v>6.9999999999999999E-4</v>
      </c>
      <c r="G346">
        <v>1.2999999999999999E-3</v>
      </c>
      <c r="H346">
        <v>2.5999999999999999E-3</v>
      </c>
      <c r="I346">
        <v>4.1999999999999997E-3</v>
      </c>
      <c r="J346">
        <v>0.12470000000000001</v>
      </c>
    </row>
    <row r="347" spans="1:10" x14ac:dyDescent="0.4">
      <c r="A347">
        <v>13</v>
      </c>
      <c r="B347">
        <v>0</v>
      </c>
      <c r="C347">
        <v>0</v>
      </c>
      <c r="D347">
        <v>0</v>
      </c>
      <c r="E347">
        <v>0</v>
      </c>
      <c r="F347">
        <v>1E-4</v>
      </c>
      <c r="G347">
        <v>1E-4</v>
      </c>
      <c r="H347">
        <v>2.9999999999999997E-4</v>
      </c>
      <c r="I347">
        <v>4.0000000000000002E-4</v>
      </c>
      <c r="J347">
        <v>1.7500000000000002E-2</v>
      </c>
    </row>
    <row r="348" spans="1:10" x14ac:dyDescent="0.4">
      <c r="A348">
        <v>14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1E-4</v>
      </c>
      <c r="H348">
        <v>1E-4</v>
      </c>
      <c r="I348">
        <v>2.9999999999999997E-4</v>
      </c>
      <c r="J348">
        <v>1.9900000000000001E-2</v>
      </c>
    </row>
    <row r="349" spans="1:10" x14ac:dyDescent="0.4">
      <c r="A349" t="s">
        <v>29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1E-4</v>
      </c>
      <c r="I349">
        <v>1E-4</v>
      </c>
      <c r="J349">
        <v>1.9800000000000002E-2</v>
      </c>
    </row>
    <row r="351" spans="1:10" x14ac:dyDescent="0.4">
      <c r="A351">
        <v>2023</v>
      </c>
    </row>
    <row r="353" spans="1:10" x14ac:dyDescent="0.4">
      <c r="A353" t="s">
        <v>0</v>
      </c>
      <c r="B353" s="2">
        <v>0.01</v>
      </c>
      <c r="C353" s="2">
        <v>0.05</v>
      </c>
      <c r="D353" s="2">
        <v>0.1</v>
      </c>
      <c r="E353" s="2">
        <v>0.25</v>
      </c>
      <c r="F353" s="2">
        <v>0.5</v>
      </c>
      <c r="G353" s="2">
        <v>0.75</v>
      </c>
      <c r="H353" s="2">
        <v>0.9</v>
      </c>
      <c r="I353" s="2">
        <v>0.95</v>
      </c>
      <c r="J353" s="2">
        <v>0.99</v>
      </c>
    </row>
    <row r="354" spans="1:10" x14ac:dyDescent="0.4">
      <c r="A354">
        <v>1</v>
      </c>
      <c r="B354">
        <v>68.659199999999998</v>
      </c>
      <c r="C354">
        <v>70.877799999999993</v>
      </c>
      <c r="D354">
        <v>79.183899999999994</v>
      </c>
      <c r="E354">
        <v>104.6806</v>
      </c>
      <c r="F354">
        <v>168.59280000000001</v>
      </c>
      <c r="G354">
        <v>237.215</v>
      </c>
      <c r="H354">
        <v>279.19229999999999</v>
      </c>
      <c r="I354">
        <v>306.87759999999997</v>
      </c>
      <c r="J354">
        <v>334.22989999999999</v>
      </c>
    </row>
    <row r="355" spans="1:10" x14ac:dyDescent="0.4">
      <c r="A355">
        <v>2</v>
      </c>
      <c r="B355">
        <v>39.820900000000002</v>
      </c>
      <c r="C355">
        <v>43.334400000000002</v>
      </c>
      <c r="D355">
        <v>47.5122</v>
      </c>
      <c r="E355">
        <v>63.039499999999997</v>
      </c>
      <c r="F355">
        <v>101.3678</v>
      </c>
      <c r="G355">
        <v>143.44300000000001</v>
      </c>
      <c r="H355">
        <v>171.2167</v>
      </c>
      <c r="I355">
        <v>186.31610000000001</v>
      </c>
      <c r="J355">
        <v>209.30789999999999</v>
      </c>
    </row>
    <row r="356" spans="1:10" x14ac:dyDescent="0.4">
      <c r="A356">
        <v>3</v>
      </c>
      <c r="B356">
        <v>48.2622</v>
      </c>
      <c r="C356">
        <v>57.752600000000001</v>
      </c>
      <c r="D356">
        <v>62.241199999999999</v>
      </c>
      <c r="E356">
        <v>72.721299999999999</v>
      </c>
      <c r="F356">
        <v>90.665300000000002</v>
      </c>
      <c r="G356">
        <v>112.2401</v>
      </c>
      <c r="H356">
        <v>137.85669999999999</v>
      </c>
      <c r="I356">
        <v>151.93350000000001</v>
      </c>
      <c r="J356">
        <v>174.56209999999999</v>
      </c>
    </row>
    <row r="357" spans="1:10" x14ac:dyDescent="0.4">
      <c r="A357">
        <v>4</v>
      </c>
      <c r="B357">
        <v>14.8589</v>
      </c>
      <c r="C357">
        <v>20.581700000000001</v>
      </c>
      <c r="D357">
        <v>22.3399</v>
      </c>
      <c r="E357">
        <v>24.9754</v>
      </c>
      <c r="F357">
        <v>29.503799999999998</v>
      </c>
      <c r="G357">
        <v>34.981200000000001</v>
      </c>
      <c r="H357">
        <v>40.565300000000001</v>
      </c>
      <c r="I357">
        <v>44.636400000000002</v>
      </c>
      <c r="J357">
        <v>51.697099999999999</v>
      </c>
    </row>
    <row r="358" spans="1:10" x14ac:dyDescent="0.4">
      <c r="A358">
        <v>5</v>
      </c>
      <c r="B358">
        <v>7.0735999999999999</v>
      </c>
      <c r="C358">
        <v>9.0520999999999994</v>
      </c>
      <c r="D358">
        <v>10.296799999999999</v>
      </c>
      <c r="E358">
        <v>11.924200000000001</v>
      </c>
      <c r="F358">
        <v>13.9236</v>
      </c>
      <c r="G358">
        <v>16.6572</v>
      </c>
      <c r="H358">
        <v>19.546299999999999</v>
      </c>
      <c r="I358">
        <v>22.491399999999999</v>
      </c>
      <c r="J358">
        <v>29.305299999999999</v>
      </c>
    </row>
    <row r="359" spans="1:10" x14ac:dyDescent="0.4">
      <c r="A359">
        <v>6</v>
      </c>
      <c r="B359">
        <v>0.88370000000000004</v>
      </c>
      <c r="C359">
        <v>1.3420000000000001</v>
      </c>
      <c r="D359">
        <v>1.6039000000000001</v>
      </c>
      <c r="E359">
        <v>1.9105000000000001</v>
      </c>
      <c r="F359">
        <v>2.2907000000000002</v>
      </c>
      <c r="G359">
        <v>2.7685</v>
      </c>
      <c r="H359">
        <v>3.4883999999999999</v>
      </c>
      <c r="I359">
        <v>3.8892000000000002</v>
      </c>
      <c r="J359">
        <v>6.8220999999999998</v>
      </c>
    </row>
    <row r="360" spans="1:10" x14ac:dyDescent="0.4">
      <c r="A360">
        <v>7</v>
      </c>
      <c r="B360">
        <v>0.25080000000000002</v>
      </c>
      <c r="C360">
        <v>0.30380000000000001</v>
      </c>
      <c r="D360">
        <v>0.36780000000000002</v>
      </c>
      <c r="E360">
        <v>0.49590000000000001</v>
      </c>
      <c r="F360">
        <v>0.61770000000000003</v>
      </c>
      <c r="G360">
        <v>0.80420000000000003</v>
      </c>
      <c r="H360">
        <v>1.1184000000000001</v>
      </c>
      <c r="I360">
        <v>1.3166</v>
      </c>
      <c r="J360">
        <v>2.7044000000000001</v>
      </c>
    </row>
    <row r="361" spans="1:10" x14ac:dyDescent="0.4">
      <c r="A361">
        <v>8</v>
      </c>
      <c r="B361">
        <v>6.0199999999999997E-2</v>
      </c>
      <c r="C361">
        <v>0.1074</v>
      </c>
      <c r="D361">
        <v>0.11990000000000001</v>
      </c>
      <c r="E361">
        <v>0.1573</v>
      </c>
      <c r="F361">
        <v>0.21820000000000001</v>
      </c>
      <c r="G361">
        <v>0.3034</v>
      </c>
      <c r="H361">
        <v>0.4829</v>
      </c>
      <c r="I361">
        <v>0.57730000000000004</v>
      </c>
      <c r="J361">
        <v>1.7843</v>
      </c>
    </row>
    <row r="362" spans="1:10" x14ac:dyDescent="0.4">
      <c r="A362">
        <v>9</v>
      </c>
      <c r="B362">
        <v>6.8999999999999999E-3</v>
      </c>
      <c r="C362">
        <v>1.2800000000000001E-2</v>
      </c>
      <c r="D362">
        <v>1.6400000000000001E-2</v>
      </c>
      <c r="E362">
        <v>2.3199999999999998E-2</v>
      </c>
      <c r="F362">
        <v>3.5700000000000003E-2</v>
      </c>
      <c r="G362">
        <v>5.5599999999999997E-2</v>
      </c>
      <c r="H362">
        <v>8.6499999999999994E-2</v>
      </c>
      <c r="I362">
        <v>0.1111</v>
      </c>
      <c r="J362">
        <v>0.4803</v>
      </c>
    </row>
    <row r="363" spans="1:10" x14ac:dyDescent="0.4">
      <c r="A363">
        <v>10</v>
      </c>
      <c r="B363">
        <v>2.0999999999999999E-3</v>
      </c>
      <c r="C363">
        <v>6.1999999999999998E-3</v>
      </c>
      <c r="D363">
        <v>8.3999999999999995E-3</v>
      </c>
      <c r="E363">
        <v>1.41E-2</v>
      </c>
      <c r="F363">
        <v>2.5000000000000001E-2</v>
      </c>
      <c r="G363">
        <v>4.24E-2</v>
      </c>
      <c r="H363">
        <v>7.1199999999999999E-2</v>
      </c>
      <c r="I363">
        <v>0.1157</v>
      </c>
      <c r="J363">
        <v>0.81289999999999996</v>
      </c>
    </row>
    <row r="364" spans="1:10" x14ac:dyDescent="0.4">
      <c r="A364">
        <v>11</v>
      </c>
      <c r="B364">
        <v>1E-4</v>
      </c>
      <c r="C364">
        <v>2.9999999999999997E-4</v>
      </c>
      <c r="D364">
        <v>4.0000000000000002E-4</v>
      </c>
      <c r="E364">
        <v>8.9999999999999998E-4</v>
      </c>
      <c r="F364">
        <v>1.9E-3</v>
      </c>
      <c r="G364">
        <v>3.7000000000000002E-3</v>
      </c>
      <c r="H364">
        <v>6.1000000000000004E-3</v>
      </c>
      <c r="I364">
        <v>9.7999999999999997E-3</v>
      </c>
      <c r="J364">
        <v>8.8800000000000004E-2</v>
      </c>
    </row>
    <row r="365" spans="1:10" x14ac:dyDescent="0.4">
      <c r="A365">
        <v>12</v>
      </c>
      <c r="B365">
        <v>0</v>
      </c>
      <c r="C365">
        <v>1E-4</v>
      </c>
      <c r="D365">
        <v>2.0000000000000001E-4</v>
      </c>
      <c r="E365">
        <v>4.0000000000000002E-4</v>
      </c>
      <c r="F365">
        <v>1E-3</v>
      </c>
      <c r="G365">
        <v>1.8E-3</v>
      </c>
      <c r="H365">
        <v>4.1999999999999997E-3</v>
      </c>
      <c r="I365">
        <v>6.7000000000000002E-3</v>
      </c>
      <c r="J365">
        <v>0.1</v>
      </c>
    </row>
    <row r="366" spans="1:10" x14ac:dyDescent="0.4">
      <c r="A366">
        <v>13</v>
      </c>
      <c r="B366">
        <v>0</v>
      </c>
      <c r="C366">
        <v>0</v>
      </c>
      <c r="D366">
        <v>0</v>
      </c>
      <c r="E366">
        <v>1E-4</v>
      </c>
      <c r="F366">
        <v>2.9999999999999997E-4</v>
      </c>
      <c r="G366">
        <v>6.9999999999999999E-4</v>
      </c>
      <c r="H366">
        <v>1.4E-3</v>
      </c>
      <c r="I366">
        <v>2.3E-3</v>
      </c>
      <c r="J366">
        <v>7.6899999999999996E-2</v>
      </c>
    </row>
    <row r="367" spans="1:10" x14ac:dyDescent="0.4">
      <c r="A367">
        <v>14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1E-4</v>
      </c>
      <c r="H367">
        <v>2.0000000000000001E-4</v>
      </c>
      <c r="I367">
        <v>2.0000000000000001E-4</v>
      </c>
      <c r="J367">
        <v>1.11E-2</v>
      </c>
    </row>
    <row r="368" spans="1:10" x14ac:dyDescent="0.4">
      <c r="A368" t="s">
        <v>29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1E-4</v>
      </c>
      <c r="H368">
        <v>1E-4</v>
      </c>
      <c r="I368">
        <v>2.0000000000000001E-4</v>
      </c>
      <c r="J368">
        <v>2.3699999999999999E-2</v>
      </c>
    </row>
    <row r="370" spans="1:10" x14ac:dyDescent="0.4">
      <c r="A370">
        <v>2024</v>
      </c>
    </row>
    <row r="372" spans="1:10" x14ac:dyDescent="0.4">
      <c r="A372" t="s">
        <v>0</v>
      </c>
      <c r="B372" s="2">
        <v>0.01</v>
      </c>
      <c r="C372" s="2">
        <v>0.05</v>
      </c>
      <c r="D372" s="2">
        <v>0.1</v>
      </c>
      <c r="E372" s="2">
        <v>0.25</v>
      </c>
      <c r="F372" s="2">
        <v>0.5</v>
      </c>
      <c r="G372" s="2">
        <v>0.75</v>
      </c>
      <c r="H372" s="2">
        <v>0.9</v>
      </c>
      <c r="I372" s="2">
        <v>0.95</v>
      </c>
      <c r="J372" s="2">
        <v>0.99</v>
      </c>
    </row>
    <row r="373" spans="1:10" x14ac:dyDescent="0.4">
      <c r="A373">
        <v>1</v>
      </c>
      <c r="B373">
        <v>68.655500000000004</v>
      </c>
      <c r="C373">
        <v>70.544300000000007</v>
      </c>
      <c r="D373">
        <v>78.959100000000007</v>
      </c>
      <c r="E373">
        <v>104.6541</v>
      </c>
      <c r="F373">
        <v>168.52080000000001</v>
      </c>
      <c r="G373">
        <v>237.20310000000001</v>
      </c>
      <c r="H373">
        <v>280.5222</v>
      </c>
      <c r="I373">
        <v>307.57459999999998</v>
      </c>
      <c r="J373">
        <v>356</v>
      </c>
    </row>
    <row r="374" spans="1:10" x14ac:dyDescent="0.4">
      <c r="A374">
        <v>2</v>
      </c>
      <c r="B374">
        <v>40.140599999999999</v>
      </c>
      <c r="C374">
        <v>43.671599999999998</v>
      </c>
      <c r="D374">
        <v>47.842700000000001</v>
      </c>
      <c r="E374">
        <v>63.289299999999997</v>
      </c>
      <c r="F374">
        <v>102.2205</v>
      </c>
      <c r="G374">
        <v>144.64680000000001</v>
      </c>
      <c r="H374">
        <v>172.08320000000001</v>
      </c>
      <c r="I374">
        <v>187.15389999999999</v>
      </c>
      <c r="J374">
        <v>212.41829999999999</v>
      </c>
    </row>
    <row r="375" spans="1:10" x14ac:dyDescent="0.4">
      <c r="A375">
        <v>3</v>
      </c>
      <c r="B375">
        <v>21.968</v>
      </c>
      <c r="C375">
        <v>24.741599999999998</v>
      </c>
      <c r="D375">
        <v>27.232299999999999</v>
      </c>
      <c r="E375">
        <v>36.235300000000002</v>
      </c>
      <c r="F375">
        <v>58.650100000000002</v>
      </c>
      <c r="G375">
        <v>83.994600000000005</v>
      </c>
      <c r="H375">
        <v>102.12</v>
      </c>
      <c r="I375">
        <v>111.34739999999999</v>
      </c>
      <c r="J375">
        <v>128.8546</v>
      </c>
    </row>
    <row r="376" spans="1:10" x14ac:dyDescent="0.4">
      <c r="A376">
        <v>4</v>
      </c>
      <c r="B376">
        <v>23.733799999999999</v>
      </c>
      <c r="C376">
        <v>29.392499999999998</v>
      </c>
      <c r="D376">
        <v>32.347200000000001</v>
      </c>
      <c r="E376">
        <v>38.775399999999998</v>
      </c>
      <c r="F376">
        <v>50.1006</v>
      </c>
      <c r="G376">
        <v>63.276000000000003</v>
      </c>
      <c r="H376">
        <v>79.367199999999997</v>
      </c>
      <c r="I376">
        <v>88.827600000000004</v>
      </c>
      <c r="J376">
        <v>104.0056</v>
      </c>
    </row>
    <row r="377" spans="1:10" x14ac:dyDescent="0.4">
      <c r="A377">
        <v>5</v>
      </c>
      <c r="B377">
        <v>6.9245999999999999</v>
      </c>
      <c r="C377">
        <v>9.7405000000000008</v>
      </c>
      <c r="D377">
        <v>11.0463</v>
      </c>
      <c r="E377">
        <v>12.949400000000001</v>
      </c>
      <c r="F377">
        <v>15.7553</v>
      </c>
      <c r="G377">
        <v>19.077500000000001</v>
      </c>
      <c r="H377">
        <v>22.718900000000001</v>
      </c>
      <c r="I377">
        <v>25.137699999999999</v>
      </c>
      <c r="J377">
        <v>29.749400000000001</v>
      </c>
    </row>
    <row r="378" spans="1:10" x14ac:dyDescent="0.4">
      <c r="A378">
        <v>6</v>
      </c>
      <c r="B378">
        <v>3.1675</v>
      </c>
      <c r="C378">
        <v>4.2859999999999996</v>
      </c>
      <c r="D378">
        <v>4.9310999999999998</v>
      </c>
      <c r="E378">
        <v>5.9766000000000004</v>
      </c>
      <c r="F378">
        <v>7.2430000000000003</v>
      </c>
      <c r="G378">
        <v>8.8506999999999998</v>
      </c>
      <c r="H378">
        <v>10.653</v>
      </c>
      <c r="I378">
        <v>12.3627</v>
      </c>
      <c r="J378">
        <v>16.5974</v>
      </c>
    </row>
    <row r="379" spans="1:10" x14ac:dyDescent="0.4">
      <c r="A379">
        <v>7</v>
      </c>
      <c r="B379">
        <v>0.37659999999999999</v>
      </c>
      <c r="C379">
        <v>0.63280000000000003</v>
      </c>
      <c r="D379">
        <v>0.76839999999999997</v>
      </c>
      <c r="E379">
        <v>0.94830000000000003</v>
      </c>
      <c r="F379">
        <v>1.1642999999999999</v>
      </c>
      <c r="G379">
        <v>1.4567000000000001</v>
      </c>
      <c r="H379">
        <v>1.8836999999999999</v>
      </c>
      <c r="I379">
        <v>2.1537000000000002</v>
      </c>
      <c r="J379">
        <v>3.8371</v>
      </c>
    </row>
    <row r="380" spans="1:10" x14ac:dyDescent="0.4">
      <c r="A380">
        <v>8</v>
      </c>
      <c r="B380">
        <v>0.1116</v>
      </c>
      <c r="C380">
        <v>0.1411</v>
      </c>
      <c r="D380">
        <v>0.1779</v>
      </c>
      <c r="E380">
        <v>0.2432</v>
      </c>
      <c r="F380">
        <v>0.31690000000000002</v>
      </c>
      <c r="G380">
        <v>0.41670000000000001</v>
      </c>
      <c r="H380">
        <v>0.59260000000000002</v>
      </c>
      <c r="I380">
        <v>0.7167</v>
      </c>
      <c r="J380">
        <v>1.5295000000000001</v>
      </c>
    </row>
    <row r="381" spans="1:10" x14ac:dyDescent="0.4">
      <c r="A381">
        <v>9</v>
      </c>
      <c r="B381">
        <v>2.81E-2</v>
      </c>
      <c r="C381">
        <v>5.0900000000000001E-2</v>
      </c>
      <c r="D381">
        <v>5.74E-2</v>
      </c>
      <c r="E381">
        <v>7.8200000000000006E-2</v>
      </c>
      <c r="F381">
        <v>0.11269999999999999</v>
      </c>
      <c r="G381">
        <v>0.15640000000000001</v>
      </c>
      <c r="H381">
        <v>0.25990000000000002</v>
      </c>
      <c r="I381">
        <v>0.31019999999999998</v>
      </c>
      <c r="J381">
        <v>1.0042</v>
      </c>
    </row>
    <row r="382" spans="1:10" x14ac:dyDescent="0.4">
      <c r="A382">
        <v>10</v>
      </c>
      <c r="B382">
        <v>3.2000000000000002E-3</v>
      </c>
      <c r="C382">
        <v>6.3E-3</v>
      </c>
      <c r="D382">
        <v>7.9000000000000008E-3</v>
      </c>
      <c r="E382">
        <v>1.17E-2</v>
      </c>
      <c r="F382">
        <v>1.8100000000000002E-2</v>
      </c>
      <c r="G382">
        <v>2.87E-2</v>
      </c>
      <c r="H382">
        <v>4.58E-2</v>
      </c>
      <c r="I382">
        <v>5.9700000000000003E-2</v>
      </c>
      <c r="J382">
        <v>0.29480000000000001</v>
      </c>
    </row>
    <row r="383" spans="1:10" x14ac:dyDescent="0.4">
      <c r="A383">
        <v>11</v>
      </c>
      <c r="B383">
        <v>1.1000000000000001E-3</v>
      </c>
      <c r="C383">
        <v>3.0999999999999999E-3</v>
      </c>
      <c r="D383">
        <v>4.1999999999999997E-3</v>
      </c>
      <c r="E383">
        <v>7.3000000000000001E-3</v>
      </c>
      <c r="F383">
        <v>1.2699999999999999E-2</v>
      </c>
      <c r="G383">
        <v>2.1999999999999999E-2</v>
      </c>
      <c r="H383">
        <v>3.9199999999999999E-2</v>
      </c>
      <c r="I383">
        <v>0.06</v>
      </c>
      <c r="J383">
        <v>0.48220000000000002</v>
      </c>
    </row>
    <row r="384" spans="1:10" x14ac:dyDescent="0.4">
      <c r="A384">
        <v>12</v>
      </c>
      <c r="B384">
        <v>0</v>
      </c>
      <c r="C384">
        <v>1E-4</v>
      </c>
      <c r="D384">
        <v>2.0000000000000001E-4</v>
      </c>
      <c r="E384">
        <v>5.0000000000000001E-4</v>
      </c>
      <c r="F384">
        <v>1E-3</v>
      </c>
      <c r="G384">
        <v>1.9E-3</v>
      </c>
      <c r="H384">
        <v>3.3999999999999998E-3</v>
      </c>
      <c r="I384">
        <v>5.3E-3</v>
      </c>
      <c r="J384">
        <v>5.1200000000000002E-2</v>
      </c>
    </row>
    <row r="385" spans="1:10" x14ac:dyDescent="0.4">
      <c r="A385">
        <v>13</v>
      </c>
      <c r="B385">
        <v>0</v>
      </c>
      <c r="C385">
        <v>1E-4</v>
      </c>
      <c r="D385">
        <v>1E-4</v>
      </c>
      <c r="E385">
        <v>2.0000000000000001E-4</v>
      </c>
      <c r="F385">
        <v>5.0000000000000001E-4</v>
      </c>
      <c r="G385">
        <v>8.9999999999999998E-4</v>
      </c>
      <c r="H385">
        <v>2.3E-3</v>
      </c>
      <c r="I385">
        <v>3.7000000000000002E-3</v>
      </c>
      <c r="J385">
        <v>5.7799999999999997E-2</v>
      </c>
    </row>
    <row r="386" spans="1:10" x14ac:dyDescent="0.4">
      <c r="A386">
        <v>14</v>
      </c>
      <c r="B386">
        <v>0</v>
      </c>
      <c r="C386">
        <v>0</v>
      </c>
      <c r="D386">
        <v>0</v>
      </c>
      <c r="E386">
        <v>1E-4</v>
      </c>
      <c r="F386">
        <v>2.0000000000000001E-4</v>
      </c>
      <c r="G386">
        <v>4.0000000000000002E-4</v>
      </c>
      <c r="H386">
        <v>8.0000000000000004E-4</v>
      </c>
      <c r="I386">
        <v>1.2999999999999999E-3</v>
      </c>
      <c r="J386">
        <v>4.9000000000000002E-2</v>
      </c>
    </row>
    <row r="387" spans="1:10" x14ac:dyDescent="0.4">
      <c r="A387" t="s">
        <v>29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1E-4</v>
      </c>
      <c r="H387">
        <v>1E-4</v>
      </c>
      <c r="I387">
        <v>2.0000000000000001E-4</v>
      </c>
      <c r="J387">
        <v>2.07E-2</v>
      </c>
    </row>
    <row r="389" spans="1:10" x14ac:dyDescent="0.4">
      <c r="A389">
        <v>2025</v>
      </c>
    </row>
    <row r="391" spans="1:10" x14ac:dyDescent="0.4">
      <c r="A391" t="s">
        <v>0</v>
      </c>
      <c r="B391" s="2">
        <v>0.01</v>
      </c>
      <c r="C391" s="2">
        <v>0.05</v>
      </c>
      <c r="D391" s="2">
        <v>0.1</v>
      </c>
      <c r="E391" s="2">
        <v>0.25</v>
      </c>
      <c r="F391" s="2">
        <v>0.5</v>
      </c>
      <c r="G391" s="2">
        <v>0.75</v>
      </c>
      <c r="H391" s="2">
        <v>0.9</v>
      </c>
      <c r="I391" s="2">
        <v>0.95</v>
      </c>
      <c r="J391" s="2">
        <v>0.99</v>
      </c>
    </row>
    <row r="392" spans="1:10" x14ac:dyDescent="0.4">
      <c r="A392">
        <v>1</v>
      </c>
      <c r="B392">
        <v>68.648700000000005</v>
      </c>
      <c r="C392">
        <v>70.662999999999997</v>
      </c>
      <c r="D392">
        <v>79.195599999999999</v>
      </c>
      <c r="E392">
        <v>105.0992</v>
      </c>
      <c r="F392">
        <v>168.57480000000001</v>
      </c>
      <c r="G392">
        <v>236.75620000000001</v>
      </c>
      <c r="H392">
        <v>280.38490000000002</v>
      </c>
      <c r="I392">
        <v>307.40499999999997</v>
      </c>
      <c r="J392">
        <v>359.67520000000002</v>
      </c>
    </row>
    <row r="393" spans="1:10" x14ac:dyDescent="0.4">
      <c r="A393">
        <v>2</v>
      </c>
      <c r="B393">
        <v>38.997500000000002</v>
      </c>
      <c r="C393">
        <v>42.533900000000003</v>
      </c>
      <c r="D393">
        <v>46.552900000000001</v>
      </c>
      <c r="E393">
        <v>61.732799999999997</v>
      </c>
      <c r="F393">
        <v>99.89</v>
      </c>
      <c r="G393">
        <v>141.84880000000001</v>
      </c>
      <c r="H393">
        <v>169.2285</v>
      </c>
      <c r="I393">
        <v>183.81819999999999</v>
      </c>
      <c r="J393">
        <v>214.48349999999999</v>
      </c>
    </row>
    <row r="394" spans="1:10" x14ac:dyDescent="0.4">
      <c r="A394">
        <v>3</v>
      </c>
      <c r="B394">
        <v>20.3264</v>
      </c>
      <c r="C394">
        <v>23.4238</v>
      </c>
      <c r="D394">
        <v>25.886099999999999</v>
      </c>
      <c r="E394">
        <v>34.369500000000002</v>
      </c>
      <c r="F394">
        <v>56.392099999999999</v>
      </c>
      <c r="G394">
        <v>81.232699999999994</v>
      </c>
      <c r="H394">
        <v>99.025300000000001</v>
      </c>
      <c r="I394">
        <v>107.9999</v>
      </c>
      <c r="J394">
        <v>126.9806</v>
      </c>
    </row>
    <row r="395" spans="1:10" x14ac:dyDescent="0.4">
      <c r="A395">
        <v>4</v>
      </c>
      <c r="B395">
        <v>9.6333000000000002</v>
      </c>
      <c r="C395">
        <v>11.758100000000001</v>
      </c>
      <c r="D395">
        <v>13.372</v>
      </c>
      <c r="E395">
        <v>18.183499999999999</v>
      </c>
      <c r="F395">
        <v>30.229600000000001</v>
      </c>
      <c r="G395">
        <v>44.6631</v>
      </c>
      <c r="H395">
        <v>56.400700000000001</v>
      </c>
      <c r="I395">
        <v>62.1828</v>
      </c>
      <c r="J395">
        <v>74.485399999999998</v>
      </c>
    </row>
    <row r="396" spans="1:10" x14ac:dyDescent="0.4">
      <c r="A396">
        <v>5</v>
      </c>
      <c r="B396">
        <v>9.7158999999999995</v>
      </c>
      <c r="C396">
        <v>12.9497</v>
      </c>
      <c r="D396">
        <v>14.8855</v>
      </c>
      <c r="E396">
        <v>18.818999999999999</v>
      </c>
      <c r="F396">
        <v>25.3522</v>
      </c>
      <c r="G396">
        <v>33.2761</v>
      </c>
      <c r="H396">
        <v>43.044400000000003</v>
      </c>
      <c r="I396">
        <v>49.049799999999998</v>
      </c>
      <c r="J396">
        <v>58.897199999999998</v>
      </c>
    </row>
    <row r="397" spans="1:10" x14ac:dyDescent="0.4">
      <c r="A397">
        <v>6</v>
      </c>
      <c r="B397">
        <v>2.8323999999999998</v>
      </c>
      <c r="C397">
        <v>4.0907</v>
      </c>
      <c r="D397">
        <v>4.9009</v>
      </c>
      <c r="E397">
        <v>6.2000999999999999</v>
      </c>
      <c r="F397">
        <v>7.8722000000000003</v>
      </c>
      <c r="G397">
        <v>9.8193000000000001</v>
      </c>
      <c r="H397">
        <v>12.030200000000001</v>
      </c>
      <c r="I397">
        <v>13.494300000000001</v>
      </c>
      <c r="J397">
        <v>16.372</v>
      </c>
    </row>
    <row r="398" spans="1:10" x14ac:dyDescent="0.4">
      <c r="A398">
        <v>7</v>
      </c>
      <c r="B398">
        <v>1.3021</v>
      </c>
      <c r="C398">
        <v>1.8567</v>
      </c>
      <c r="D398">
        <v>2.2115</v>
      </c>
      <c r="E398">
        <v>2.8475999999999999</v>
      </c>
      <c r="F398">
        <v>3.6223000000000001</v>
      </c>
      <c r="G398">
        <v>4.5465999999999998</v>
      </c>
      <c r="H398">
        <v>5.6528999999999998</v>
      </c>
      <c r="I398">
        <v>6.5824999999999996</v>
      </c>
      <c r="J398">
        <v>8.9620999999999995</v>
      </c>
    </row>
    <row r="399" spans="1:10" x14ac:dyDescent="0.4">
      <c r="A399">
        <v>8</v>
      </c>
      <c r="B399">
        <v>0.15329999999999999</v>
      </c>
      <c r="C399">
        <v>0.27360000000000001</v>
      </c>
      <c r="D399">
        <v>0.35020000000000001</v>
      </c>
      <c r="E399">
        <v>0.45600000000000002</v>
      </c>
      <c r="F399">
        <v>0.58330000000000004</v>
      </c>
      <c r="G399">
        <v>0.75600000000000001</v>
      </c>
      <c r="H399">
        <v>1.0004999999999999</v>
      </c>
      <c r="I399">
        <v>1.1803999999999999</v>
      </c>
      <c r="J399">
        <v>2.0985</v>
      </c>
    </row>
    <row r="400" spans="1:10" x14ac:dyDescent="0.4">
      <c r="A400">
        <v>9</v>
      </c>
      <c r="B400">
        <v>4.7300000000000002E-2</v>
      </c>
      <c r="C400">
        <v>6.4899999999999999E-2</v>
      </c>
      <c r="D400">
        <v>8.1900000000000001E-2</v>
      </c>
      <c r="E400">
        <v>0.1186</v>
      </c>
      <c r="F400">
        <v>0.1613</v>
      </c>
      <c r="G400">
        <v>0.21709999999999999</v>
      </c>
      <c r="H400">
        <v>0.3115</v>
      </c>
      <c r="I400">
        <v>0.38900000000000001</v>
      </c>
      <c r="J400">
        <v>0.83779999999999999</v>
      </c>
    </row>
    <row r="401" spans="1:10" x14ac:dyDescent="0.4">
      <c r="A401">
        <v>10</v>
      </c>
      <c r="B401">
        <v>1.2999999999999999E-2</v>
      </c>
      <c r="C401">
        <v>2.2800000000000001E-2</v>
      </c>
      <c r="D401">
        <v>2.7400000000000001E-2</v>
      </c>
      <c r="E401">
        <v>3.8800000000000001E-2</v>
      </c>
      <c r="F401">
        <v>5.74E-2</v>
      </c>
      <c r="G401">
        <v>8.14E-2</v>
      </c>
      <c r="H401">
        <v>0.13869999999999999</v>
      </c>
      <c r="I401">
        <v>0.16950000000000001</v>
      </c>
      <c r="J401">
        <v>0.55379999999999996</v>
      </c>
    </row>
    <row r="402" spans="1:10" x14ac:dyDescent="0.4">
      <c r="A402">
        <v>11</v>
      </c>
      <c r="B402">
        <v>1.5E-3</v>
      </c>
      <c r="C402">
        <v>3.0000000000000001E-3</v>
      </c>
      <c r="D402">
        <v>3.8E-3</v>
      </c>
      <c r="E402">
        <v>5.8999999999999999E-3</v>
      </c>
      <c r="F402">
        <v>9.1999999999999998E-3</v>
      </c>
      <c r="G402">
        <v>1.49E-2</v>
      </c>
      <c r="H402">
        <v>2.4500000000000001E-2</v>
      </c>
      <c r="I402">
        <v>3.2199999999999999E-2</v>
      </c>
      <c r="J402">
        <v>0.16639999999999999</v>
      </c>
    </row>
    <row r="403" spans="1:10" x14ac:dyDescent="0.4">
      <c r="A403">
        <v>12</v>
      </c>
      <c r="B403">
        <v>5.9999999999999995E-4</v>
      </c>
      <c r="C403">
        <v>1.5E-3</v>
      </c>
      <c r="D403">
        <v>2.0999999999999999E-3</v>
      </c>
      <c r="E403">
        <v>3.7000000000000002E-3</v>
      </c>
      <c r="F403">
        <v>6.6E-3</v>
      </c>
      <c r="G403">
        <v>1.15E-2</v>
      </c>
      <c r="H403">
        <v>2.1600000000000001E-2</v>
      </c>
      <c r="I403">
        <v>3.1800000000000002E-2</v>
      </c>
      <c r="J403">
        <v>0.27200000000000002</v>
      </c>
    </row>
    <row r="404" spans="1:10" x14ac:dyDescent="0.4">
      <c r="A404">
        <v>13</v>
      </c>
      <c r="B404">
        <v>0</v>
      </c>
      <c r="C404">
        <v>1E-4</v>
      </c>
      <c r="D404">
        <v>1E-4</v>
      </c>
      <c r="E404">
        <v>2.0000000000000001E-4</v>
      </c>
      <c r="F404">
        <v>5.0000000000000001E-4</v>
      </c>
      <c r="G404">
        <v>1E-3</v>
      </c>
      <c r="H404">
        <v>1.9E-3</v>
      </c>
      <c r="I404">
        <v>2.8E-3</v>
      </c>
      <c r="J404">
        <v>2.8799999999999999E-2</v>
      </c>
    </row>
    <row r="405" spans="1:10" x14ac:dyDescent="0.4">
      <c r="A405">
        <v>14</v>
      </c>
      <c r="B405">
        <v>0</v>
      </c>
      <c r="C405">
        <v>0</v>
      </c>
      <c r="D405">
        <v>0</v>
      </c>
      <c r="E405">
        <v>1E-4</v>
      </c>
      <c r="F405">
        <v>2.9999999999999997E-4</v>
      </c>
      <c r="G405">
        <v>5.0000000000000001E-4</v>
      </c>
      <c r="H405">
        <v>1.2999999999999999E-3</v>
      </c>
      <c r="I405">
        <v>2E-3</v>
      </c>
      <c r="J405">
        <v>3.2800000000000003E-2</v>
      </c>
    </row>
    <row r="406" spans="1:10" x14ac:dyDescent="0.4">
      <c r="A406" t="s">
        <v>29</v>
      </c>
      <c r="B406">
        <v>0</v>
      </c>
      <c r="C406">
        <v>0</v>
      </c>
      <c r="D406">
        <v>0</v>
      </c>
      <c r="E406">
        <v>0</v>
      </c>
      <c r="F406">
        <v>1E-4</v>
      </c>
      <c r="G406">
        <v>2.0000000000000001E-4</v>
      </c>
      <c r="H406">
        <v>5.0000000000000001E-4</v>
      </c>
      <c r="I406">
        <v>8.0000000000000004E-4</v>
      </c>
      <c r="J406">
        <v>4.0500000000000001E-2</v>
      </c>
    </row>
    <row r="408" spans="1:10" x14ac:dyDescent="0.4">
      <c r="A408">
        <v>2026</v>
      </c>
    </row>
    <row r="410" spans="1:10" x14ac:dyDescent="0.4">
      <c r="A410" t="s">
        <v>0</v>
      </c>
      <c r="B410" s="2">
        <v>0.01</v>
      </c>
      <c r="C410" s="2">
        <v>0.05</v>
      </c>
      <c r="D410" s="2">
        <v>0.1</v>
      </c>
      <c r="E410" s="2">
        <v>0.25</v>
      </c>
      <c r="F410" s="2">
        <v>0.5</v>
      </c>
      <c r="G410" s="2">
        <v>0.75</v>
      </c>
      <c r="H410" s="2">
        <v>0.9</v>
      </c>
      <c r="I410" s="2">
        <v>0.95</v>
      </c>
      <c r="J410" s="2">
        <v>0.99</v>
      </c>
    </row>
    <row r="411" spans="1:10" x14ac:dyDescent="0.4">
      <c r="A411">
        <v>1</v>
      </c>
      <c r="B411">
        <v>68.664000000000001</v>
      </c>
      <c r="C411">
        <v>70.714500000000001</v>
      </c>
      <c r="D411">
        <v>79.006799999999998</v>
      </c>
      <c r="E411">
        <v>105.2225</v>
      </c>
      <c r="F411">
        <v>168.6337</v>
      </c>
      <c r="G411">
        <v>236.999</v>
      </c>
      <c r="H411">
        <v>280.87259999999998</v>
      </c>
      <c r="I411">
        <v>307.14760000000001</v>
      </c>
      <c r="J411">
        <v>345.19290000000001</v>
      </c>
    </row>
    <row r="412" spans="1:10" x14ac:dyDescent="0.4">
      <c r="A412">
        <v>2</v>
      </c>
      <c r="B412">
        <v>38.253799999999998</v>
      </c>
      <c r="C412">
        <v>42.028500000000001</v>
      </c>
      <c r="D412">
        <v>46.113999999999997</v>
      </c>
      <c r="E412">
        <v>61.181699999999999</v>
      </c>
      <c r="F412">
        <v>98.676100000000005</v>
      </c>
      <c r="G412">
        <v>139.7252</v>
      </c>
      <c r="H412">
        <v>167.47669999999999</v>
      </c>
      <c r="I412">
        <v>182.18039999999999</v>
      </c>
      <c r="J412">
        <v>215.40799999999999</v>
      </c>
    </row>
    <row r="413" spans="1:10" x14ac:dyDescent="0.4">
      <c r="A413">
        <v>3</v>
      </c>
      <c r="B413">
        <v>15.719900000000001</v>
      </c>
      <c r="C413">
        <v>19.815300000000001</v>
      </c>
      <c r="D413">
        <v>22.3767</v>
      </c>
      <c r="E413">
        <v>30.251200000000001</v>
      </c>
      <c r="F413">
        <v>50.067300000000003</v>
      </c>
      <c r="G413">
        <v>73.085899999999995</v>
      </c>
      <c r="H413">
        <v>91.102099999999993</v>
      </c>
      <c r="I413">
        <v>99.898399999999995</v>
      </c>
      <c r="J413">
        <v>121.3759</v>
      </c>
    </row>
    <row r="414" spans="1:10" x14ac:dyDescent="0.4">
      <c r="A414">
        <v>4</v>
      </c>
      <c r="B414">
        <v>5.2340999999999998</v>
      </c>
      <c r="C414">
        <v>8.0143000000000004</v>
      </c>
      <c r="D414">
        <v>9.6935000000000002</v>
      </c>
      <c r="E414">
        <v>13.9444</v>
      </c>
      <c r="F414">
        <v>24.046199999999999</v>
      </c>
      <c r="G414">
        <v>36.892400000000002</v>
      </c>
      <c r="H414">
        <v>48.187399999999997</v>
      </c>
      <c r="I414">
        <v>53.979599999999998</v>
      </c>
      <c r="J414">
        <v>67.158600000000007</v>
      </c>
    </row>
    <row r="415" spans="1:10" x14ac:dyDescent="0.4">
      <c r="A415">
        <v>5</v>
      </c>
      <c r="B415">
        <v>2.0354999999999999</v>
      </c>
      <c r="C415">
        <v>3.5297000000000001</v>
      </c>
      <c r="D415">
        <v>4.5227000000000004</v>
      </c>
      <c r="E415">
        <v>6.8699000000000003</v>
      </c>
      <c r="F415">
        <v>12.045199999999999</v>
      </c>
      <c r="G415">
        <v>19.235900000000001</v>
      </c>
      <c r="H415">
        <v>26.1629</v>
      </c>
      <c r="I415">
        <v>29.8706</v>
      </c>
      <c r="J415">
        <v>37.860300000000002</v>
      </c>
    </row>
    <row r="416" spans="1:10" x14ac:dyDescent="0.4">
      <c r="A416">
        <v>6</v>
      </c>
      <c r="B416">
        <v>1.915</v>
      </c>
      <c r="C416">
        <v>3.5663</v>
      </c>
      <c r="D416">
        <v>4.67</v>
      </c>
      <c r="E416">
        <v>6.8531000000000004</v>
      </c>
      <c r="F416">
        <v>10.119300000000001</v>
      </c>
      <c r="G416">
        <v>14.4322</v>
      </c>
      <c r="H416">
        <v>19.509499999999999</v>
      </c>
      <c r="I416">
        <v>22.994800000000001</v>
      </c>
      <c r="J416">
        <v>29.1568</v>
      </c>
    </row>
    <row r="417" spans="1:10" x14ac:dyDescent="0.4">
      <c r="A417">
        <v>7</v>
      </c>
      <c r="B417">
        <v>0.6038</v>
      </c>
      <c r="C417">
        <v>1.1472</v>
      </c>
      <c r="D417">
        <v>1.5253000000000001</v>
      </c>
      <c r="E417">
        <v>2.2536</v>
      </c>
      <c r="F417">
        <v>3.1753999999999998</v>
      </c>
      <c r="G417">
        <v>4.2709999999999999</v>
      </c>
      <c r="H417">
        <v>5.4804000000000004</v>
      </c>
      <c r="I417">
        <v>6.3102999999999998</v>
      </c>
      <c r="J417">
        <v>7.9786999999999999</v>
      </c>
    </row>
    <row r="418" spans="1:10" x14ac:dyDescent="0.4">
      <c r="A418">
        <v>8</v>
      </c>
      <c r="B418">
        <v>0.28799999999999998</v>
      </c>
      <c r="C418">
        <v>0.54269999999999996</v>
      </c>
      <c r="D418">
        <v>0.71630000000000005</v>
      </c>
      <c r="E418">
        <v>1.0549999999999999</v>
      </c>
      <c r="F418">
        <v>1.4891000000000001</v>
      </c>
      <c r="G418">
        <v>2.0034999999999998</v>
      </c>
      <c r="H418">
        <v>2.6156999999999999</v>
      </c>
      <c r="I418">
        <v>3.093</v>
      </c>
      <c r="J418">
        <v>4.2809999999999997</v>
      </c>
    </row>
    <row r="419" spans="1:10" x14ac:dyDescent="0.4">
      <c r="A419">
        <v>9</v>
      </c>
      <c r="B419">
        <v>4.0500000000000001E-2</v>
      </c>
      <c r="C419">
        <v>8.2500000000000004E-2</v>
      </c>
      <c r="D419">
        <v>0.115</v>
      </c>
      <c r="E419">
        <v>0.1739</v>
      </c>
      <c r="F419">
        <v>0.24529999999999999</v>
      </c>
      <c r="G419">
        <v>0.33910000000000001</v>
      </c>
      <c r="H419">
        <v>0.46629999999999999</v>
      </c>
      <c r="I419">
        <v>0.57230000000000003</v>
      </c>
      <c r="J419">
        <v>0.99119999999999997</v>
      </c>
    </row>
    <row r="420" spans="1:10" x14ac:dyDescent="0.4">
      <c r="A420">
        <v>10</v>
      </c>
      <c r="B420">
        <v>1.2E-2</v>
      </c>
      <c r="C420">
        <v>2.1899999999999999E-2</v>
      </c>
      <c r="D420">
        <v>2.9399999999999999E-2</v>
      </c>
      <c r="E420">
        <v>4.65E-2</v>
      </c>
      <c r="F420">
        <v>6.93E-2</v>
      </c>
      <c r="G420">
        <v>9.8500000000000004E-2</v>
      </c>
      <c r="H420">
        <v>0.1447</v>
      </c>
      <c r="I420">
        <v>0.188</v>
      </c>
      <c r="J420">
        <v>0.4</v>
      </c>
    </row>
    <row r="421" spans="1:10" x14ac:dyDescent="0.4">
      <c r="A421">
        <v>11</v>
      </c>
      <c r="B421">
        <v>3.8999999999999998E-3</v>
      </c>
      <c r="C421">
        <v>7.4000000000000003E-3</v>
      </c>
      <c r="D421">
        <v>1.0200000000000001E-2</v>
      </c>
      <c r="E421">
        <v>1.5800000000000002E-2</v>
      </c>
      <c r="F421">
        <v>2.4799999999999999E-2</v>
      </c>
      <c r="G421">
        <v>3.7400000000000003E-2</v>
      </c>
      <c r="H421">
        <v>6.4600000000000005E-2</v>
      </c>
      <c r="I421">
        <v>8.2799999999999999E-2</v>
      </c>
      <c r="J421">
        <v>0.27029999999999998</v>
      </c>
    </row>
    <row r="422" spans="1:10" x14ac:dyDescent="0.4">
      <c r="A422">
        <v>12</v>
      </c>
      <c r="B422">
        <v>5.0000000000000001E-4</v>
      </c>
      <c r="C422">
        <v>1E-3</v>
      </c>
      <c r="D422">
        <v>1.5E-3</v>
      </c>
      <c r="E422">
        <v>2.3999999999999998E-3</v>
      </c>
      <c r="F422">
        <v>4.0000000000000001E-3</v>
      </c>
      <c r="G422">
        <v>6.7999999999999996E-3</v>
      </c>
      <c r="H422">
        <v>1.15E-2</v>
      </c>
      <c r="I422">
        <v>1.54E-2</v>
      </c>
      <c r="J422">
        <v>8.1299999999999997E-2</v>
      </c>
    </row>
    <row r="423" spans="1:10" x14ac:dyDescent="0.4">
      <c r="A423">
        <v>13</v>
      </c>
      <c r="B423">
        <v>2.0000000000000001E-4</v>
      </c>
      <c r="C423">
        <v>5.9999999999999995E-4</v>
      </c>
      <c r="D423">
        <v>8.0000000000000004E-4</v>
      </c>
      <c r="E423">
        <v>1.5E-3</v>
      </c>
      <c r="F423">
        <v>2.8999999999999998E-3</v>
      </c>
      <c r="G423">
        <v>5.1999999999999998E-3</v>
      </c>
      <c r="H423">
        <v>1.03E-2</v>
      </c>
      <c r="I423">
        <v>1.52E-2</v>
      </c>
      <c r="J423">
        <v>0.13420000000000001</v>
      </c>
    </row>
    <row r="424" spans="1:10" x14ac:dyDescent="0.4">
      <c r="A424">
        <v>14</v>
      </c>
      <c r="B424">
        <v>0</v>
      </c>
      <c r="C424">
        <v>0</v>
      </c>
      <c r="D424">
        <v>0</v>
      </c>
      <c r="E424">
        <v>1E-4</v>
      </c>
      <c r="F424">
        <v>2.0000000000000001E-4</v>
      </c>
      <c r="G424">
        <v>5.0000000000000001E-4</v>
      </c>
      <c r="H424">
        <v>8.9999999999999998E-4</v>
      </c>
      <c r="I424">
        <v>1.2999999999999999E-3</v>
      </c>
      <c r="J424">
        <v>1.44E-2</v>
      </c>
    </row>
    <row r="425" spans="1:10" x14ac:dyDescent="0.4">
      <c r="A425" t="s">
        <v>29</v>
      </c>
      <c r="B425">
        <v>0</v>
      </c>
      <c r="C425">
        <v>0</v>
      </c>
      <c r="D425">
        <v>0</v>
      </c>
      <c r="E425">
        <v>1E-4</v>
      </c>
      <c r="F425">
        <v>2.0000000000000001E-4</v>
      </c>
      <c r="G425">
        <v>2.9999999999999997E-4</v>
      </c>
      <c r="H425">
        <v>8.0000000000000004E-4</v>
      </c>
      <c r="I425">
        <v>1.4E-3</v>
      </c>
      <c r="J425">
        <v>3.6600000000000001E-2</v>
      </c>
    </row>
    <row r="427" spans="1:10" x14ac:dyDescent="0.4">
      <c r="A427">
        <v>2027</v>
      </c>
    </row>
    <row r="429" spans="1:10" x14ac:dyDescent="0.4">
      <c r="A429" t="s">
        <v>0</v>
      </c>
      <c r="B429" s="2">
        <v>0.01</v>
      </c>
      <c r="C429" s="2">
        <v>0.05</v>
      </c>
      <c r="D429" s="2">
        <v>0.1</v>
      </c>
      <c r="E429" s="2">
        <v>0.25</v>
      </c>
      <c r="F429" s="2">
        <v>0.5</v>
      </c>
      <c r="G429" s="2">
        <v>0.75</v>
      </c>
      <c r="H429" s="2">
        <v>0.9</v>
      </c>
      <c r="I429" s="2">
        <v>0.95</v>
      </c>
      <c r="J429" s="2">
        <v>0.99</v>
      </c>
    </row>
    <row r="430" spans="1:10" x14ac:dyDescent="0.4">
      <c r="A430">
        <v>1</v>
      </c>
      <c r="B430">
        <v>68.654499999999999</v>
      </c>
      <c r="C430">
        <v>70.751800000000003</v>
      </c>
      <c r="D430">
        <v>78.997</v>
      </c>
      <c r="E430">
        <v>104.7022</v>
      </c>
      <c r="F430">
        <v>168.4863</v>
      </c>
      <c r="G430">
        <v>236.25800000000001</v>
      </c>
      <c r="H430">
        <v>280.83069999999998</v>
      </c>
      <c r="I430">
        <v>307.4307</v>
      </c>
      <c r="J430">
        <v>336.60300000000001</v>
      </c>
    </row>
    <row r="431" spans="1:10" x14ac:dyDescent="0.4">
      <c r="A431">
        <v>2</v>
      </c>
      <c r="B431">
        <v>37.027099999999997</v>
      </c>
      <c r="C431">
        <v>41.334899999999998</v>
      </c>
      <c r="D431">
        <v>45.296799999999998</v>
      </c>
      <c r="E431">
        <v>60.259500000000003</v>
      </c>
      <c r="F431">
        <v>97.483999999999995</v>
      </c>
      <c r="G431">
        <v>138.31110000000001</v>
      </c>
      <c r="H431">
        <v>166.01</v>
      </c>
      <c r="I431">
        <v>180.32339999999999</v>
      </c>
      <c r="J431">
        <v>209.5538</v>
      </c>
    </row>
    <row r="432" spans="1:10" x14ac:dyDescent="0.4">
      <c r="A432">
        <v>3</v>
      </c>
      <c r="B432">
        <v>10.700699999999999</v>
      </c>
      <c r="C432">
        <v>17.151199999999999</v>
      </c>
      <c r="D432">
        <v>20.350200000000001</v>
      </c>
      <c r="E432">
        <v>28.0169</v>
      </c>
      <c r="F432">
        <v>46.881300000000003</v>
      </c>
      <c r="G432">
        <v>69.116399999999999</v>
      </c>
      <c r="H432">
        <v>87.821600000000004</v>
      </c>
      <c r="I432">
        <v>97.176599999999993</v>
      </c>
      <c r="J432">
        <v>119.0299</v>
      </c>
    </row>
    <row r="433" spans="1:10" x14ac:dyDescent="0.4">
      <c r="A433">
        <v>4</v>
      </c>
      <c r="B433">
        <v>1.8793</v>
      </c>
      <c r="C433">
        <v>4.8253000000000004</v>
      </c>
      <c r="D433">
        <v>6.7538999999999998</v>
      </c>
      <c r="E433">
        <v>10.8712</v>
      </c>
      <c r="F433">
        <v>19.5092</v>
      </c>
      <c r="G433">
        <v>31.349399999999999</v>
      </c>
      <c r="H433">
        <v>42.677100000000003</v>
      </c>
      <c r="I433">
        <v>48.561500000000002</v>
      </c>
      <c r="J433">
        <v>62.642899999999997</v>
      </c>
    </row>
    <row r="434" spans="1:10" x14ac:dyDescent="0.4">
      <c r="A434">
        <v>5</v>
      </c>
      <c r="B434">
        <v>0.42349999999999999</v>
      </c>
      <c r="C434">
        <v>1.5671999999999999</v>
      </c>
      <c r="D434">
        <v>2.4641999999999999</v>
      </c>
      <c r="E434">
        <v>4.5292000000000003</v>
      </c>
      <c r="F434">
        <v>8.6425000000000001</v>
      </c>
      <c r="G434">
        <v>14.920999999999999</v>
      </c>
      <c r="H434">
        <v>21.360800000000001</v>
      </c>
      <c r="I434">
        <v>25.036999999999999</v>
      </c>
      <c r="J434">
        <v>33.329700000000003</v>
      </c>
    </row>
    <row r="435" spans="1:10" x14ac:dyDescent="0.4">
      <c r="A435">
        <v>6</v>
      </c>
      <c r="B435">
        <v>0.14940000000000001</v>
      </c>
      <c r="C435">
        <v>0.64700000000000002</v>
      </c>
      <c r="D435">
        <v>1.0916999999999999</v>
      </c>
      <c r="E435">
        <v>2.1518999999999999</v>
      </c>
      <c r="F435">
        <v>4.2210000000000001</v>
      </c>
      <c r="G435">
        <v>7.5959000000000003</v>
      </c>
      <c r="H435">
        <v>11.2536</v>
      </c>
      <c r="I435">
        <v>13.5076</v>
      </c>
      <c r="J435">
        <v>18.473299999999998</v>
      </c>
    </row>
    <row r="436" spans="1:10" x14ac:dyDescent="0.4">
      <c r="A436">
        <v>7</v>
      </c>
      <c r="B436">
        <v>0.1368</v>
      </c>
      <c r="C436">
        <v>0.62770000000000004</v>
      </c>
      <c r="D436">
        <v>1.0794999999999999</v>
      </c>
      <c r="E436">
        <v>2.0914000000000001</v>
      </c>
      <c r="F436">
        <v>3.6692999999999998</v>
      </c>
      <c r="G436">
        <v>5.8586999999999998</v>
      </c>
      <c r="H436">
        <v>8.4679000000000002</v>
      </c>
      <c r="I436">
        <v>10.316000000000001</v>
      </c>
      <c r="J436">
        <v>14.059900000000001</v>
      </c>
    </row>
    <row r="437" spans="1:10" x14ac:dyDescent="0.4">
      <c r="A437">
        <v>8</v>
      </c>
      <c r="B437">
        <v>4.5600000000000002E-2</v>
      </c>
      <c r="C437">
        <v>0.21129999999999999</v>
      </c>
      <c r="D437">
        <v>0.36049999999999999</v>
      </c>
      <c r="E437">
        <v>0.69469999999999998</v>
      </c>
      <c r="F437">
        <v>1.1811</v>
      </c>
      <c r="G437">
        <v>1.7718</v>
      </c>
      <c r="H437">
        <v>2.4262000000000001</v>
      </c>
      <c r="I437">
        <v>2.8782999999999999</v>
      </c>
      <c r="J437">
        <v>3.8582000000000001</v>
      </c>
    </row>
    <row r="438" spans="1:10" x14ac:dyDescent="0.4">
      <c r="A438">
        <v>9</v>
      </c>
      <c r="B438">
        <v>2.3300000000000001E-2</v>
      </c>
      <c r="C438">
        <v>0.10639999999999999</v>
      </c>
      <c r="D438">
        <v>0.1779</v>
      </c>
      <c r="E438">
        <v>0.33829999999999999</v>
      </c>
      <c r="F438">
        <v>0.56799999999999995</v>
      </c>
      <c r="G438">
        <v>0.85209999999999997</v>
      </c>
      <c r="H438">
        <v>1.1788000000000001</v>
      </c>
      <c r="I438">
        <v>1.4260999999999999</v>
      </c>
      <c r="J438">
        <v>2.0284</v>
      </c>
    </row>
    <row r="439" spans="1:10" x14ac:dyDescent="0.4">
      <c r="A439">
        <v>10</v>
      </c>
      <c r="B439">
        <v>3.8E-3</v>
      </c>
      <c r="C439">
        <v>1.7299999999999999E-2</v>
      </c>
      <c r="D439">
        <v>2.9600000000000001E-2</v>
      </c>
      <c r="E439">
        <v>5.74E-2</v>
      </c>
      <c r="F439">
        <v>9.6299999999999997E-2</v>
      </c>
      <c r="G439">
        <v>0.14649999999999999</v>
      </c>
      <c r="H439">
        <v>0.21190000000000001</v>
      </c>
      <c r="I439">
        <v>0.26750000000000002</v>
      </c>
      <c r="J439">
        <v>0.45669999999999999</v>
      </c>
    </row>
    <row r="440" spans="1:10" x14ac:dyDescent="0.4">
      <c r="A440">
        <v>11</v>
      </c>
      <c r="B440">
        <v>1.1999999999999999E-3</v>
      </c>
      <c r="C440">
        <v>5.0000000000000001E-3</v>
      </c>
      <c r="D440">
        <v>8.3000000000000001E-3</v>
      </c>
      <c r="E440">
        <v>1.5900000000000001E-2</v>
      </c>
      <c r="F440">
        <v>2.75E-2</v>
      </c>
      <c r="G440">
        <v>4.2900000000000001E-2</v>
      </c>
      <c r="H440">
        <v>6.54E-2</v>
      </c>
      <c r="I440">
        <v>8.7999999999999995E-2</v>
      </c>
      <c r="J440">
        <v>0.183</v>
      </c>
    </row>
    <row r="441" spans="1:10" x14ac:dyDescent="0.4">
      <c r="A441">
        <v>12</v>
      </c>
      <c r="B441">
        <v>5.0000000000000001E-4</v>
      </c>
      <c r="C441">
        <v>1.8E-3</v>
      </c>
      <c r="D441">
        <v>2.8999999999999998E-3</v>
      </c>
      <c r="E441">
        <v>5.5999999999999999E-3</v>
      </c>
      <c r="F441">
        <v>0.01</v>
      </c>
      <c r="G441">
        <v>1.6400000000000001E-2</v>
      </c>
      <c r="H441">
        <v>2.8500000000000001E-2</v>
      </c>
      <c r="I441">
        <v>3.9399999999999998E-2</v>
      </c>
      <c r="J441">
        <v>0.12529999999999999</v>
      </c>
    </row>
    <row r="442" spans="1:10" x14ac:dyDescent="0.4">
      <c r="A442">
        <v>13</v>
      </c>
      <c r="B442">
        <v>1E-4</v>
      </c>
      <c r="C442">
        <v>2.9999999999999997E-4</v>
      </c>
      <c r="D442">
        <v>4.0000000000000002E-4</v>
      </c>
      <c r="E442">
        <v>8.9999999999999998E-4</v>
      </c>
      <c r="F442">
        <v>1.6000000000000001E-3</v>
      </c>
      <c r="G442">
        <v>2.8999999999999998E-3</v>
      </c>
      <c r="H442">
        <v>5.1999999999999998E-3</v>
      </c>
      <c r="I442">
        <v>7.3000000000000001E-3</v>
      </c>
      <c r="J442">
        <v>3.7600000000000001E-2</v>
      </c>
    </row>
    <row r="443" spans="1:10" x14ac:dyDescent="0.4">
      <c r="A443">
        <v>14</v>
      </c>
      <c r="B443">
        <v>0</v>
      </c>
      <c r="C443">
        <v>2.0000000000000001E-4</v>
      </c>
      <c r="D443">
        <v>2.9999999999999997E-4</v>
      </c>
      <c r="E443">
        <v>5.9999999999999995E-4</v>
      </c>
      <c r="F443">
        <v>1.1999999999999999E-3</v>
      </c>
      <c r="G443">
        <v>2.3E-3</v>
      </c>
      <c r="H443">
        <v>4.5999999999999999E-3</v>
      </c>
      <c r="I443">
        <v>7.0000000000000001E-3</v>
      </c>
      <c r="J443">
        <v>6.3E-2</v>
      </c>
    </row>
    <row r="444" spans="1:10" x14ac:dyDescent="0.4">
      <c r="A444" t="s">
        <v>29</v>
      </c>
      <c r="B444">
        <v>0</v>
      </c>
      <c r="C444">
        <v>0</v>
      </c>
      <c r="D444">
        <v>0</v>
      </c>
      <c r="E444">
        <v>1E-4</v>
      </c>
      <c r="F444">
        <v>2.0000000000000001E-4</v>
      </c>
      <c r="G444">
        <v>2.9999999999999997E-4</v>
      </c>
      <c r="H444">
        <v>8.0000000000000004E-4</v>
      </c>
      <c r="I444">
        <v>1.1999999999999999E-3</v>
      </c>
      <c r="J444">
        <v>2.4400000000000002E-2</v>
      </c>
    </row>
    <row r="446" spans="1:10" x14ac:dyDescent="0.4">
      <c r="A446">
        <v>2028</v>
      </c>
    </row>
    <row r="448" spans="1:10" x14ac:dyDescent="0.4">
      <c r="A448" t="s">
        <v>0</v>
      </c>
      <c r="B448" s="2">
        <v>0.01</v>
      </c>
      <c r="C448" s="2">
        <v>0.05</v>
      </c>
      <c r="D448" s="2">
        <v>0.1</v>
      </c>
      <c r="E448" s="2">
        <v>0.25</v>
      </c>
      <c r="F448" s="2">
        <v>0.5</v>
      </c>
      <c r="G448" s="2">
        <v>0.75</v>
      </c>
      <c r="H448" s="2">
        <v>0.9</v>
      </c>
      <c r="I448" s="2">
        <v>0.95</v>
      </c>
      <c r="J448" s="2">
        <v>0.99</v>
      </c>
    </row>
    <row r="449" spans="1:10" x14ac:dyDescent="0.4">
      <c r="A449">
        <v>1</v>
      </c>
      <c r="B449">
        <v>68.633300000000006</v>
      </c>
      <c r="C449">
        <v>70.503699999999995</v>
      </c>
      <c r="D449">
        <v>78.971800000000002</v>
      </c>
      <c r="E449">
        <v>104.7756</v>
      </c>
      <c r="F449">
        <v>168.51079999999999</v>
      </c>
      <c r="G449">
        <v>236.6086</v>
      </c>
      <c r="H449">
        <v>280.18689999999998</v>
      </c>
      <c r="I449">
        <v>307.15780000000001</v>
      </c>
      <c r="J449">
        <v>325.74220000000003</v>
      </c>
    </row>
    <row r="450" spans="1:10" x14ac:dyDescent="0.4">
      <c r="A450">
        <v>2</v>
      </c>
      <c r="B450">
        <v>37.678699999999999</v>
      </c>
      <c r="C450">
        <v>41.985599999999998</v>
      </c>
      <c r="D450">
        <v>45.936399999999999</v>
      </c>
      <c r="E450">
        <v>61.063499999999998</v>
      </c>
      <c r="F450">
        <v>98.695999999999998</v>
      </c>
      <c r="G450">
        <v>139.82550000000001</v>
      </c>
      <c r="H450">
        <v>168.2353</v>
      </c>
      <c r="I450">
        <v>183.114</v>
      </c>
      <c r="J450">
        <v>209.10339999999999</v>
      </c>
    </row>
    <row r="451" spans="1:10" x14ac:dyDescent="0.4">
      <c r="A451">
        <v>3</v>
      </c>
      <c r="B451">
        <v>9.9953000000000003</v>
      </c>
      <c r="C451">
        <v>17.729500000000002</v>
      </c>
      <c r="D451">
        <v>21.134899999999998</v>
      </c>
      <c r="E451">
        <v>29.213899999999999</v>
      </c>
      <c r="F451">
        <v>49.066099999999999</v>
      </c>
      <c r="G451">
        <v>71.872699999999995</v>
      </c>
      <c r="H451">
        <v>91.101600000000005</v>
      </c>
      <c r="I451">
        <v>100.46559999999999</v>
      </c>
      <c r="J451">
        <v>121.4496</v>
      </c>
    </row>
    <row r="452" spans="1:10" x14ac:dyDescent="0.4">
      <c r="A452">
        <v>4</v>
      </c>
      <c r="B452">
        <v>1.0589</v>
      </c>
      <c r="C452">
        <v>4.3762999999999996</v>
      </c>
      <c r="D452">
        <v>6.5841000000000003</v>
      </c>
      <c r="E452">
        <v>11.133900000000001</v>
      </c>
      <c r="F452">
        <v>20.0579</v>
      </c>
      <c r="G452">
        <v>32.456200000000003</v>
      </c>
      <c r="H452">
        <v>44.381100000000004</v>
      </c>
      <c r="I452">
        <v>50.65</v>
      </c>
      <c r="J452">
        <v>65.761399999999995</v>
      </c>
    </row>
    <row r="453" spans="1:10" x14ac:dyDescent="0.4">
      <c r="A453">
        <v>5</v>
      </c>
      <c r="B453">
        <v>0.1138</v>
      </c>
      <c r="C453">
        <v>0.97860000000000003</v>
      </c>
      <c r="D453">
        <v>1.8498000000000001</v>
      </c>
      <c r="E453">
        <v>3.9295</v>
      </c>
      <c r="F453">
        <v>7.9264000000000001</v>
      </c>
      <c r="G453">
        <v>14.1418</v>
      </c>
      <c r="H453">
        <v>20.6967</v>
      </c>
      <c r="I453">
        <v>24.559799999999999</v>
      </c>
      <c r="J453">
        <v>33.473100000000002</v>
      </c>
    </row>
    <row r="454" spans="1:10" x14ac:dyDescent="0.4">
      <c r="A454">
        <v>6</v>
      </c>
      <c r="B454">
        <v>2.3300000000000001E-2</v>
      </c>
      <c r="C454">
        <v>0.29549999999999998</v>
      </c>
      <c r="D454">
        <v>0.63859999999999995</v>
      </c>
      <c r="E454">
        <v>1.5733999999999999</v>
      </c>
      <c r="F454">
        <v>3.4464000000000001</v>
      </c>
      <c r="G454">
        <v>6.5871000000000004</v>
      </c>
      <c r="H454">
        <v>10.142899999999999</v>
      </c>
      <c r="I454">
        <v>12.423400000000001</v>
      </c>
      <c r="J454">
        <v>17.575600000000001</v>
      </c>
    </row>
    <row r="455" spans="1:10" x14ac:dyDescent="0.4">
      <c r="A455">
        <v>7</v>
      </c>
      <c r="B455">
        <v>7.9000000000000008E-3</v>
      </c>
      <c r="C455">
        <v>0.1225</v>
      </c>
      <c r="D455">
        <v>0.28289999999999998</v>
      </c>
      <c r="E455">
        <v>0.74629999999999996</v>
      </c>
      <c r="F455">
        <v>1.6998</v>
      </c>
      <c r="G455">
        <v>3.3540000000000001</v>
      </c>
      <c r="H455">
        <v>5.3482000000000003</v>
      </c>
      <c r="I455">
        <v>6.6897000000000002</v>
      </c>
      <c r="J455">
        <v>9.6860999999999997</v>
      </c>
    </row>
    <row r="456" spans="1:10" x14ac:dyDescent="0.4">
      <c r="A456">
        <v>8</v>
      </c>
      <c r="B456">
        <v>7.3000000000000001E-3</v>
      </c>
      <c r="C456">
        <v>0.1205</v>
      </c>
      <c r="D456">
        <v>0.27900000000000003</v>
      </c>
      <c r="E456">
        <v>0.73019999999999996</v>
      </c>
      <c r="F456">
        <v>1.5224</v>
      </c>
      <c r="G456">
        <v>2.6774</v>
      </c>
      <c r="H456">
        <v>4.0891999999999999</v>
      </c>
      <c r="I456">
        <v>5.1345000000000001</v>
      </c>
      <c r="J456">
        <v>7.3723999999999998</v>
      </c>
    </row>
    <row r="457" spans="1:10" x14ac:dyDescent="0.4">
      <c r="A457">
        <v>9</v>
      </c>
      <c r="B457">
        <v>2.5999999999999999E-3</v>
      </c>
      <c r="C457">
        <v>4.24E-2</v>
      </c>
      <c r="D457">
        <v>9.6100000000000005E-2</v>
      </c>
      <c r="E457">
        <v>0.2477</v>
      </c>
      <c r="F457">
        <v>0.49980000000000002</v>
      </c>
      <c r="G457">
        <v>0.8296</v>
      </c>
      <c r="H457">
        <v>1.1996</v>
      </c>
      <c r="I457">
        <v>1.4630000000000001</v>
      </c>
      <c r="J457">
        <v>2.0457000000000001</v>
      </c>
    </row>
    <row r="458" spans="1:10" x14ac:dyDescent="0.4">
      <c r="A458">
        <v>10</v>
      </c>
      <c r="B458">
        <v>1.5E-3</v>
      </c>
      <c r="C458">
        <v>2.2499999999999999E-2</v>
      </c>
      <c r="D458">
        <v>4.9399999999999999E-2</v>
      </c>
      <c r="E458">
        <v>0.12379999999999999</v>
      </c>
      <c r="F458">
        <v>0.245</v>
      </c>
      <c r="G458">
        <v>0.40479999999999999</v>
      </c>
      <c r="H458">
        <v>0.58950000000000002</v>
      </c>
      <c r="I458">
        <v>0.72770000000000001</v>
      </c>
      <c r="J458">
        <v>1.0656000000000001</v>
      </c>
    </row>
    <row r="459" spans="1:10" x14ac:dyDescent="0.4">
      <c r="A459">
        <v>11</v>
      </c>
      <c r="B459">
        <v>2.9999999999999997E-4</v>
      </c>
      <c r="C459">
        <v>3.8E-3</v>
      </c>
      <c r="D459">
        <v>8.5000000000000006E-3</v>
      </c>
      <c r="E459">
        <v>2.1399999999999999E-2</v>
      </c>
      <c r="F459">
        <v>4.2299999999999997E-2</v>
      </c>
      <c r="G459">
        <v>7.0499999999999993E-2</v>
      </c>
      <c r="H459">
        <v>0.1065</v>
      </c>
      <c r="I459">
        <v>0.13739999999999999</v>
      </c>
      <c r="J459">
        <v>0.23319999999999999</v>
      </c>
    </row>
    <row r="460" spans="1:10" x14ac:dyDescent="0.4">
      <c r="A460">
        <v>12</v>
      </c>
      <c r="B460">
        <v>1E-4</v>
      </c>
      <c r="C460">
        <v>1.1999999999999999E-3</v>
      </c>
      <c r="D460">
        <v>2.5000000000000001E-3</v>
      </c>
      <c r="E460">
        <v>6.1000000000000004E-3</v>
      </c>
      <c r="F460">
        <v>1.2200000000000001E-2</v>
      </c>
      <c r="G460">
        <v>2.0799999999999999E-2</v>
      </c>
      <c r="H460">
        <v>3.2800000000000003E-2</v>
      </c>
      <c r="I460">
        <v>4.48E-2</v>
      </c>
      <c r="J460">
        <v>9.2999999999999999E-2</v>
      </c>
    </row>
    <row r="461" spans="1:10" x14ac:dyDescent="0.4">
      <c r="A461">
        <v>13</v>
      </c>
      <c r="B461">
        <v>0</v>
      </c>
      <c r="C461">
        <v>4.0000000000000002E-4</v>
      </c>
      <c r="D461">
        <v>8.9999999999999998E-4</v>
      </c>
      <c r="E461">
        <v>2.2000000000000001E-3</v>
      </c>
      <c r="F461">
        <v>4.4999999999999997E-3</v>
      </c>
      <c r="G461">
        <v>8.0000000000000002E-3</v>
      </c>
      <c r="H461">
        <v>1.4E-2</v>
      </c>
      <c r="I461">
        <v>2.0199999999999999E-2</v>
      </c>
      <c r="J461">
        <v>6.1400000000000003E-2</v>
      </c>
    </row>
    <row r="462" spans="1:10" x14ac:dyDescent="0.4">
      <c r="A462">
        <v>14</v>
      </c>
      <c r="B462">
        <v>0</v>
      </c>
      <c r="C462">
        <v>1E-4</v>
      </c>
      <c r="D462">
        <v>1E-4</v>
      </c>
      <c r="E462">
        <v>4.0000000000000002E-4</v>
      </c>
      <c r="F462">
        <v>6.9999999999999999E-4</v>
      </c>
      <c r="G462">
        <v>1.4E-3</v>
      </c>
      <c r="H462">
        <v>2.5999999999999999E-3</v>
      </c>
      <c r="I462">
        <v>3.8E-3</v>
      </c>
      <c r="J462">
        <v>1.8800000000000001E-2</v>
      </c>
    </row>
    <row r="463" spans="1:10" x14ac:dyDescent="0.4">
      <c r="A463" t="s">
        <v>29</v>
      </c>
      <c r="B463">
        <v>0</v>
      </c>
      <c r="C463">
        <v>0</v>
      </c>
      <c r="D463">
        <v>1E-4</v>
      </c>
      <c r="E463">
        <v>2.9999999999999997E-4</v>
      </c>
      <c r="F463">
        <v>5.9999999999999995E-4</v>
      </c>
      <c r="G463">
        <v>1.1999999999999999E-3</v>
      </c>
      <c r="H463">
        <v>2.5999999999999999E-3</v>
      </c>
      <c r="I463">
        <v>4.1999999999999997E-3</v>
      </c>
      <c r="J463">
        <v>4.4299999999999999E-2</v>
      </c>
    </row>
    <row r="465" spans="1:10" x14ac:dyDescent="0.4">
      <c r="A465">
        <v>2029</v>
      </c>
    </row>
    <row r="467" spans="1:10" x14ac:dyDescent="0.4">
      <c r="A467" t="s">
        <v>0</v>
      </c>
      <c r="B467" s="2">
        <v>0.01</v>
      </c>
      <c r="C467" s="2">
        <v>0.05</v>
      </c>
      <c r="D467" s="2">
        <v>0.1</v>
      </c>
      <c r="E467" s="2">
        <v>0.25</v>
      </c>
      <c r="F467" s="2">
        <v>0.5</v>
      </c>
      <c r="G467" s="2">
        <v>0.75</v>
      </c>
      <c r="H467" s="2">
        <v>0.9</v>
      </c>
      <c r="I467" s="2">
        <v>0.95</v>
      </c>
      <c r="J467" s="2">
        <v>0.99</v>
      </c>
    </row>
    <row r="468" spans="1:10" x14ac:dyDescent="0.4">
      <c r="A468">
        <v>1</v>
      </c>
      <c r="B468">
        <v>68.645399999999995</v>
      </c>
      <c r="C468">
        <v>70.829400000000007</v>
      </c>
      <c r="D468">
        <v>79.066100000000006</v>
      </c>
      <c r="E468">
        <v>105.12609999999999</v>
      </c>
      <c r="F468">
        <v>168.4984</v>
      </c>
      <c r="G468">
        <v>236.88220000000001</v>
      </c>
      <c r="H468">
        <v>280.16860000000003</v>
      </c>
      <c r="I468">
        <v>307.1053</v>
      </c>
      <c r="J468">
        <v>327.0942</v>
      </c>
    </row>
    <row r="469" spans="1:10" x14ac:dyDescent="0.4">
      <c r="A469">
        <v>2</v>
      </c>
      <c r="B469">
        <v>37.3476</v>
      </c>
      <c r="C469">
        <v>41.7605</v>
      </c>
      <c r="D469">
        <v>45.6843</v>
      </c>
      <c r="E469">
        <v>60.738900000000001</v>
      </c>
      <c r="F469">
        <v>98.4422</v>
      </c>
      <c r="G469">
        <v>139.42910000000001</v>
      </c>
      <c r="H469">
        <v>167.52869999999999</v>
      </c>
      <c r="I469">
        <v>182.61240000000001</v>
      </c>
      <c r="J469">
        <v>207.51519999999999</v>
      </c>
    </row>
    <row r="470" spans="1:10" x14ac:dyDescent="0.4">
      <c r="A470">
        <v>3</v>
      </c>
      <c r="B470">
        <v>11.0945</v>
      </c>
      <c r="C470">
        <v>18.845800000000001</v>
      </c>
      <c r="D470">
        <v>22.120699999999999</v>
      </c>
      <c r="E470">
        <v>30.305499999999999</v>
      </c>
      <c r="F470">
        <v>50.549199999999999</v>
      </c>
      <c r="G470">
        <v>73.876800000000003</v>
      </c>
      <c r="H470">
        <v>93.513499999999993</v>
      </c>
      <c r="I470">
        <v>103.0014</v>
      </c>
      <c r="J470">
        <v>122.6823</v>
      </c>
    </row>
    <row r="471" spans="1:10" x14ac:dyDescent="0.4">
      <c r="A471">
        <v>4</v>
      </c>
      <c r="B471">
        <v>1.2439</v>
      </c>
      <c r="C471">
        <v>5.1630000000000003</v>
      </c>
      <c r="D471">
        <v>7.6458000000000004</v>
      </c>
      <c r="E471">
        <v>12.4468</v>
      </c>
      <c r="F471">
        <v>22.212199999999999</v>
      </c>
      <c r="G471">
        <v>35.148400000000002</v>
      </c>
      <c r="H471">
        <v>47.548400000000001</v>
      </c>
      <c r="I471">
        <v>53.973500000000001</v>
      </c>
      <c r="J471">
        <v>68.814400000000006</v>
      </c>
    </row>
    <row r="472" spans="1:10" x14ac:dyDescent="0.4">
      <c r="A472">
        <v>5</v>
      </c>
      <c r="B472">
        <v>9.4100000000000003E-2</v>
      </c>
      <c r="C472">
        <v>1.0405</v>
      </c>
      <c r="D472">
        <v>2.0244</v>
      </c>
      <c r="E472">
        <v>4.3997000000000002</v>
      </c>
      <c r="F472">
        <v>8.7438000000000002</v>
      </c>
      <c r="G472">
        <v>15.5189</v>
      </c>
      <c r="H472">
        <v>22.527999999999999</v>
      </c>
      <c r="I472">
        <v>26.688800000000001</v>
      </c>
      <c r="J472">
        <v>36.357999999999997</v>
      </c>
    </row>
    <row r="473" spans="1:10" x14ac:dyDescent="0.4">
      <c r="A473">
        <v>6</v>
      </c>
      <c r="B473">
        <v>9.1999999999999998E-3</v>
      </c>
      <c r="C473">
        <v>0.21870000000000001</v>
      </c>
      <c r="D473">
        <v>0.53500000000000003</v>
      </c>
      <c r="E473">
        <v>1.4954000000000001</v>
      </c>
      <c r="F473">
        <v>3.3967000000000001</v>
      </c>
      <c r="G473">
        <v>6.6268000000000002</v>
      </c>
      <c r="H473">
        <v>10.3087</v>
      </c>
      <c r="I473">
        <v>12.6959</v>
      </c>
      <c r="J473">
        <v>18.308900000000001</v>
      </c>
    </row>
    <row r="474" spans="1:10" x14ac:dyDescent="0.4">
      <c r="A474">
        <v>7</v>
      </c>
      <c r="B474">
        <v>1.6999999999999999E-3</v>
      </c>
      <c r="C474">
        <v>6.59E-2</v>
      </c>
      <c r="D474">
        <v>0.185</v>
      </c>
      <c r="E474">
        <v>0.5978</v>
      </c>
      <c r="F474">
        <v>1.4855</v>
      </c>
      <c r="G474">
        <v>3.0903999999999998</v>
      </c>
      <c r="H474">
        <v>5.0632000000000001</v>
      </c>
      <c r="I474">
        <v>6.4085999999999999</v>
      </c>
      <c r="J474">
        <v>9.5160999999999998</v>
      </c>
    </row>
    <row r="475" spans="1:10" x14ac:dyDescent="0.4">
      <c r="A475">
        <v>8</v>
      </c>
      <c r="B475">
        <v>8.9999999999999998E-4</v>
      </c>
      <c r="C475">
        <v>2.8000000000000001E-2</v>
      </c>
      <c r="D475">
        <v>8.3400000000000002E-2</v>
      </c>
      <c r="E475">
        <v>0.2858</v>
      </c>
      <c r="F475">
        <v>0.74509999999999998</v>
      </c>
      <c r="G475">
        <v>1.587</v>
      </c>
      <c r="H475">
        <v>2.6947999999999999</v>
      </c>
      <c r="I475">
        <v>3.4685000000000001</v>
      </c>
      <c r="J475">
        <v>5.2923</v>
      </c>
    </row>
    <row r="476" spans="1:10" x14ac:dyDescent="0.4">
      <c r="A476">
        <v>9</v>
      </c>
      <c r="B476">
        <v>8.0000000000000004E-4</v>
      </c>
      <c r="C476">
        <v>2.7799999999999998E-2</v>
      </c>
      <c r="D476">
        <v>8.3199999999999996E-2</v>
      </c>
      <c r="E476">
        <v>0.28349999999999997</v>
      </c>
      <c r="F476">
        <v>0.68269999999999997</v>
      </c>
      <c r="G476">
        <v>1.3084</v>
      </c>
      <c r="H476">
        <v>2.0971000000000002</v>
      </c>
      <c r="I476">
        <v>2.7115999999999998</v>
      </c>
      <c r="J476">
        <v>4.0467000000000004</v>
      </c>
    </row>
    <row r="477" spans="1:10" x14ac:dyDescent="0.4">
      <c r="A477">
        <v>10</v>
      </c>
      <c r="B477">
        <v>2.9999999999999997E-4</v>
      </c>
      <c r="C477">
        <v>1.01E-2</v>
      </c>
      <c r="D477">
        <v>2.9700000000000001E-2</v>
      </c>
      <c r="E477">
        <v>9.8199999999999996E-2</v>
      </c>
      <c r="F477">
        <v>0.22789999999999999</v>
      </c>
      <c r="G477">
        <v>0.41139999999999999</v>
      </c>
      <c r="H477">
        <v>0.62739999999999996</v>
      </c>
      <c r="I477">
        <v>0.78249999999999997</v>
      </c>
      <c r="J477">
        <v>1.1369</v>
      </c>
    </row>
    <row r="478" spans="1:10" x14ac:dyDescent="0.4">
      <c r="A478">
        <v>11</v>
      </c>
      <c r="B478">
        <v>2.0000000000000001E-4</v>
      </c>
      <c r="C478">
        <v>5.4999999999999997E-3</v>
      </c>
      <c r="D478">
        <v>1.5699999999999999E-2</v>
      </c>
      <c r="E478">
        <v>4.9700000000000001E-2</v>
      </c>
      <c r="F478">
        <v>0.1135</v>
      </c>
      <c r="G478">
        <v>0.2029</v>
      </c>
      <c r="H478">
        <v>0.31030000000000002</v>
      </c>
      <c r="I478">
        <v>0.39119999999999999</v>
      </c>
      <c r="J478">
        <v>0.58709999999999996</v>
      </c>
    </row>
    <row r="479" spans="1:10" x14ac:dyDescent="0.4">
      <c r="A479">
        <v>12</v>
      </c>
      <c r="B479">
        <v>0</v>
      </c>
      <c r="C479">
        <v>1E-3</v>
      </c>
      <c r="D479">
        <v>2.8E-3</v>
      </c>
      <c r="E479">
        <v>8.6999999999999994E-3</v>
      </c>
      <c r="F479">
        <v>1.9800000000000002E-2</v>
      </c>
      <c r="G479">
        <v>3.5700000000000003E-2</v>
      </c>
      <c r="H479">
        <v>5.62E-2</v>
      </c>
      <c r="I479">
        <v>7.3800000000000004E-2</v>
      </c>
      <c r="J479">
        <v>0.12559999999999999</v>
      </c>
    </row>
    <row r="480" spans="1:10" x14ac:dyDescent="0.4">
      <c r="A480">
        <v>13</v>
      </c>
      <c r="B480">
        <v>0</v>
      </c>
      <c r="C480">
        <v>2.9999999999999997E-4</v>
      </c>
      <c r="D480">
        <v>8.0000000000000004E-4</v>
      </c>
      <c r="E480">
        <v>2.5000000000000001E-3</v>
      </c>
      <c r="F480">
        <v>5.7999999999999996E-3</v>
      </c>
      <c r="G480">
        <v>1.06E-2</v>
      </c>
      <c r="H480">
        <v>1.7299999999999999E-2</v>
      </c>
      <c r="I480">
        <v>2.3900000000000001E-2</v>
      </c>
      <c r="J480">
        <v>4.9099999999999998E-2</v>
      </c>
    </row>
    <row r="481" spans="1:10" x14ac:dyDescent="0.4">
      <c r="A481">
        <v>14</v>
      </c>
      <c r="B481">
        <v>0</v>
      </c>
      <c r="C481">
        <v>1E-4</v>
      </c>
      <c r="D481">
        <v>2.9999999999999997E-4</v>
      </c>
      <c r="E481">
        <v>8.9999999999999998E-4</v>
      </c>
      <c r="F481">
        <v>2.0999999999999999E-3</v>
      </c>
      <c r="G481">
        <v>4.1000000000000003E-3</v>
      </c>
      <c r="H481">
        <v>7.3000000000000001E-3</v>
      </c>
      <c r="I481">
        <v>1.0699999999999999E-2</v>
      </c>
      <c r="J481">
        <v>3.1300000000000001E-2</v>
      </c>
    </row>
    <row r="482" spans="1:10" x14ac:dyDescent="0.4">
      <c r="A482" t="s">
        <v>29</v>
      </c>
      <c r="B482">
        <v>0</v>
      </c>
      <c r="C482">
        <v>0</v>
      </c>
      <c r="D482">
        <v>1E-4</v>
      </c>
      <c r="E482">
        <v>2.9999999999999997E-4</v>
      </c>
      <c r="F482">
        <v>5.9999999999999995E-4</v>
      </c>
      <c r="G482">
        <v>1.2999999999999999E-3</v>
      </c>
      <c r="H482">
        <v>2.7000000000000001E-3</v>
      </c>
      <c r="I482">
        <v>4.1999999999999997E-3</v>
      </c>
      <c r="J482">
        <v>3.2800000000000003E-2</v>
      </c>
    </row>
    <row r="484" spans="1:10" x14ac:dyDescent="0.4">
      <c r="A484">
        <v>2030</v>
      </c>
    </row>
    <row r="486" spans="1:10" x14ac:dyDescent="0.4">
      <c r="A486" t="s">
        <v>0</v>
      </c>
      <c r="B486" s="2">
        <v>0.01</v>
      </c>
      <c r="C486" s="2">
        <v>0.05</v>
      </c>
      <c r="D486" s="2">
        <v>0.1</v>
      </c>
      <c r="E486" s="2">
        <v>0.25</v>
      </c>
      <c r="F486" s="2">
        <v>0.5</v>
      </c>
      <c r="G486" s="2">
        <v>0.75</v>
      </c>
      <c r="H486" s="2">
        <v>0.9</v>
      </c>
      <c r="I486" s="2">
        <v>0.95</v>
      </c>
      <c r="J486" s="2">
        <v>0.99</v>
      </c>
    </row>
    <row r="487" spans="1:10" x14ac:dyDescent="0.4">
      <c r="A487">
        <v>1</v>
      </c>
      <c r="B487">
        <v>68.652600000000007</v>
      </c>
      <c r="C487">
        <v>70.702699999999993</v>
      </c>
      <c r="D487">
        <v>79.155100000000004</v>
      </c>
      <c r="E487">
        <v>104.8861</v>
      </c>
      <c r="F487">
        <v>168.56890000000001</v>
      </c>
      <c r="G487">
        <v>236.977</v>
      </c>
      <c r="H487">
        <v>280.1302</v>
      </c>
      <c r="I487">
        <v>306.78629999999998</v>
      </c>
      <c r="J487">
        <v>325.68340000000001</v>
      </c>
    </row>
    <row r="488" spans="1:10" x14ac:dyDescent="0.4">
      <c r="A488">
        <v>2</v>
      </c>
      <c r="B488">
        <v>37.349499999999999</v>
      </c>
      <c r="C488">
        <v>41.868899999999996</v>
      </c>
      <c r="D488">
        <v>45.841500000000003</v>
      </c>
      <c r="E488">
        <v>61.088999999999999</v>
      </c>
      <c r="F488">
        <v>98.625699999999995</v>
      </c>
      <c r="G488">
        <v>139.81399999999999</v>
      </c>
      <c r="H488">
        <v>167.8563</v>
      </c>
      <c r="I488">
        <v>182.6086</v>
      </c>
      <c r="J488">
        <v>207.17070000000001</v>
      </c>
    </row>
    <row r="489" spans="1:10" x14ac:dyDescent="0.4">
      <c r="A489">
        <v>3</v>
      </c>
      <c r="B489">
        <v>11.354799999999999</v>
      </c>
      <c r="C489">
        <v>19.058199999999999</v>
      </c>
      <c r="D489">
        <v>22.3065</v>
      </c>
      <c r="E489">
        <v>30.513400000000001</v>
      </c>
      <c r="F489">
        <v>50.784399999999998</v>
      </c>
      <c r="G489">
        <v>73.884500000000003</v>
      </c>
      <c r="H489">
        <v>93.508200000000002</v>
      </c>
      <c r="I489">
        <v>103.0889</v>
      </c>
      <c r="J489">
        <v>122.59650000000001</v>
      </c>
    </row>
    <row r="490" spans="1:10" x14ac:dyDescent="0.4">
      <c r="A490">
        <v>4</v>
      </c>
      <c r="B490">
        <v>1.5092000000000001</v>
      </c>
      <c r="C490">
        <v>5.7621000000000002</v>
      </c>
      <c r="D490">
        <v>8.2738999999999994</v>
      </c>
      <c r="E490">
        <v>13.116099999999999</v>
      </c>
      <c r="F490">
        <v>23.111899999999999</v>
      </c>
      <c r="G490">
        <v>36.467199999999998</v>
      </c>
      <c r="H490">
        <v>49.119399999999999</v>
      </c>
      <c r="I490">
        <v>55.592100000000002</v>
      </c>
      <c r="J490">
        <v>69.815399999999997</v>
      </c>
    </row>
    <row r="491" spans="1:10" x14ac:dyDescent="0.4">
      <c r="A491">
        <v>5</v>
      </c>
      <c r="B491">
        <v>0.12239999999999999</v>
      </c>
      <c r="C491">
        <v>1.2977000000000001</v>
      </c>
      <c r="D491">
        <v>2.4428999999999998</v>
      </c>
      <c r="E491">
        <v>5.0244999999999997</v>
      </c>
      <c r="F491">
        <v>9.7545000000000002</v>
      </c>
      <c r="G491">
        <v>16.940100000000001</v>
      </c>
      <c r="H491">
        <v>24.284800000000001</v>
      </c>
      <c r="I491">
        <v>28.482199999999999</v>
      </c>
      <c r="J491">
        <v>38.264899999999997</v>
      </c>
    </row>
    <row r="492" spans="1:10" x14ac:dyDescent="0.4">
      <c r="A492">
        <v>6</v>
      </c>
      <c r="B492">
        <v>8.0999999999999996E-3</v>
      </c>
      <c r="C492">
        <v>0.2455</v>
      </c>
      <c r="D492">
        <v>0.61480000000000001</v>
      </c>
      <c r="E492">
        <v>1.6986000000000001</v>
      </c>
      <c r="F492">
        <v>3.8075000000000001</v>
      </c>
      <c r="G492">
        <v>7.3372999999999999</v>
      </c>
      <c r="H492">
        <v>11.271800000000001</v>
      </c>
      <c r="I492">
        <v>13.8917</v>
      </c>
      <c r="J492">
        <v>19.776900000000001</v>
      </c>
    </row>
    <row r="493" spans="1:10" x14ac:dyDescent="0.4">
      <c r="A493">
        <v>7</v>
      </c>
      <c r="B493">
        <v>1E-3</v>
      </c>
      <c r="C493">
        <v>5.1700000000000003E-2</v>
      </c>
      <c r="D493">
        <v>0.161</v>
      </c>
      <c r="E493">
        <v>0.57430000000000003</v>
      </c>
      <c r="F493">
        <v>1.4883</v>
      </c>
      <c r="G493">
        <v>3.1389</v>
      </c>
      <c r="H493">
        <v>5.1745000000000001</v>
      </c>
      <c r="I493">
        <v>6.5842999999999998</v>
      </c>
      <c r="J493">
        <v>10.005699999999999</v>
      </c>
    </row>
    <row r="494" spans="1:10" x14ac:dyDescent="0.4">
      <c r="A494">
        <v>8</v>
      </c>
      <c r="B494">
        <v>2.0000000000000001E-4</v>
      </c>
      <c r="C494">
        <v>1.5900000000000001E-2</v>
      </c>
      <c r="D494">
        <v>5.7700000000000001E-2</v>
      </c>
      <c r="E494">
        <v>0.2334</v>
      </c>
      <c r="F494">
        <v>0.65780000000000005</v>
      </c>
      <c r="G494">
        <v>1.4754</v>
      </c>
      <c r="H494">
        <v>2.5627</v>
      </c>
      <c r="I494">
        <v>3.3460000000000001</v>
      </c>
      <c r="J494">
        <v>5.234</v>
      </c>
    </row>
    <row r="495" spans="1:10" x14ac:dyDescent="0.4">
      <c r="A495">
        <v>9</v>
      </c>
      <c r="B495">
        <v>1E-4</v>
      </c>
      <c r="C495">
        <v>7.0000000000000001E-3</v>
      </c>
      <c r="D495">
        <v>2.6599999999999999E-2</v>
      </c>
      <c r="E495">
        <v>0.1139</v>
      </c>
      <c r="F495">
        <v>0.33639999999999998</v>
      </c>
      <c r="G495">
        <v>0.76900000000000002</v>
      </c>
      <c r="H495">
        <v>1.3824000000000001</v>
      </c>
      <c r="I495">
        <v>1.8238000000000001</v>
      </c>
      <c r="J495">
        <v>2.9113000000000002</v>
      </c>
    </row>
    <row r="496" spans="1:10" x14ac:dyDescent="0.4">
      <c r="A496">
        <v>10</v>
      </c>
      <c r="B496">
        <v>1E-4</v>
      </c>
      <c r="C496">
        <v>7.1999999999999998E-3</v>
      </c>
      <c r="D496">
        <v>2.69E-2</v>
      </c>
      <c r="E496">
        <v>0.1139</v>
      </c>
      <c r="F496">
        <v>0.31459999999999999</v>
      </c>
      <c r="G496">
        <v>0.64939999999999998</v>
      </c>
      <c r="H496">
        <v>1.0946</v>
      </c>
      <c r="I496">
        <v>1.446</v>
      </c>
      <c r="J496">
        <v>2.2435999999999998</v>
      </c>
    </row>
    <row r="497" spans="1:10" x14ac:dyDescent="0.4">
      <c r="A497">
        <v>11</v>
      </c>
      <c r="B497">
        <v>0</v>
      </c>
      <c r="C497">
        <v>2.7000000000000001E-3</v>
      </c>
      <c r="D497">
        <v>9.7999999999999997E-3</v>
      </c>
      <c r="E497">
        <v>3.9899999999999998E-2</v>
      </c>
      <c r="F497">
        <v>0.1061</v>
      </c>
      <c r="G497">
        <v>0.20749999999999999</v>
      </c>
      <c r="H497">
        <v>0.33200000000000002</v>
      </c>
      <c r="I497">
        <v>0.42370000000000002</v>
      </c>
      <c r="J497">
        <v>0.63729999999999998</v>
      </c>
    </row>
    <row r="498" spans="1:10" x14ac:dyDescent="0.4">
      <c r="A498">
        <v>12</v>
      </c>
      <c r="B498">
        <v>0</v>
      </c>
      <c r="C498">
        <v>1.5E-3</v>
      </c>
      <c r="D498">
        <v>5.3E-3</v>
      </c>
      <c r="E498">
        <v>2.06E-2</v>
      </c>
      <c r="F498">
        <v>5.3400000000000003E-2</v>
      </c>
      <c r="G498">
        <v>0.10340000000000001</v>
      </c>
      <c r="H498">
        <v>0.16489999999999999</v>
      </c>
      <c r="I498">
        <v>0.21210000000000001</v>
      </c>
      <c r="J498">
        <v>0.32840000000000003</v>
      </c>
    </row>
    <row r="499" spans="1:10" x14ac:dyDescent="0.4">
      <c r="A499">
        <v>13</v>
      </c>
      <c r="B499">
        <v>0</v>
      </c>
      <c r="C499">
        <v>2.9999999999999997E-4</v>
      </c>
      <c r="D499">
        <v>1E-3</v>
      </c>
      <c r="E499">
        <v>3.7000000000000002E-3</v>
      </c>
      <c r="F499">
        <v>9.4000000000000004E-3</v>
      </c>
      <c r="G499">
        <v>1.83E-2</v>
      </c>
      <c r="H499">
        <v>0.03</v>
      </c>
      <c r="I499">
        <v>0.04</v>
      </c>
      <c r="J499">
        <v>6.88E-2</v>
      </c>
    </row>
    <row r="500" spans="1:10" x14ac:dyDescent="0.4">
      <c r="A500">
        <v>14</v>
      </c>
      <c r="B500">
        <v>0</v>
      </c>
      <c r="C500">
        <v>1E-4</v>
      </c>
      <c r="D500">
        <v>2.9999999999999997E-4</v>
      </c>
      <c r="E500">
        <v>1.1000000000000001E-3</v>
      </c>
      <c r="F500">
        <v>2.8E-3</v>
      </c>
      <c r="G500">
        <v>5.4000000000000003E-3</v>
      </c>
      <c r="H500">
        <v>9.1999999999999998E-3</v>
      </c>
      <c r="I500">
        <v>1.2800000000000001E-2</v>
      </c>
      <c r="J500">
        <v>2.63E-2</v>
      </c>
    </row>
    <row r="501" spans="1:10" x14ac:dyDescent="0.4">
      <c r="A501" t="s">
        <v>29</v>
      </c>
      <c r="B501">
        <v>0</v>
      </c>
      <c r="C501">
        <v>0</v>
      </c>
      <c r="D501">
        <v>1E-4</v>
      </c>
      <c r="E501">
        <v>5.0000000000000001E-4</v>
      </c>
      <c r="F501">
        <v>1.2999999999999999E-3</v>
      </c>
      <c r="G501">
        <v>2.8E-3</v>
      </c>
      <c r="H501">
        <v>5.1999999999999998E-3</v>
      </c>
      <c r="I501">
        <v>8.0000000000000002E-3</v>
      </c>
      <c r="J501">
        <v>3.2599999999999997E-2</v>
      </c>
    </row>
    <row r="503" spans="1:10" x14ac:dyDescent="0.4">
      <c r="A503">
        <v>2031</v>
      </c>
    </row>
    <row r="505" spans="1:10" x14ac:dyDescent="0.4">
      <c r="A505" t="s">
        <v>0</v>
      </c>
      <c r="B505" s="2">
        <v>0.01</v>
      </c>
      <c r="C505" s="2">
        <v>0.05</v>
      </c>
      <c r="D505" s="2">
        <v>0.1</v>
      </c>
      <c r="E505" s="2">
        <v>0.25</v>
      </c>
      <c r="F505" s="2">
        <v>0.5</v>
      </c>
      <c r="G505" s="2">
        <v>0.75</v>
      </c>
      <c r="H505" s="2">
        <v>0.9</v>
      </c>
      <c r="I505" s="2">
        <v>0.95</v>
      </c>
      <c r="J505" s="2">
        <v>0.99</v>
      </c>
    </row>
    <row r="506" spans="1:10" x14ac:dyDescent="0.4">
      <c r="A506">
        <v>1</v>
      </c>
      <c r="B506">
        <v>68.649699999999996</v>
      </c>
      <c r="C506">
        <v>70.642799999999994</v>
      </c>
      <c r="D506">
        <v>78.970600000000005</v>
      </c>
      <c r="E506">
        <v>104.7593</v>
      </c>
      <c r="F506">
        <v>168.5864</v>
      </c>
      <c r="G506">
        <v>237.08160000000001</v>
      </c>
      <c r="H506">
        <v>280.3057</v>
      </c>
      <c r="I506">
        <v>306.96449999999999</v>
      </c>
      <c r="J506">
        <v>340.61610000000002</v>
      </c>
    </row>
    <row r="507" spans="1:10" x14ac:dyDescent="0.4">
      <c r="A507">
        <v>2</v>
      </c>
      <c r="B507">
        <v>37.309399999999997</v>
      </c>
      <c r="C507">
        <v>41.9422</v>
      </c>
      <c r="D507">
        <v>45.968600000000002</v>
      </c>
      <c r="E507">
        <v>61.0242</v>
      </c>
      <c r="F507">
        <v>98.795599999999993</v>
      </c>
      <c r="G507">
        <v>139.97470000000001</v>
      </c>
      <c r="H507">
        <v>167.89340000000001</v>
      </c>
      <c r="I507">
        <v>182.91229999999999</v>
      </c>
      <c r="J507">
        <v>207.01339999999999</v>
      </c>
    </row>
    <row r="508" spans="1:10" x14ac:dyDescent="0.4">
      <c r="A508">
        <v>3</v>
      </c>
      <c r="B508">
        <v>11.5701</v>
      </c>
      <c r="C508">
        <v>19.340399999999999</v>
      </c>
      <c r="D508">
        <v>22.597200000000001</v>
      </c>
      <c r="E508">
        <v>30.8843</v>
      </c>
      <c r="F508">
        <v>51.152799999999999</v>
      </c>
      <c r="G508">
        <v>74.616600000000005</v>
      </c>
      <c r="H508">
        <v>93.940600000000003</v>
      </c>
      <c r="I508">
        <v>103.22150000000001</v>
      </c>
      <c r="J508">
        <v>122.36069999999999</v>
      </c>
    </row>
    <row r="509" spans="1:10" x14ac:dyDescent="0.4">
      <c r="A509">
        <v>4</v>
      </c>
      <c r="B509">
        <v>1.5535000000000001</v>
      </c>
      <c r="C509">
        <v>6.0537999999999998</v>
      </c>
      <c r="D509">
        <v>8.5417000000000005</v>
      </c>
      <c r="E509">
        <v>13.3817</v>
      </c>
      <c r="F509">
        <v>23.453299999999999</v>
      </c>
      <c r="G509">
        <v>36.523699999999998</v>
      </c>
      <c r="H509">
        <v>49.365000000000002</v>
      </c>
      <c r="I509">
        <v>55.759799999999998</v>
      </c>
      <c r="J509">
        <v>69.602000000000004</v>
      </c>
    </row>
    <row r="510" spans="1:10" x14ac:dyDescent="0.4">
      <c r="A510">
        <v>5</v>
      </c>
      <c r="B510">
        <v>0.15509999999999999</v>
      </c>
      <c r="C510">
        <v>1.4968999999999999</v>
      </c>
      <c r="D510">
        <v>2.7294</v>
      </c>
      <c r="E510">
        <v>5.3921000000000001</v>
      </c>
      <c r="F510">
        <v>10.282999999999999</v>
      </c>
      <c r="G510">
        <v>17.673500000000001</v>
      </c>
      <c r="H510">
        <v>25.199300000000001</v>
      </c>
      <c r="I510">
        <v>29.475100000000001</v>
      </c>
      <c r="J510">
        <v>38.925699999999999</v>
      </c>
    </row>
    <row r="511" spans="1:10" x14ac:dyDescent="0.4">
      <c r="A511">
        <v>6</v>
      </c>
      <c r="B511">
        <v>1.09E-2</v>
      </c>
      <c r="C511">
        <v>0.31869999999999998</v>
      </c>
      <c r="D511">
        <v>0.76380000000000003</v>
      </c>
      <c r="E511">
        <v>1.9846999999999999</v>
      </c>
      <c r="F511">
        <v>4.282</v>
      </c>
      <c r="G511">
        <v>8.0878999999999994</v>
      </c>
      <c r="H511">
        <v>12.2584</v>
      </c>
      <c r="I511">
        <v>14.881500000000001</v>
      </c>
      <c r="J511">
        <v>20.946000000000002</v>
      </c>
    </row>
    <row r="512" spans="1:10" x14ac:dyDescent="0.4">
      <c r="A512">
        <v>7</v>
      </c>
      <c r="B512">
        <v>1E-3</v>
      </c>
      <c r="C512">
        <v>6.1499999999999999E-2</v>
      </c>
      <c r="D512">
        <v>0.1913</v>
      </c>
      <c r="E512">
        <v>0.66290000000000004</v>
      </c>
      <c r="F512">
        <v>1.6868000000000001</v>
      </c>
      <c r="G512">
        <v>3.5085999999999999</v>
      </c>
      <c r="H512">
        <v>5.6853999999999996</v>
      </c>
      <c r="I512">
        <v>7.2542</v>
      </c>
      <c r="J512">
        <v>10.9214</v>
      </c>
    </row>
    <row r="513" spans="1:10" x14ac:dyDescent="0.4">
      <c r="A513">
        <v>8</v>
      </c>
      <c r="B513">
        <v>1E-4</v>
      </c>
      <c r="C513">
        <v>1.3299999999999999E-2</v>
      </c>
      <c r="D513">
        <v>5.1499999999999997E-2</v>
      </c>
      <c r="E513">
        <v>0.2271</v>
      </c>
      <c r="F513">
        <v>0.66869999999999996</v>
      </c>
      <c r="G513">
        <v>1.5135000000000001</v>
      </c>
      <c r="H513">
        <v>2.6315</v>
      </c>
      <c r="I513">
        <v>3.4510999999999998</v>
      </c>
      <c r="J513">
        <v>5.5077999999999996</v>
      </c>
    </row>
    <row r="514" spans="1:10" x14ac:dyDescent="0.4">
      <c r="A514">
        <v>9</v>
      </c>
      <c r="B514">
        <v>0</v>
      </c>
      <c r="C514">
        <v>4.4000000000000003E-3</v>
      </c>
      <c r="D514">
        <v>1.9E-2</v>
      </c>
      <c r="E514">
        <v>9.4899999999999998E-2</v>
      </c>
      <c r="F514">
        <v>0.3</v>
      </c>
      <c r="G514">
        <v>0.72019999999999995</v>
      </c>
      <c r="H514">
        <v>1.3202</v>
      </c>
      <c r="I514">
        <v>1.7723</v>
      </c>
      <c r="J514">
        <v>2.8733</v>
      </c>
    </row>
    <row r="515" spans="1:10" x14ac:dyDescent="0.4">
      <c r="A515">
        <v>10</v>
      </c>
      <c r="B515">
        <v>0</v>
      </c>
      <c r="C515">
        <v>2E-3</v>
      </c>
      <c r="D515">
        <v>8.9999999999999993E-3</v>
      </c>
      <c r="E515">
        <v>4.7E-2</v>
      </c>
      <c r="F515">
        <v>0.15540000000000001</v>
      </c>
      <c r="G515">
        <v>0.38100000000000001</v>
      </c>
      <c r="H515">
        <v>0.71750000000000003</v>
      </c>
      <c r="I515">
        <v>0.97440000000000004</v>
      </c>
      <c r="J515">
        <v>1.6194</v>
      </c>
    </row>
    <row r="516" spans="1:10" x14ac:dyDescent="0.4">
      <c r="A516">
        <v>11</v>
      </c>
      <c r="B516">
        <v>0</v>
      </c>
      <c r="C516">
        <v>2E-3</v>
      </c>
      <c r="D516">
        <v>9.1999999999999998E-3</v>
      </c>
      <c r="E516">
        <v>4.7500000000000001E-2</v>
      </c>
      <c r="F516">
        <v>0.1474</v>
      </c>
      <c r="G516">
        <v>0.32790000000000002</v>
      </c>
      <c r="H516">
        <v>0.57799999999999996</v>
      </c>
      <c r="I516">
        <v>0.77759999999999996</v>
      </c>
      <c r="J516">
        <v>1.2536</v>
      </c>
    </row>
    <row r="517" spans="1:10" x14ac:dyDescent="0.4">
      <c r="A517">
        <v>12</v>
      </c>
      <c r="B517">
        <v>0</v>
      </c>
      <c r="C517">
        <v>8.0000000000000004E-4</v>
      </c>
      <c r="D517">
        <v>3.3999999999999998E-3</v>
      </c>
      <c r="E517">
        <v>1.6799999999999999E-2</v>
      </c>
      <c r="F517">
        <v>5.0200000000000002E-2</v>
      </c>
      <c r="G517">
        <v>0.106</v>
      </c>
      <c r="H517">
        <v>0.1769</v>
      </c>
      <c r="I517">
        <v>0.23080000000000001</v>
      </c>
      <c r="J517">
        <v>0.35699999999999998</v>
      </c>
    </row>
    <row r="518" spans="1:10" x14ac:dyDescent="0.4">
      <c r="A518">
        <v>13</v>
      </c>
      <c r="B518">
        <v>0</v>
      </c>
      <c r="C518">
        <v>5.0000000000000001E-4</v>
      </c>
      <c r="D518">
        <v>1.9E-3</v>
      </c>
      <c r="E518">
        <v>8.8000000000000005E-3</v>
      </c>
      <c r="F518">
        <v>2.5499999999999998E-2</v>
      </c>
      <c r="G518">
        <v>5.3100000000000001E-2</v>
      </c>
      <c r="H518">
        <v>8.8499999999999995E-2</v>
      </c>
      <c r="I518">
        <v>0.11600000000000001</v>
      </c>
      <c r="J518">
        <v>0.1842</v>
      </c>
    </row>
    <row r="519" spans="1:10" x14ac:dyDescent="0.4">
      <c r="A519">
        <v>14</v>
      </c>
      <c r="B519">
        <v>0</v>
      </c>
      <c r="C519">
        <v>1E-4</v>
      </c>
      <c r="D519">
        <v>4.0000000000000002E-4</v>
      </c>
      <c r="E519">
        <v>1.6000000000000001E-3</v>
      </c>
      <c r="F519">
        <v>4.4999999999999997E-3</v>
      </c>
      <c r="G519">
        <v>9.4000000000000004E-3</v>
      </c>
      <c r="H519">
        <v>1.61E-2</v>
      </c>
      <c r="I519">
        <v>2.1700000000000001E-2</v>
      </c>
      <c r="J519">
        <v>3.7900000000000003E-2</v>
      </c>
    </row>
    <row r="520" spans="1:10" x14ac:dyDescent="0.4">
      <c r="A520" t="s">
        <v>29</v>
      </c>
      <c r="B520">
        <v>0</v>
      </c>
      <c r="C520">
        <v>0</v>
      </c>
      <c r="D520">
        <v>2.0000000000000001E-4</v>
      </c>
      <c r="E520">
        <v>6.9999999999999999E-4</v>
      </c>
      <c r="F520">
        <v>2E-3</v>
      </c>
      <c r="G520">
        <v>4.3E-3</v>
      </c>
      <c r="H520">
        <v>7.7000000000000002E-3</v>
      </c>
      <c r="I520">
        <v>1.12E-2</v>
      </c>
      <c r="J520">
        <v>2.93E-2</v>
      </c>
    </row>
    <row r="522" spans="1:10" x14ac:dyDescent="0.4">
      <c r="A522">
        <v>2032</v>
      </c>
    </row>
    <row r="524" spans="1:10" x14ac:dyDescent="0.4">
      <c r="A524" t="s">
        <v>0</v>
      </c>
      <c r="B524" s="2">
        <v>0.01</v>
      </c>
      <c r="C524" s="2">
        <v>0.05</v>
      </c>
      <c r="D524" s="2">
        <v>0.1</v>
      </c>
      <c r="E524" s="2">
        <v>0.25</v>
      </c>
      <c r="F524" s="2">
        <v>0.5</v>
      </c>
      <c r="G524" s="2">
        <v>0.75</v>
      </c>
      <c r="H524" s="2">
        <v>0.9</v>
      </c>
      <c r="I524" s="2">
        <v>0.95</v>
      </c>
      <c r="J524" s="2">
        <v>0.99</v>
      </c>
    </row>
    <row r="525" spans="1:10" x14ac:dyDescent="0.4">
      <c r="A525">
        <v>1</v>
      </c>
      <c r="B525">
        <v>68.64</v>
      </c>
      <c r="C525">
        <v>70.543800000000005</v>
      </c>
      <c r="D525">
        <v>79.111599999999996</v>
      </c>
      <c r="E525">
        <v>105.2379</v>
      </c>
      <c r="F525">
        <v>168.6345</v>
      </c>
      <c r="G525">
        <v>236.9599</v>
      </c>
      <c r="H525">
        <v>280.34449999999998</v>
      </c>
      <c r="I525">
        <v>307.16120000000001</v>
      </c>
      <c r="J525">
        <v>330.17509999999999</v>
      </c>
    </row>
    <row r="526" spans="1:10" x14ac:dyDescent="0.4">
      <c r="A526">
        <v>2</v>
      </c>
      <c r="B526">
        <v>37.449399999999997</v>
      </c>
      <c r="C526">
        <v>41.933199999999999</v>
      </c>
      <c r="D526">
        <v>45.932299999999998</v>
      </c>
      <c r="E526">
        <v>60.993600000000001</v>
      </c>
      <c r="F526">
        <v>99.036900000000003</v>
      </c>
      <c r="G526">
        <v>140.29839999999999</v>
      </c>
      <c r="H526">
        <v>168.1875</v>
      </c>
      <c r="I526">
        <v>182.84180000000001</v>
      </c>
      <c r="J526">
        <v>210.25720000000001</v>
      </c>
    </row>
    <row r="527" spans="1:10" x14ac:dyDescent="0.4">
      <c r="A527">
        <v>3</v>
      </c>
      <c r="B527">
        <v>11.996700000000001</v>
      </c>
      <c r="C527">
        <v>19.5837</v>
      </c>
      <c r="D527">
        <v>22.788699999999999</v>
      </c>
      <c r="E527">
        <v>30.9633</v>
      </c>
      <c r="F527">
        <v>51.460700000000003</v>
      </c>
      <c r="G527">
        <v>74.939099999999996</v>
      </c>
      <c r="H527">
        <v>94.121499999999997</v>
      </c>
      <c r="I527">
        <v>103.57899999999999</v>
      </c>
      <c r="J527">
        <v>122.2428</v>
      </c>
    </row>
    <row r="528" spans="1:10" x14ac:dyDescent="0.4">
      <c r="A528">
        <v>4</v>
      </c>
      <c r="B528">
        <v>1.72</v>
      </c>
      <c r="C528">
        <v>6.3136000000000001</v>
      </c>
      <c r="D528">
        <v>8.8131000000000004</v>
      </c>
      <c r="E528">
        <v>13.630100000000001</v>
      </c>
      <c r="F528">
        <v>23.8109</v>
      </c>
      <c r="G528">
        <v>37.011600000000001</v>
      </c>
      <c r="H528">
        <v>49.653599999999997</v>
      </c>
      <c r="I528">
        <v>56.039000000000001</v>
      </c>
      <c r="J528">
        <v>69.577500000000001</v>
      </c>
    </row>
    <row r="529" spans="1:10" x14ac:dyDescent="0.4">
      <c r="A529">
        <v>5</v>
      </c>
      <c r="B529">
        <v>0.17219999999999999</v>
      </c>
      <c r="C529">
        <v>1.6389</v>
      </c>
      <c r="D529">
        <v>2.9049999999999998</v>
      </c>
      <c r="E529">
        <v>5.5812999999999997</v>
      </c>
      <c r="F529">
        <v>10.497400000000001</v>
      </c>
      <c r="G529">
        <v>17.820699999999999</v>
      </c>
      <c r="H529">
        <v>25.439800000000002</v>
      </c>
      <c r="I529">
        <v>29.7302</v>
      </c>
      <c r="J529">
        <v>38.925400000000003</v>
      </c>
    </row>
    <row r="530" spans="1:10" x14ac:dyDescent="0.4">
      <c r="A530">
        <v>6</v>
      </c>
      <c r="B530">
        <v>1.46E-2</v>
      </c>
      <c r="C530">
        <v>0.38419999999999999</v>
      </c>
      <c r="D530">
        <v>0.87360000000000004</v>
      </c>
      <c r="E530">
        <v>2.1663999999999999</v>
      </c>
      <c r="F530">
        <v>4.5628000000000002</v>
      </c>
      <c r="G530">
        <v>8.4701000000000004</v>
      </c>
      <c r="H530">
        <v>12.775600000000001</v>
      </c>
      <c r="I530">
        <v>15.4193</v>
      </c>
      <c r="J530">
        <v>21.555599999999998</v>
      </c>
    </row>
    <row r="531" spans="1:10" x14ac:dyDescent="0.4">
      <c r="A531">
        <v>7</v>
      </c>
      <c r="B531">
        <v>1.1000000000000001E-3</v>
      </c>
      <c r="C531">
        <v>8.2900000000000001E-2</v>
      </c>
      <c r="D531">
        <v>0.24640000000000001</v>
      </c>
      <c r="E531">
        <v>0.78969999999999996</v>
      </c>
      <c r="F531">
        <v>1.9202999999999999</v>
      </c>
      <c r="G531">
        <v>3.8879999999999999</v>
      </c>
      <c r="H531">
        <v>6.2281000000000004</v>
      </c>
      <c r="I531">
        <v>7.8059000000000003</v>
      </c>
      <c r="J531">
        <v>11.539400000000001</v>
      </c>
    </row>
    <row r="532" spans="1:10" x14ac:dyDescent="0.4">
      <c r="A532">
        <v>8</v>
      </c>
      <c r="B532">
        <v>2.0000000000000001E-4</v>
      </c>
      <c r="C532">
        <v>1.6400000000000001E-2</v>
      </c>
      <c r="D532">
        <v>6.2899999999999998E-2</v>
      </c>
      <c r="E532">
        <v>0.26619999999999999</v>
      </c>
      <c r="F532">
        <v>0.76249999999999996</v>
      </c>
      <c r="G532">
        <v>1.7047000000000001</v>
      </c>
      <c r="H532">
        <v>2.9119999999999999</v>
      </c>
      <c r="I532">
        <v>3.8092999999999999</v>
      </c>
      <c r="J532">
        <v>6.0305</v>
      </c>
    </row>
    <row r="533" spans="1:10" x14ac:dyDescent="0.4">
      <c r="A533">
        <v>9</v>
      </c>
      <c r="B533">
        <v>0</v>
      </c>
      <c r="C533">
        <v>3.7000000000000002E-3</v>
      </c>
      <c r="D533">
        <v>1.7399999999999999E-2</v>
      </c>
      <c r="E533">
        <v>9.3399999999999997E-2</v>
      </c>
      <c r="F533">
        <v>0.30730000000000002</v>
      </c>
      <c r="G533">
        <v>0.74350000000000005</v>
      </c>
      <c r="H533">
        <v>1.3580000000000001</v>
      </c>
      <c r="I533">
        <v>1.8292999999999999</v>
      </c>
      <c r="J533">
        <v>3.024</v>
      </c>
    </row>
    <row r="534" spans="1:10" x14ac:dyDescent="0.4">
      <c r="A534">
        <v>10</v>
      </c>
      <c r="B534">
        <v>0</v>
      </c>
      <c r="C534">
        <v>1.2999999999999999E-3</v>
      </c>
      <c r="D534">
        <v>6.6E-3</v>
      </c>
      <c r="E534">
        <v>3.9300000000000002E-2</v>
      </c>
      <c r="F534">
        <v>0.14000000000000001</v>
      </c>
      <c r="G534">
        <v>0.3584</v>
      </c>
      <c r="H534">
        <v>0.6865</v>
      </c>
      <c r="I534">
        <v>0.94240000000000002</v>
      </c>
      <c r="J534">
        <v>1.5925</v>
      </c>
    </row>
    <row r="535" spans="1:10" x14ac:dyDescent="0.4">
      <c r="A535">
        <v>11</v>
      </c>
      <c r="B535">
        <v>0</v>
      </c>
      <c r="C535">
        <v>6.9999999999999999E-4</v>
      </c>
      <c r="D535">
        <v>3.2000000000000002E-3</v>
      </c>
      <c r="E535">
        <v>0.02</v>
      </c>
      <c r="F535">
        <v>7.3099999999999998E-2</v>
      </c>
      <c r="G535">
        <v>0.19189999999999999</v>
      </c>
      <c r="H535">
        <v>0.37690000000000001</v>
      </c>
      <c r="I535">
        <v>0.52380000000000004</v>
      </c>
      <c r="J535">
        <v>0.90969999999999995</v>
      </c>
    </row>
    <row r="536" spans="1:10" x14ac:dyDescent="0.4">
      <c r="A536">
        <v>12</v>
      </c>
      <c r="B536">
        <v>0</v>
      </c>
      <c r="C536">
        <v>6.9999999999999999E-4</v>
      </c>
      <c r="D536">
        <v>3.3E-3</v>
      </c>
      <c r="E536">
        <v>2.0199999999999999E-2</v>
      </c>
      <c r="F536">
        <v>7.0300000000000001E-2</v>
      </c>
      <c r="G536">
        <v>0.16789999999999999</v>
      </c>
      <c r="H536">
        <v>0.30759999999999998</v>
      </c>
      <c r="I536">
        <v>0.42230000000000001</v>
      </c>
      <c r="J536">
        <v>0.70379999999999998</v>
      </c>
    </row>
    <row r="537" spans="1:10" x14ac:dyDescent="0.4">
      <c r="A537">
        <v>13</v>
      </c>
      <c r="B537">
        <v>0</v>
      </c>
      <c r="C537">
        <v>2.9999999999999997E-4</v>
      </c>
      <c r="D537">
        <v>1.1999999999999999E-3</v>
      </c>
      <c r="E537">
        <v>7.3000000000000001E-3</v>
      </c>
      <c r="F537">
        <v>2.4E-2</v>
      </c>
      <c r="G537">
        <v>5.45E-2</v>
      </c>
      <c r="H537">
        <v>9.5299999999999996E-2</v>
      </c>
      <c r="I537">
        <v>0.12640000000000001</v>
      </c>
      <c r="J537">
        <v>0.20080000000000001</v>
      </c>
    </row>
    <row r="538" spans="1:10" x14ac:dyDescent="0.4">
      <c r="A538">
        <v>14</v>
      </c>
      <c r="B538">
        <v>0</v>
      </c>
      <c r="C538">
        <v>2.0000000000000001E-4</v>
      </c>
      <c r="D538">
        <v>6.9999999999999999E-4</v>
      </c>
      <c r="E538">
        <v>3.8E-3</v>
      </c>
      <c r="F538">
        <v>1.23E-2</v>
      </c>
      <c r="G538">
        <v>2.7400000000000001E-2</v>
      </c>
      <c r="H538">
        <v>4.7600000000000003E-2</v>
      </c>
      <c r="I538">
        <v>6.3500000000000001E-2</v>
      </c>
      <c r="J538">
        <v>0.1038</v>
      </c>
    </row>
    <row r="539" spans="1:10" x14ac:dyDescent="0.4">
      <c r="A539" t="s">
        <v>29</v>
      </c>
      <c r="B539">
        <v>0</v>
      </c>
      <c r="C539">
        <v>0</v>
      </c>
      <c r="D539">
        <v>2.0000000000000001E-4</v>
      </c>
      <c r="E539">
        <v>1E-3</v>
      </c>
      <c r="F539">
        <v>3.2000000000000002E-3</v>
      </c>
      <c r="G539">
        <v>7.1999999999999998E-3</v>
      </c>
      <c r="H539">
        <v>1.2800000000000001E-2</v>
      </c>
      <c r="I539">
        <v>1.7899999999999999E-2</v>
      </c>
      <c r="J539">
        <v>3.56E-2</v>
      </c>
    </row>
    <row r="541" spans="1:10" x14ac:dyDescent="0.4">
      <c r="A541">
        <v>2033</v>
      </c>
    </row>
    <row r="543" spans="1:10" x14ac:dyDescent="0.4">
      <c r="A543" t="s">
        <v>0</v>
      </c>
      <c r="B543" s="2">
        <v>0.01</v>
      </c>
      <c r="C543" s="2">
        <v>0.05</v>
      </c>
      <c r="D543" s="2">
        <v>0.1</v>
      </c>
      <c r="E543" s="2">
        <v>0.25</v>
      </c>
      <c r="F543" s="2">
        <v>0.5</v>
      </c>
      <c r="G543" s="2">
        <v>0.75</v>
      </c>
      <c r="H543" s="2">
        <v>0.9</v>
      </c>
      <c r="I543" s="2">
        <v>0.95</v>
      </c>
      <c r="J543" s="2">
        <v>0.99</v>
      </c>
    </row>
    <row r="544" spans="1:10" x14ac:dyDescent="0.4">
      <c r="A544">
        <v>1</v>
      </c>
      <c r="B544">
        <v>68.649100000000004</v>
      </c>
      <c r="C544">
        <v>70.7667</v>
      </c>
      <c r="D544">
        <v>79.116200000000006</v>
      </c>
      <c r="E544">
        <v>104.8292</v>
      </c>
      <c r="F544">
        <v>168.4846</v>
      </c>
      <c r="G544">
        <v>236.8434</v>
      </c>
      <c r="H544">
        <v>278.91239999999999</v>
      </c>
      <c r="I544">
        <v>306.82</v>
      </c>
      <c r="J544">
        <v>329.6995</v>
      </c>
    </row>
    <row r="545" spans="1:10" x14ac:dyDescent="0.4">
      <c r="A545">
        <v>2</v>
      </c>
      <c r="B545">
        <v>37.524099999999997</v>
      </c>
      <c r="C545">
        <v>41.982199999999999</v>
      </c>
      <c r="D545">
        <v>46.027900000000002</v>
      </c>
      <c r="E545">
        <v>61.2346</v>
      </c>
      <c r="F545">
        <v>99.072800000000001</v>
      </c>
      <c r="G545">
        <v>140.55350000000001</v>
      </c>
      <c r="H545">
        <v>168.30619999999999</v>
      </c>
      <c r="I545">
        <v>182.77369999999999</v>
      </c>
      <c r="J545">
        <v>208.23220000000001</v>
      </c>
    </row>
    <row r="546" spans="1:10" x14ac:dyDescent="0.4">
      <c r="A546">
        <v>3</v>
      </c>
      <c r="B546">
        <v>12.3079</v>
      </c>
      <c r="C546">
        <v>19.7362</v>
      </c>
      <c r="D546">
        <v>22.884699999999999</v>
      </c>
      <c r="E546">
        <v>31.056100000000001</v>
      </c>
      <c r="F546">
        <v>51.819299999999998</v>
      </c>
      <c r="G546">
        <v>75.276399999999995</v>
      </c>
      <c r="H546">
        <v>94.419600000000003</v>
      </c>
      <c r="I546">
        <v>103.8133</v>
      </c>
      <c r="J546">
        <v>124.1617</v>
      </c>
    </row>
    <row r="547" spans="1:10" x14ac:dyDescent="0.4">
      <c r="A547">
        <v>4</v>
      </c>
      <c r="B547">
        <v>1.9280999999999999</v>
      </c>
      <c r="C547">
        <v>6.4927999999999999</v>
      </c>
      <c r="D547">
        <v>8.9680999999999997</v>
      </c>
      <c r="E547">
        <v>13.804600000000001</v>
      </c>
      <c r="F547">
        <v>24.036999999999999</v>
      </c>
      <c r="G547">
        <v>37.395600000000002</v>
      </c>
      <c r="H547">
        <v>49.922199999999997</v>
      </c>
      <c r="I547">
        <v>56.278700000000001</v>
      </c>
      <c r="J547">
        <v>69.671800000000005</v>
      </c>
    </row>
    <row r="548" spans="1:10" x14ac:dyDescent="0.4">
      <c r="A548">
        <v>5</v>
      </c>
      <c r="B548">
        <v>0.20130000000000001</v>
      </c>
      <c r="C548">
        <v>1.7542</v>
      </c>
      <c r="D548">
        <v>3.0226000000000002</v>
      </c>
      <c r="E548">
        <v>5.7485999999999997</v>
      </c>
      <c r="F548">
        <v>10.7102</v>
      </c>
      <c r="G548">
        <v>18.121099999999998</v>
      </c>
      <c r="H548">
        <v>25.618400000000001</v>
      </c>
      <c r="I548">
        <v>29.8535</v>
      </c>
      <c r="J548">
        <v>38.834899999999998</v>
      </c>
    </row>
    <row r="549" spans="1:10" x14ac:dyDescent="0.4">
      <c r="A549">
        <v>6</v>
      </c>
      <c r="B549">
        <v>1.7500000000000002E-2</v>
      </c>
      <c r="C549">
        <v>0.42649999999999999</v>
      </c>
      <c r="D549">
        <v>0.94850000000000001</v>
      </c>
      <c r="E549">
        <v>2.2639</v>
      </c>
      <c r="F549">
        <v>4.6898999999999997</v>
      </c>
      <c r="G549">
        <v>8.5900999999999996</v>
      </c>
      <c r="H549">
        <v>12.9215</v>
      </c>
      <c r="I549">
        <v>15.649100000000001</v>
      </c>
      <c r="J549">
        <v>21.518000000000001</v>
      </c>
    </row>
    <row r="550" spans="1:10" x14ac:dyDescent="0.4">
      <c r="A550">
        <v>7</v>
      </c>
      <c r="B550">
        <v>1.6000000000000001E-3</v>
      </c>
      <c r="C550">
        <v>0.1024</v>
      </c>
      <c r="D550">
        <v>0.28389999999999999</v>
      </c>
      <c r="E550">
        <v>0.87749999999999995</v>
      </c>
      <c r="F550">
        <v>2.0516000000000001</v>
      </c>
      <c r="G550">
        <v>4.0951000000000004</v>
      </c>
      <c r="H550">
        <v>6.5186000000000002</v>
      </c>
      <c r="I550">
        <v>8.1011000000000006</v>
      </c>
      <c r="J550">
        <v>11.8118</v>
      </c>
    </row>
    <row r="551" spans="1:10" x14ac:dyDescent="0.4">
      <c r="A551">
        <v>8</v>
      </c>
      <c r="B551">
        <v>2.9999999999999997E-4</v>
      </c>
      <c r="C551">
        <v>2.2499999999999999E-2</v>
      </c>
      <c r="D551">
        <v>8.1600000000000006E-2</v>
      </c>
      <c r="E551">
        <v>0.32129999999999997</v>
      </c>
      <c r="F551">
        <v>0.87490000000000001</v>
      </c>
      <c r="G551">
        <v>1.895</v>
      </c>
      <c r="H551">
        <v>3.2012</v>
      </c>
      <c r="I551">
        <v>4.1147</v>
      </c>
      <c r="J551">
        <v>6.3400999999999996</v>
      </c>
    </row>
    <row r="552" spans="1:10" x14ac:dyDescent="0.4">
      <c r="A552">
        <v>9</v>
      </c>
      <c r="B552">
        <v>0</v>
      </c>
      <c r="C552">
        <v>4.5999999999999999E-3</v>
      </c>
      <c r="D552">
        <v>2.1600000000000001E-2</v>
      </c>
      <c r="E552">
        <v>0.11</v>
      </c>
      <c r="F552">
        <v>0.35410000000000003</v>
      </c>
      <c r="G552">
        <v>0.83789999999999998</v>
      </c>
      <c r="H552">
        <v>1.5083</v>
      </c>
      <c r="I552">
        <v>2.0299</v>
      </c>
      <c r="J552">
        <v>3.3471000000000002</v>
      </c>
    </row>
    <row r="553" spans="1:10" x14ac:dyDescent="0.4">
      <c r="A553">
        <v>10</v>
      </c>
      <c r="B553">
        <v>0</v>
      </c>
      <c r="C553">
        <v>1.1000000000000001E-3</v>
      </c>
      <c r="D553">
        <v>6.1999999999999998E-3</v>
      </c>
      <c r="E553">
        <v>3.9199999999999999E-2</v>
      </c>
      <c r="F553">
        <v>0.1439</v>
      </c>
      <c r="G553">
        <v>0.371</v>
      </c>
      <c r="H553">
        <v>0.70930000000000004</v>
      </c>
      <c r="I553">
        <v>0.98089999999999999</v>
      </c>
      <c r="J553">
        <v>1.6825000000000001</v>
      </c>
    </row>
    <row r="554" spans="1:10" x14ac:dyDescent="0.4">
      <c r="A554">
        <v>11</v>
      </c>
      <c r="B554">
        <v>0</v>
      </c>
      <c r="C554">
        <v>4.0000000000000002E-4</v>
      </c>
      <c r="D554">
        <v>2.3999999999999998E-3</v>
      </c>
      <c r="E554">
        <v>1.6899999999999998E-2</v>
      </c>
      <c r="F554">
        <v>6.6299999999999998E-2</v>
      </c>
      <c r="G554">
        <v>0.1812</v>
      </c>
      <c r="H554">
        <v>0.36120000000000002</v>
      </c>
      <c r="I554">
        <v>0.50739999999999996</v>
      </c>
      <c r="J554">
        <v>0.89239999999999997</v>
      </c>
    </row>
    <row r="555" spans="1:10" x14ac:dyDescent="0.4">
      <c r="A555">
        <v>12</v>
      </c>
      <c r="B555">
        <v>0</v>
      </c>
      <c r="C555">
        <v>2.0000000000000001E-4</v>
      </c>
      <c r="D555">
        <v>1.1999999999999999E-3</v>
      </c>
      <c r="E555">
        <v>8.6999999999999994E-3</v>
      </c>
      <c r="F555">
        <v>3.5000000000000003E-2</v>
      </c>
      <c r="G555">
        <v>9.7500000000000003E-2</v>
      </c>
      <c r="H555">
        <v>0.19939999999999999</v>
      </c>
      <c r="I555">
        <v>0.28320000000000001</v>
      </c>
      <c r="J555">
        <v>0.50560000000000005</v>
      </c>
    </row>
    <row r="556" spans="1:10" x14ac:dyDescent="0.4">
      <c r="A556">
        <v>13</v>
      </c>
      <c r="B556">
        <v>0</v>
      </c>
      <c r="C556">
        <v>2.0000000000000001E-4</v>
      </c>
      <c r="D556">
        <v>1.1999999999999999E-3</v>
      </c>
      <c r="E556">
        <v>8.8000000000000005E-3</v>
      </c>
      <c r="F556">
        <v>3.39E-2</v>
      </c>
      <c r="G556">
        <v>8.6300000000000002E-2</v>
      </c>
      <c r="H556">
        <v>0.1643</v>
      </c>
      <c r="I556">
        <v>0.2303</v>
      </c>
      <c r="J556">
        <v>0.39789999999999998</v>
      </c>
    </row>
    <row r="557" spans="1:10" x14ac:dyDescent="0.4">
      <c r="A557">
        <v>14</v>
      </c>
      <c r="B557">
        <v>0</v>
      </c>
      <c r="C557">
        <v>1E-4</v>
      </c>
      <c r="D557">
        <v>5.0000000000000001E-4</v>
      </c>
      <c r="E557">
        <v>3.2000000000000002E-3</v>
      </c>
      <c r="F557">
        <v>1.1599999999999999E-2</v>
      </c>
      <c r="G557">
        <v>2.8199999999999999E-2</v>
      </c>
      <c r="H557">
        <v>5.1400000000000001E-2</v>
      </c>
      <c r="I557">
        <v>6.9400000000000003E-2</v>
      </c>
      <c r="J557">
        <v>0.114</v>
      </c>
    </row>
    <row r="558" spans="1:10" x14ac:dyDescent="0.4">
      <c r="A558" t="s">
        <v>29</v>
      </c>
      <c r="B558">
        <v>0</v>
      </c>
      <c r="C558">
        <v>1E-4</v>
      </c>
      <c r="D558">
        <v>4.0000000000000002E-4</v>
      </c>
      <c r="E558">
        <v>2.2000000000000001E-3</v>
      </c>
      <c r="F558">
        <v>7.6E-3</v>
      </c>
      <c r="G558">
        <v>1.7999999999999999E-2</v>
      </c>
      <c r="H558">
        <v>3.27E-2</v>
      </c>
      <c r="I558">
        <v>4.4900000000000002E-2</v>
      </c>
      <c r="J558">
        <v>7.7100000000000002E-2</v>
      </c>
    </row>
    <row r="560" spans="1:10" x14ac:dyDescent="0.4">
      <c r="A560">
        <v>2034</v>
      </c>
    </row>
    <row r="562" spans="1:10" x14ac:dyDescent="0.4">
      <c r="A562" t="s">
        <v>0</v>
      </c>
      <c r="B562" s="2">
        <v>0.01</v>
      </c>
      <c r="C562" s="2">
        <v>0.05</v>
      </c>
      <c r="D562" s="2">
        <v>0.1</v>
      </c>
      <c r="E562" s="2">
        <v>0.25</v>
      </c>
      <c r="F562" s="2">
        <v>0.5</v>
      </c>
      <c r="G562" s="2">
        <v>0.75</v>
      </c>
      <c r="H562" s="2">
        <v>0.9</v>
      </c>
      <c r="I562" s="2">
        <v>0.95</v>
      </c>
      <c r="J562" s="2">
        <v>0.99</v>
      </c>
    </row>
    <row r="563" spans="1:10" x14ac:dyDescent="0.4">
      <c r="A563">
        <v>1</v>
      </c>
      <c r="B563">
        <v>68.645300000000006</v>
      </c>
      <c r="C563">
        <v>70.684899999999999</v>
      </c>
      <c r="D563">
        <v>78.945499999999996</v>
      </c>
      <c r="E563">
        <v>104.783</v>
      </c>
      <c r="F563">
        <v>168.53219999999999</v>
      </c>
      <c r="G563">
        <v>236.87110000000001</v>
      </c>
      <c r="H563">
        <v>280.63479999999998</v>
      </c>
      <c r="I563">
        <v>307.65570000000002</v>
      </c>
      <c r="J563">
        <v>340.90789999999998</v>
      </c>
    </row>
    <row r="564" spans="1:10" x14ac:dyDescent="0.4">
      <c r="A564">
        <v>2</v>
      </c>
      <c r="B564">
        <v>37.552300000000002</v>
      </c>
      <c r="C564">
        <v>42.018700000000003</v>
      </c>
      <c r="D564">
        <v>46.000900000000001</v>
      </c>
      <c r="E564">
        <v>61.064900000000002</v>
      </c>
      <c r="F564">
        <v>98.862200000000001</v>
      </c>
      <c r="G564">
        <v>140.19290000000001</v>
      </c>
      <c r="H564">
        <v>167.97620000000001</v>
      </c>
      <c r="I564">
        <v>182.8176</v>
      </c>
      <c r="J564">
        <v>208.99520000000001</v>
      </c>
    </row>
    <row r="565" spans="1:10" x14ac:dyDescent="0.4">
      <c r="A565">
        <v>3</v>
      </c>
      <c r="B565">
        <v>12.625400000000001</v>
      </c>
      <c r="C565">
        <v>19.907699999999998</v>
      </c>
      <c r="D565">
        <v>23.026299999999999</v>
      </c>
      <c r="E565">
        <v>31.247599999999998</v>
      </c>
      <c r="F565">
        <v>51.950899999999997</v>
      </c>
      <c r="G565">
        <v>75.676400000000001</v>
      </c>
      <c r="H565">
        <v>94.625699999999995</v>
      </c>
      <c r="I565">
        <v>103.83110000000001</v>
      </c>
      <c r="J565">
        <v>123.4997</v>
      </c>
    </row>
    <row r="566" spans="1:10" x14ac:dyDescent="0.4">
      <c r="A566">
        <v>4</v>
      </c>
      <c r="B566">
        <v>1.9999</v>
      </c>
      <c r="C566">
        <v>6.6447000000000003</v>
      </c>
      <c r="D566">
        <v>9.1251999999999995</v>
      </c>
      <c r="E566">
        <v>13.836600000000001</v>
      </c>
      <c r="F566">
        <v>24.3035</v>
      </c>
      <c r="G566">
        <v>37.597200000000001</v>
      </c>
      <c r="H566">
        <v>50.139899999999997</v>
      </c>
      <c r="I566">
        <v>56.528500000000001</v>
      </c>
      <c r="J566">
        <v>70.566299999999998</v>
      </c>
    </row>
    <row r="567" spans="1:10" x14ac:dyDescent="0.4">
      <c r="A567">
        <v>5</v>
      </c>
      <c r="B567">
        <v>0.22570000000000001</v>
      </c>
      <c r="C567">
        <v>1.8391999999999999</v>
      </c>
      <c r="D567">
        <v>3.1355</v>
      </c>
      <c r="E567">
        <v>5.8407999999999998</v>
      </c>
      <c r="F567">
        <v>10.865</v>
      </c>
      <c r="G567">
        <v>18.317900000000002</v>
      </c>
      <c r="H567">
        <v>25.782</v>
      </c>
      <c r="I567">
        <v>30.0945</v>
      </c>
      <c r="J567">
        <v>39.020499999999998</v>
      </c>
    </row>
    <row r="568" spans="1:10" x14ac:dyDescent="0.4">
      <c r="A568">
        <v>6</v>
      </c>
      <c r="B568">
        <v>2.2100000000000002E-2</v>
      </c>
      <c r="C568">
        <v>0.46820000000000001</v>
      </c>
      <c r="D568">
        <v>0.99890000000000001</v>
      </c>
      <c r="E568">
        <v>2.3549000000000002</v>
      </c>
      <c r="F568">
        <v>4.8037999999999998</v>
      </c>
      <c r="G568">
        <v>8.7576000000000001</v>
      </c>
      <c r="H568">
        <v>13.048400000000001</v>
      </c>
      <c r="I568">
        <v>15.7302</v>
      </c>
      <c r="J568">
        <v>21.503900000000002</v>
      </c>
    </row>
    <row r="569" spans="1:10" x14ac:dyDescent="0.4">
      <c r="A569">
        <v>7</v>
      </c>
      <c r="B569">
        <v>2.0999999999999999E-3</v>
      </c>
      <c r="C569">
        <v>0.11360000000000001</v>
      </c>
      <c r="D569">
        <v>0.3135</v>
      </c>
      <c r="E569">
        <v>0.92249999999999999</v>
      </c>
      <c r="F569">
        <v>2.1168999999999998</v>
      </c>
      <c r="G569">
        <v>4.1748000000000003</v>
      </c>
      <c r="H569">
        <v>6.5933999999999999</v>
      </c>
      <c r="I569">
        <v>8.2332000000000001</v>
      </c>
      <c r="J569">
        <v>11.8767</v>
      </c>
    </row>
    <row r="570" spans="1:10" x14ac:dyDescent="0.4">
      <c r="A570">
        <v>8</v>
      </c>
      <c r="B570">
        <v>4.0000000000000002E-4</v>
      </c>
      <c r="C570">
        <v>2.8400000000000002E-2</v>
      </c>
      <c r="D570">
        <v>9.6199999999999994E-2</v>
      </c>
      <c r="E570">
        <v>0.36220000000000002</v>
      </c>
      <c r="F570">
        <v>0.94069999999999998</v>
      </c>
      <c r="G570">
        <v>2.0009000000000001</v>
      </c>
      <c r="H570">
        <v>3.3530000000000002</v>
      </c>
      <c r="I570">
        <v>4.2854999999999999</v>
      </c>
      <c r="J570">
        <v>6.5410000000000004</v>
      </c>
    </row>
    <row r="571" spans="1:10" x14ac:dyDescent="0.4">
      <c r="A571">
        <v>9</v>
      </c>
      <c r="B571">
        <v>0</v>
      </c>
      <c r="C571">
        <v>6.4999999999999997E-3</v>
      </c>
      <c r="D571">
        <v>2.8199999999999999E-2</v>
      </c>
      <c r="E571">
        <v>0.13400000000000001</v>
      </c>
      <c r="F571">
        <v>0.40670000000000001</v>
      </c>
      <c r="G571">
        <v>0.94079999999999997</v>
      </c>
      <c r="H571">
        <v>1.6581999999999999</v>
      </c>
      <c r="I571">
        <v>2.1960999999999999</v>
      </c>
      <c r="J571">
        <v>3.5286</v>
      </c>
    </row>
    <row r="572" spans="1:10" x14ac:dyDescent="0.4">
      <c r="A572">
        <v>10</v>
      </c>
      <c r="B572">
        <v>0</v>
      </c>
      <c r="C572">
        <v>1.4E-3</v>
      </c>
      <c r="D572">
        <v>7.7000000000000002E-3</v>
      </c>
      <c r="E572">
        <v>4.6699999999999998E-2</v>
      </c>
      <c r="F572">
        <v>0.16719999999999999</v>
      </c>
      <c r="G572">
        <v>0.41920000000000002</v>
      </c>
      <c r="H572">
        <v>0.79190000000000005</v>
      </c>
      <c r="I572">
        <v>1.0887</v>
      </c>
      <c r="J572">
        <v>1.8605</v>
      </c>
    </row>
    <row r="573" spans="1:10" x14ac:dyDescent="0.4">
      <c r="A573">
        <v>11</v>
      </c>
      <c r="B573">
        <v>0</v>
      </c>
      <c r="C573">
        <v>4.0000000000000002E-4</v>
      </c>
      <c r="D573">
        <v>2.3E-3</v>
      </c>
      <c r="E573">
        <v>1.6899999999999998E-2</v>
      </c>
      <c r="F573">
        <v>6.88E-2</v>
      </c>
      <c r="G573">
        <v>0.18790000000000001</v>
      </c>
      <c r="H573">
        <v>0.37390000000000001</v>
      </c>
      <c r="I573">
        <v>0.52980000000000005</v>
      </c>
      <c r="J573">
        <v>0.94059999999999999</v>
      </c>
    </row>
    <row r="574" spans="1:10" x14ac:dyDescent="0.4">
      <c r="A574">
        <v>12</v>
      </c>
      <c r="B574">
        <v>0</v>
      </c>
      <c r="C574">
        <v>1E-4</v>
      </c>
      <c r="D574">
        <v>8.9999999999999998E-4</v>
      </c>
      <c r="E574">
        <v>7.4000000000000003E-3</v>
      </c>
      <c r="F574">
        <v>3.2000000000000001E-2</v>
      </c>
      <c r="G574">
        <v>9.2399999999999996E-2</v>
      </c>
      <c r="H574">
        <v>0.19109999999999999</v>
      </c>
      <c r="I574">
        <v>0.27439999999999998</v>
      </c>
      <c r="J574">
        <v>0.50090000000000001</v>
      </c>
    </row>
    <row r="575" spans="1:10" x14ac:dyDescent="0.4">
      <c r="A575">
        <v>13</v>
      </c>
      <c r="B575">
        <v>0</v>
      </c>
      <c r="C575">
        <v>1E-4</v>
      </c>
      <c r="D575">
        <v>5.0000000000000001E-4</v>
      </c>
      <c r="E575">
        <v>3.8E-3</v>
      </c>
      <c r="F575">
        <v>1.6899999999999998E-2</v>
      </c>
      <c r="G575">
        <v>5.0099999999999999E-2</v>
      </c>
      <c r="H575">
        <v>0.1065</v>
      </c>
      <c r="I575">
        <v>0.15409999999999999</v>
      </c>
      <c r="J575">
        <v>0.28439999999999999</v>
      </c>
    </row>
    <row r="576" spans="1:10" x14ac:dyDescent="0.4">
      <c r="A576">
        <v>14</v>
      </c>
      <c r="B576">
        <v>0</v>
      </c>
      <c r="C576">
        <v>1E-4</v>
      </c>
      <c r="D576">
        <v>5.0000000000000001E-4</v>
      </c>
      <c r="E576">
        <v>3.8999999999999998E-3</v>
      </c>
      <c r="F576">
        <v>1.6500000000000001E-2</v>
      </c>
      <c r="G576">
        <v>4.4699999999999997E-2</v>
      </c>
      <c r="H576">
        <v>8.8099999999999998E-2</v>
      </c>
      <c r="I576">
        <v>0.12559999999999999</v>
      </c>
      <c r="J576">
        <v>0.22339999999999999</v>
      </c>
    </row>
    <row r="577" spans="1:10" x14ac:dyDescent="0.4">
      <c r="A577" t="s">
        <v>29</v>
      </c>
      <c r="B577">
        <v>0</v>
      </c>
      <c r="C577">
        <v>1E-4</v>
      </c>
      <c r="D577">
        <v>2.9999999999999997E-4</v>
      </c>
      <c r="E577">
        <v>2.3999999999999998E-3</v>
      </c>
      <c r="F577">
        <v>9.4999999999999998E-3</v>
      </c>
      <c r="G577">
        <v>2.4299999999999999E-2</v>
      </c>
      <c r="H577">
        <v>4.5699999999999998E-2</v>
      </c>
      <c r="I577">
        <v>6.2899999999999998E-2</v>
      </c>
      <c r="J577">
        <v>0.10589999999999999</v>
      </c>
    </row>
    <row r="579" spans="1:10" x14ac:dyDescent="0.4">
      <c r="A579" t="s">
        <v>21</v>
      </c>
      <c r="B579" t="s">
        <v>10</v>
      </c>
      <c r="C579" t="s">
        <v>3</v>
      </c>
      <c r="D579" t="s">
        <v>6</v>
      </c>
      <c r="E579" t="s">
        <v>23</v>
      </c>
      <c r="F579" t="s">
        <v>20</v>
      </c>
      <c r="G579">
        <v>3.66</v>
      </c>
      <c r="H579" t="s">
        <v>28</v>
      </c>
      <c r="I579" t="s">
        <v>27</v>
      </c>
    </row>
    <row r="581" spans="1:10" x14ac:dyDescent="0.4">
      <c r="A581" t="s">
        <v>22</v>
      </c>
      <c r="B581" t="s">
        <v>21</v>
      </c>
    </row>
    <row r="583" spans="1:10" x14ac:dyDescent="0.4">
      <c r="A583">
        <v>2021</v>
      </c>
      <c r="B583">
        <v>5.8110000000000002E-2</v>
      </c>
    </row>
    <row r="584" spans="1:10" x14ac:dyDescent="0.4">
      <c r="A584">
        <v>2022</v>
      </c>
      <c r="B584">
        <v>0.66713999999999996</v>
      </c>
    </row>
    <row r="585" spans="1:10" x14ac:dyDescent="0.4">
      <c r="A585">
        <v>2023</v>
      </c>
      <c r="B585">
        <v>0.94130000000000003</v>
      </c>
    </row>
    <row r="586" spans="1:10" x14ac:dyDescent="0.4">
      <c r="A586">
        <v>2024</v>
      </c>
      <c r="B586">
        <v>0.91490000000000005</v>
      </c>
    </row>
    <row r="587" spans="1:10" x14ac:dyDescent="0.4">
      <c r="A587">
        <v>2025</v>
      </c>
      <c r="B587">
        <v>0.78861999999999999</v>
      </c>
    </row>
    <row r="588" spans="1:10" x14ac:dyDescent="0.4">
      <c r="A588">
        <v>2026</v>
      </c>
      <c r="B588">
        <v>0.59623000000000004</v>
      </c>
    </row>
    <row r="589" spans="1:10" x14ac:dyDescent="0.4">
      <c r="A589">
        <v>2027</v>
      </c>
      <c r="B589">
        <v>0.50592000000000004</v>
      </c>
    </row>
    <row r="590" spans="1:10" x14ac:dyDescent="0.4">
      <c r="A590">
        <v>2028</v>
      </c>
      <c r="B590">
        <v>0.51709000000000005</v>
      </c>
    </row>
    <row r="591" spans="1:10" x14ac:dyDescent="0.4">
      <c r="A591">
        <v>2029</v>
      </c>
      <c r="B591">
        <v>0.54659999999999997</v>
      </c>
    </row>
    <row r="592" spans="1:10" x14ac:dyDescent="0.4">
      <c r="A592">
        <v>2030</v>
      </c>
      <c r="B592">
        <v>0.57064000000000004</v>
      </c>
    </row>
    <row r="593" spans="1:8" x14ac:dyDescent="0.4">
      <c r="A593">
        <v>2031</v>
      </c>
      <c r="B593">
        <v>0.59136999999999995</v>
      </c>
    </row>
    <row r="594" spans="1:8" x14ac:dyDescent="0.4">
      <c r="A594">
        <v>2032</v>
      </c>
      <c r="B594">
        <v>0.60546999999999995</v>
      </c>
    </row>
    <row r="595" spans="1:8" x14ac:dyDescent="0.4">
      <c r="A595">
        <v>2033</v>
      </c>
      <c r="B595">
        <v>0.61667000000000005</v>
      </c>
    </row>
    <row r="596" spans="1:8" x14ac:dyDescent="0.4">
      <c r="A596">
        <v>2034</v>
      </c>
      <c r="B596">
        <v>0.62544</v>
      </c>
    </row>
    <row r="598" spans="1:8" x14ac:dyDescent="0.4">
      <c r="A598" t="s">
        <v>21</v>
      </c>
      <c r="B598" t="s">
        <v>20</v>
      </c>
      <c r="C598" t="s">
        <v>19</v>
      </c>
      <c r="D598" t="s">
        <v>1</v>
      </c>
      <c r="E598" t="s">
        <v>18</v>
      </c>
      <c r="F598" t="s">
        <v>17</v>
      </c>
      <c r="G598" t="s">
        <v>13</v>
      </c>
      <c r="H598">
        <v>0.98480000000000001</v>
      </c>
    </row>
    <row r="600" spans="1:8" x14ac:dyDescent="0.4">
      <c r="A600" t="s">
        <v>21</v>
      </c>
      <c r="B600" t="s">
        <v>26</v>
      </c>
      <c r="C600" t="s">
        <v>25</v>
      </c>
      <c r="D600" t="s">
        <v>24</v>
      </c>
      <c r="E600" t="s">
        <v>23</v>
      </c>
      <c r="F600" t="s">
        <v>20</v>
      </c>
      <c r="G600">
        <v>0.84130000000000005</v>
      </c>
    </row>
    <row r="602" spans="1:8" x14ac:dyDescent="0.4">
      <c r="A602" t="s">
        <v>22</v>
      </c>
      <c r="B602" t="s">
        <v>21</v>
      </c>
    </row>
    <row r="604" spans="1:8" x14ac:dyDescent="0.4">
      <c r="A604">
        <v>2021</v>
      </c>
      <c r="B604">
        <v>7.4700000000000001E-3</v>
      </c>
    </row>
    <row r="605" spans="1:8" x14ac:dyDescent="0.4">
      <c r="A605">
        <v>2022</v>
      </c>
      <c r="B605">
        <v>0</v>
      </c>
    </row>
    <row r="606" spans="1:8" x14ac:dyDescent="0.4">
      <c r="A606">
        <v>2023</v>
      </c>
      <c r="B606">
        <v>6.9999999999999994E-5</v>
      </c>
    </row>
    <row r="607" spans="1:8" x14ac:dyDescent="0.4">
      <c r="A607">
        <v>2024</v>
      </c>
      <c r="B607">
        <v>6.7499999999999999E-3</v>
      </c>
    </row>
    <row r="608" spans="1:8" x14ac:dyDescent="0.4">
      <c r="A608">
        <v>2025</v>
      </c>
      <c r="B608">
        <v>0.216</v>
      </c>
    </row>
    <row r="609" spans="1:8" x14ac:dyDescent="0.4">
      <c r="A609">
        <v>2026</v>
      </c>
      <c r="B609">
        <v>0.40375</v>
      </c>
    </row>
    <row r="610" spans="1:8" x14ac:dyDescent="0.4">
      <c r="A610">
        <v>2027</v>
      </c>
      <c r="B610">
        <v>0.27187</v>
      </c>
    </row>
    <row r="611" spans="1:8" x14ac:dyDescent="0.4">
      <c r="A611">
        <v>2028</v>
      </c>
      <c r="B611">
        <v>0.20463000000000001</v>
      </c>
    </row>
    <row r="612" spans="1:8" x14ac:dyDescent="0.4">
      <c r="A612">
        <v>2029</v>
      </c>
      <c r="B612">
        <v>0.1855</v>
      </c>
    </row>
    <row r="613" spans="1:8" x14ac:dyDescent="0.4">
      <c r="A613">
        <v>2030</v>
      </c>
      <c r="B613">
        <v>0.16825000000000001</v>
      </c>
    </row>
    <row r="614" spans="1:8" x14ac:dyDescent="0.4">
      <c r="A614">
        <v>2031</v>
      </c>
      <c r="B614">
        <v>0.15683</v>
      </c>
    </row>
    <row r="615" spans="1:8" x14ac:dyDescent="0.4">
      <c r="A615">
        <v>2032</v>
      </c>
      <c r="B615">
        <v>0.14743000000000001</v>
      </c>
    </row>
    <row r="616" spans="1:8" x14ac:dyDescent="0.4">
      <c r="A616">
        <v>2033</v>
      </c>
      <c r="B616">
        <v>0.14224999999999999</v>
      </c>
    </row>
    <row r="617" spans="1:8" x14ac:dyDescent="0.4">
      <c r="A617">
        <v>2034</v>
      </c>
      <c r="B617">
        <v>0.13666</v>
      </c>
    </row>
    <row r="619" spans="1:8" x14ac:dyDescent="0.4">
      <c r="A619" t="s">
        <v>21</v>
      </c>
      <c r="B619" t="s">
        <v>20</v>
      </c>
      <c r="C619" t="s">
        <v>19</v>
      </c>
      <c r="D619" t="s">
        <v>1</v>
      </c>
      <c r="E619" t="s">
        <v>18</v>
      </c>
      <c r="F619" t="s">
        <v>17</v>
      </c>
      <c r="G619" t="s">
        <v>13</v>
      </c>
      <c r="H619">
        <v>0.51470000000000005</v>
      </c>
    </row>
    <row r="622" spans="1:8" x14ac:dyDescent="0.4">
      <c r="A622" t="s">
        <v>16</v>
      </c>
      <c r="B622" t="s">
        <v>14</v>
      </c>
      <c r="C622" t="s">
        <v>15</v>
      </c>
    </row>
    <row r="624" spans="1:8" x14ac:dyDescent="0.4">
      <c r="A624" t="s">
        <v>14</v>
      </c>
      <c r="B624" t="s">
        <v>13</v>
      </c>
      <c r="C624">
        <v>40</v>
      </c>
      <c r="D624" t="s">
        <v>12</v>
      </c>
    </row>
    <row r="626" spans="1:20" x14ac:dyDescent="0.4">
      <c r="B626">
        <v>2021</v>
      </c>
      <c r="C626">
        <v>2022</v>
      </c>
      <c r="D626">
        <v>2023</v>
      </c>
      <c r="E626">
        <v>2024</v>
      </c>
      <c r="F626">
        <v>2025</v>
      </c>
      <c r="G626">
        <v>2026</v>
      </c>
      <c r="H626">
        <v>2027</v>
      </c>
      <c r="I626">
        <v>2028</v>
      </c>
      <c r="J626">
        <v>2029</v>
      </c>
      <c r="K626">
        <v>2030</v>
      </c>
      <c r="L626">
        <v>2031</v>
      </c>
      <c r="M626">
        <v>2032</v>
      </c>
      <c r="N626">
        <v>2033</v>
      </c>
      <c r="O626">
        <v>2034</v>
      </c>
    </row>
    <row r="628" spans="1:20" x14ac:dyDescent="0.4">
      <c r="A628" t="s">
        <v>11</v>
      </c>
      <c r="B628">
        <v>144.74700000000001</v>
      </c>
      <c r="C628">
        <v>145.9187</v>
      </c>
      <c r="D628">
        <v>145.1722</v>
      </c>
      <c r="E628">
        <v>145.82249999999999</v>
      </c>
      <c r="F628">
        <v>146.65020000000001</v>
      </c>
      <c r="G628">
        <v>145.3922</v>
      </c>
      <c r="H628">
        <v>145.81219999999999</v>
      </c>
      <c r="I628">
        <v>145.76060000000001</v>
      </c>
      <c r="J628">
        <v>146.06450000000001</v>
      </c>
      <c r="K628">
        <v>145.7516</v>
      </c>
      <c r="L628">
        <v>146.6788</v>
      </c>
      <c r="M628">
        <v>144.53489999999999</v>
      </c>
      <c r="N628">
        <v>145.3126</v>
      </c>
      <c r="O628">
        <v>144.39189999999999</v>
      </c>
    </row>
    <row r="629" spans="1:20" x14ac:dyDescent="0.4">
      <c r="A629" t="s">
        <v>10</v>
      </c>
      <c r="B629" t="s">
        <v>3</v>
      </c>
      <c r="C629" t="s">
        <v>6</v>
      </c>
      <c r="D629">
        <v>2.5143</v>
      </c>
      <c r="E629">
        <v>3.7913000000000001</v>
      </c>
      <c r="F629">
        <v>5.1797000000000004</v>
      </c>
      <c r="G629">
        <v>5.2934999999999999</v>
      </c>
      <c r="H629">
        <v>4.6048</v>
      </c>
      <c r="I629">
        <v>3.6419999999999999</v>
      </c>
      <c r="J629">
        <v>3.2121</v>
      </c>
      <c r="K629">
        <v>3.2576999999999998</v>
      </c>
      <c r="L629">
        <v>3.3934000000000002</v>
      </c>
      <c r="M629">
        <v>3.5091000000000001</v>
      </c>
      <c r="N629">
        <v>3.6179000000000001</v>
      </c>
      <c r="O629">
        <v>3.6871999999999998</v>
      </c>
      <c r="P629">
        <v>3.7486999999999999</v>
      </c>
      <c r="Q629">
        <v>3.7892000000000001</v>
      </c>
      <c r="S629">
        <f t="array" ref="S629:S642">TRANSPOSE(D629:Q629)</f>
        <v>2.5143</v>
      </c>
      <c r="T629">
        <f>S629*1000</f>
        <v>2514.3000000000002</v>
      </c>
    </row>
    <row r="630" spans="1:20" x14ac:dyDescent="0.4">
      <c r="A630" s="1">
        <v>45658</v>
      </c>
      <c r="B630" t="s">
        <v>3</v>
      </c>
      <c r="C630" t="s">
        <v>6</v>
      </c>
      <c r="D630">
        <v>8.8084000000000007</v>
      </c>
      <c r="E630">
        <v>9.9601000000000006</v>
      </c>
      <c r="F630">
        <v>10.789199999999999</v>
      </c>
      <c r="G630">
        <v>11.151999999999999</v>
      </c>
      <c r="H630">
        <v>10.8956</v>
      </c>
      <c r="I630">
        <v>9.7561999999999998</v>
      </c>
      <c r="J630">
        <v>8.8086000000000002</v>
      </c>
      <c r="K630">
        <v>8.7513000000000005</v>
      </c>
      <c r="L630">
        <v>8.9108000000000001</v>
      </c>
      <c r="M630">
        <v>9.0611999999999995</v>
      </c>
      <c r="N630">
        <v>9.1790000000000003</v>
      </c>
      <c r="O630">
        <v>9.2741000000000007</v>
      </c>
      <c r="P630">
        <v>9.3392999999999997</v>
      </c>
      <c r="Q630">
        <v>9.3981999999999992</v>
      </c>
      <c r="S630">
        <v>3.7913000000000001</v>
      </c>
      <c r="T630">
        <f t="shared" ref="T630:T642" si="6">S630*1000</f>
        <v>3791.3</v>
      </c>
    </row>
    <row r="631" spans="1:20" x14ac:dyDescent="0.4">
      <c r="A631" t="s">
        <v>9</v>
      </c>
      <c r="B631" t="s">
        <v>6</v>
      </c>
      <c r="C631">
        <v>8.5300999999999991</v>
      </c>
      <c r="D631">
        <v>9.4762000000000004</v>
      </c>
      <c r="E631">
        <v>10.0381</v>
      </c>
      <c r="F631">
        <v>10.058</v>
      </c>
      <c r="G631">
        <v>9.2758000000000003</v>
      </c>
      <c r="H631">
        <v>8.2139000000000006</v>
      </c>
      <c r="I631">
        <v>7.7617000000000003</v>
      </c>
      <c r="J631">
        <v>7.8391000000000002</v>
      </c>
      <c r="K631">
        <v>7.9923000000000002</v>
      </c>
      <c r="L631">
        <v>8.1273</v>
      </c>
      <c r="M631">
        <v>8.2382000000000009</v>
      </c>
      <c r="N631">
        <v>8.3181999999999992</v>
      </c>
      <c r="O631">
        <v>8.3665000000000003</v>
      </c>
      <c r="P631">
        <v>8.4314</v>
      </c>
      <c r="S631">
        <v>5.1797000000000004</v>
      </c>
      <c r="T631">
        <f t="shared" si="6"/>
        <v>5179.7000000000007</v>
      </c>
    </row>
    <row r="632" spans="1:20" x14ac:dyDescent="0.4">
      <c r="A632" t="s">
        <v>8</v>
      </c>
      <c r="B632" t="s">
        <v>7</v>
      </c>
      <c r="C632" t="s">
        <v>6</v>
      </c>
      <c r="D632">
        <v>1.5398000000000001</v>
      </c>
      <c r="E632">
        <v>1.4739</v>
      </c>
      <c r="F632">
        <v>1.6854</v>
      </c>
      <c r="G632">
        <v>2.1566999999999998</v>
      </c>
      <c r="H632">
        <v>3.2250000000000001</v>
      </c>
      <c r="I632">
        <v>3.2250000000000001</v>
      </c>
      <c r="J632">
        <v>2.4</v>
      </c>
      <c r="K632">
        <v>2.15</v>
      </c>
      <c r="L632">
        <v>2.15</v>
      </c>
      <c r="M632">
        <v>2.15</v>
      </c>
      <c r="N632">
        <v>2.15</v>
      </c>
      <c r="O632">
        <v>2.15</v>
      </c>
      <c r="P632">
        <v>2.15</v>
      </c>
      <c r="Q632">
        <v>2.15</v>
      </c>
      <c r="S632">
        <v>5.2934999999999999</v>
      </c>
      <c r="T632">
        <f t="shared" si="6"/>
        <v>5293.5</v>
      </c>
    </row>
    <row r="633" spans="1:20" x14ac:dyDescent="0.4">
      <c r="A633" t="s">
        <v>5</v>
      </c>
      <c r="B633">
        <v>1.5398000000000001</v>
      </c>
      <c r="C633">
        <v>1.4739</v>
      </c>
      <c r="D633">
        <v>1.6854</v>
      </c>
      <c r="E633">
        <v>2.1566999999999998</v>
      </c>
      <c r="F633">
        <v>3.2250000000000001</v>
      </c>
      <c r="G633">
        <v>3.2250000000000001</v>
      </c>
      <c r="H633">
        <v>2.4</v>
      </c>
      <c r="I633">
        <v>2.15</v>
      </c>
      <c r="J633">
        <v>2.15</v>
      </c>
      <c r="K633">
        <v>2.15</v>
      </c>
      <c r="L633">
        <v>2.15</v>
      </c>
      <c r="M633">
        <v>2.15</v>
      </c>
      <c r="N633">
        <v>2.15</v>
      </c>
      <c r="O633">
        <v>2.15</v>
      </c>
      <c r="S633">
        <v>4.6048</v>
      </c>
      <c r="T633">
        <f t="shared" si="6"/>
        <v>4604.8</v>
      </c>
    </row>
    <row r="634" spans="1:20" x14ac:dyDescent="0.4">
      <c r="A634" t="s">
        <v>4</v>
      </c>
      <c r="B634">
        <v>0.50390000000000001</v>
      </c>
      <c r="C634">
        <v>0.34889999999999999</v>
      </c>
      <c r="D634">
        <v>0.34899999999999998</v>
      </c>
      <c r="E634">
        <v>0.37719999999999998</v>
      </c>
      <c r="F634">
        <v>0.58919999999999995</v>
      </c>
      <c r="G634">
        <v>0.6905</v>
      </c>
      <c r="H634">
        <v>0.55989999999999995</v>
      </c>
      <c r="I634">
        <v>0.49220000000000003</v>
      </c>
      <c r="J634">
        <v>0.47789999999999999</v>
      </c>
      <c r="K634">
        <v>0.4667</v>
      </c>
      <c r="L634">
        <v>0.45779999999999998</v>
      </c>
      <c r="M634">
        <v>0.4501</v>
      </c>
      <c r="N634">
        <v>0.44469999999999998</v>
      </c>
      <c r="O634">
        <v>0.44130000000000003</v>
      </c>
      <c r="S634">
        <v>3.6419999999999999</v>
      </c>
      <c r="T634">
        <f t="shared" si="6"/>
        <v>3642</v>
      </c>
    </row>
    <row r="635" spans="1:20" x14ac:dyDescent="0.4">
      <c r="S635">
        <v>3.2121</v>
      </c>
      <c r="T635">
        <f t="shared" si="6"/>
        <v>3212.1</v>
      </c>
    </row>
    <row r="636" spans="1:20" x14ac:dyDescent="0.4">
      <c r="A636" t="s">
        <v>3</v>
      </c>
      <c r="B636" t="s">
        <v>2</v>
      </c>
      <c r="C636" t="s">
        <v>1</v>
      </c>
      <c r="D636" t="s">
        <v>0</v>
      </c>
      <c r="S636">
        <v>3.2576999999999998</v>
      </c>
      <c r="T636">
        <f t="shared" si="6"/>
        <v>3257.7</v>
      </c>
    </row>
    <row r="637" spans="1:20" x14ac:dyDescent="0.4">
      <c r="A637" t="s">
        <v>0</v>
      </c>
      <c r="B637">
        <v>1</v>
      </c>
      <c r="C637">
        <v>244.97399999999999</v>
      </c>
      <c r="D637">
        <v>144.74700000000001</v>
      </c>
      <c r="E637">
        <v>145.9187</v>
      </c>
      <c r="F637">
        <v>145.1722</v>
      </c>
      <c r="G637">
        <v>145.82249999999999</v>
      </c>
      <c r="H637">
        <v>146.65020000000001</v>
      </c>
      <c r="I637">
        <v>145.3922</v>
      </c>
      <c r="J637">
        <v>145.81219999999999</v>
      </c>
      <c r="K637">
        <v>145.76060000000001</v>
      </c>
      <c r="L637">
        <v>146.06450000000001</v>
      </c>
      <c r="M637">
        <v>145.7516</v>
      </c>
      <c r="N637">
        <v>146.6788</v>
      </c>
      <c r="O637">
        <v>144.53489999999999</v>
      </c>
      <c r="P637">
        <v>145.3126</v>
      </c>
      <c r="S637">
        <v>3.3934000000000002</v>
      </c>
      <c r="T637">
        <f t="shared" si="6"/>
        <v>3393.4</v>
      </c>
    </row>
    <row r="638" spans="1:20" x14ac:dyDescent="0.4">
      <c r="A638" t="s">
        <v>0</v>
      </c>
      <c r="B638">
        <v>2</v>
      </c>
      <c r="C638">
        <v>93.8626</v>
      </c>
      <c r="D638">
        <v>145.52180000000001</v>
      </c>
      <c r="E638">
        <v>87.275000000000006</v>
      </c>
      <c r="F638">
        <v>88.213499999999996</v>
      </c>
      <c r="G638">
        <v>85.937100000000001</v>
      </c>
      <c r="H638">
        <v>85.169600000000003</v>
      </c>
      <c r="I638">
        <v>83.950100000000006</v>
      </c>
      <c r="J638">
        <v>84.421800000000005</v>
      </c>
      <c r="K638">
        <v>84.573499999999996</v>
      </c>
      <c r="L638">
        <v>84.544499999999999</v>
      </c>
      <c r="M638">
        <v>84.913700000000006</v>
      </c>
      <c r="N638">
        <v>84.800899999999999</v>
      </c>
      <c r="O638">
        <v>85.229299999999995</v>
      </c>
      <c r="P638">
        <v>84.284800000000004</v>
      </c>
      <c r="S638">
        <v>3.5091000000000001</v>
      </c>
      <c r="T638">
        <f t="shared" si="6"/>
        <v>3509.1</v>
      </c>
    </row>
    <row r="639" spans="1:20" x14ac:dyDescent="0.4">
      <c r="A639" t="s">
        <v>0</v>
      </c>
      <c r="B639">
        <v>3</v>
      </c>
      <c r="C639">
        <v>51.2273</v>
      </c>
      <c r="D639">
        <v>51.018700000000003</v>
      </c>
      <c r="E639">
        <v>83.481200000000001</v>
      </c>
      <c r="F639">
        <v>50.309100000000001</v>
      </c>
      <c r="G639">
        <v>48.134399999999999</v>
      </c>
      <c r="H639">
        <v>41.909500000000001</v>
      </c>
      <c r="I639">
        <v>38.625399999999999</v>
      </c>
      <c r="J639">
        <v>40.214100000000002</v>
      </c>
      <c r="K639">
        <v>41.536099999999998</v>
      </c>
      <c r="L639">
        <v>41.969299999999997</v>
      </c>
      <c r="M639">
        <v>42.237099999999998</v>
      </c>
      <c r="N639">
        <v>42.564700000000002</v>
      </c>
      <c r="O639">
        <v>42.707099999999997</v>
      </c>
      <c r="P639">
        <v>43.1145</v>
      </c>
      <c r="S639">
        <v>3.6179000000000001</v>
      </c>
      <c r="T639">
        <f t="shared" si="6"/>
        <v>3617.9</v>
      </c>
    </row>
    <row r="640" spans="1:20" x14ac:dyDescent="0.4">
      <c r="A640" t="s">
        <v>0</v>
      </c>
      <c r="B640">
        <v>4</v>
      </c>
      <c r="C640">
        <v>9.1702999999999992</v>
      </c>
      <c r="D640">
        <v>24.989000000000001</v>
      </c>
      <c r="E640">
        <v>27.600300000000001</v>
      </c>
      <c r="F640">
        <v>45.499400000000001</v>
      </c>
      <c r="G640">
        <v>25.328800000000001</v>
      </c>
      <c r="H640">
        <v>19.616599999999998</v>
      </c>
      <c r="I640">
        <v>15.6286</v>
      </c>
      <c r="J640">
        <v>16.009799999999998</v>
      </c>
      <c r="K640">
        <v>17.707799999999999</v>
      </c>
      <c r="L640">
        <v>18.512799999999999</v>
      </c>
      <c r="M640">
        <v>18.869</v>
      </c>
      <c r="N640">
        <v>19.147099999999998</v>
      </c>
      <c r="O640">
        <v>19.381799999999998</v>
      </c>
      <c r="P640">
        <v>19.536799999999999</v>
      </c>
      <c r="S640">
        <v>3.6871999999999998</v>
      </c>
      <c r="T640">
        <f t="shared" si="6"/>
        <v>3687.2</v>
      </c>
    </row>
    <row r="641" spans="1:20" x14ac:dyDescent="0.4">
      <c r="A641" t="s">
        <v>0</v>
      </c>
      <c r="B641">
        <v>5</v>
      </c>
      <c r="C641">
        <v>2.4695999999999998</v>
      </c>
      <c r="D641">
        <v>4.2294</v>
      </c>
      <c r="E641">
        <v>13.0661</v>
      </c>
      <c r="F641">
        <v>14.6099</v>
      </c>
      <c r="G641">
        <v>22.708400000000001</v>
      </c>
      <c r="H641">
        <v>9.7180999999999997</v>
      </c>
      <c r="I641">
        <v>6.7644000000000002</v>
      </c>
      <c r="J641">
        <v>6.1332000000000004</v>
      </c>
      <c r="K641">
        <v>6.7617000000000003</v>
      </c>
      <c r="L641">
        <v>7.6246999999999998</v>
      </c>
      <c r="M641">
        <v>8.0545000000000009</v>
      </c>
      <c r="N641">
        <v>8.2722999999999995</v>
      </c>
      <c r="O641">
        <v>8.4405999999999999</v>
      </c>
      <c r="P641">
        <v>8.6067</v>
      </c>
      <c r="S641">
        <v>3.7486999999999999</v>
      </c>
      <c r="T641">
        <f t="shared" si="6"/>
        <v>3748.7</v>
      </c>
    </row>
    <row r="642" spans="1:20" x14ac:dyDescent="0.4">
      <c r="A642" t="s">
        <v>0</v>
      </c>
      <c r="B642">
        <v>6</v>
      </c>
      <c r="C642">
        <v>0.84919999999999995</v>
      </c>
      <c r="D642">
        <v>1.1144000000000001</v>
      </c>
      <c r="E642">
        <v>2.1406000000000001</v>
      </c>
      <c r="F642">
        <v>6.7423999999999999</v>
      </c>
      <c r="G642">
        <v>7.2069999999999999</v>
      </c>
      <c r="H642">
        <v>8.7573000000000008</v>
      </c>
      <c r="I642">
        <v>3.2703000000000002</v>
      </c>
      <c r="J642">
        <v>2.6011000000000002</v>
      </c>
      <c r="K642">
        <v>2.5413999999999999</v>
      </c>
      <c r="L642">
        <v>2.8538999999999999</v>
      </c>
      <c r="M642">
        <v>3.2517</v>
      </c>
      <c r="N642">
        <v>3.4863</v>
      </c>
      <c r="O642">
        <v>3.6002000000000001</v>
      </c>
      <c r="P642">
        <v>3.6873999999999998</v>
      </c>
      <c r="S642">
        <v>3.7892000000000001</v>
      </c>
      <c r="T642">
        <f t="shared" si="6"/>
        <v>3789.2000000000003</v>
      </c>
    </row>
    <row r="643" spans="1:20" x14ac:dyDescent="0.4">
      <c r="A643" t="s">
        <v>0</v>
      </c>
      <c r="B643">
        <v>7</v>
      </c>
      <c r="C643">
        <v>0.1227</v>
      </c>
      <c r="D643">
        <v>0.37919999999999998</v>
      </c>
      <c r="E643">
        <v>0.56740000000000002</v>
      </c>
      <c r="F643">
        <v>1.0771999999999999</v>
      </c>
      <c r="G643">
        <v>3.3218000000000001</v>
      </c>
      <c r="H643">
        <v>2.8161</v>
      </c>
      <c r="I643">
        <v>3.0112000000000001</v>
      </c>
      <c r="J643">
        <v>1.2594000000000001</v>
      </c>
      <c r="K643">
        <v>1.0845</v>
      </c>
      <c r="L643">
        <v>1.073</v>
      </c>
      <c r="M643">
        <v>1.2273000000000001</v>
      </c>
      <c r="N643">
        <v>1.4081999999999999</v>
      </c>
      <c r="O643">
        <v>1.5238</v>
      </c>
      <c r="P643">
        <v>1.5827</v>
      </c>
    </row>
    <row r="644" spans="1:20" x14ac:dyDescent="0.4">
      <c r="A644" t="s">
        <v>0</v>
      </c>
      <c r="B644">
        <v>8</v>
      </c>
      <c r="C644">
        <v>9.0200000000000002E-2</v>
      </c>
      <c r="D644">
        <v>5.6300000000000003E-2</v>
      </c>
      <c r="E644">
        <v>0.193</v>
      </c>
      <c r="F644">
        <v>0.28970000000000001</v>
      </c>
      <c r="G644">
        <v>0.5323</v>
      </c>
      <c r="H644">
        <v>1.3180000000000001</v>
      </c>
      <c r="I644">
        <v>0.98709999999999998</v>
      </c>
      <c r="J644">
        <v>1.1843999999999999</v>
      </c>
      <c r="K644">
        <v>0.5333</v>
      </c>
      <c r="L644">
        <v>0.46429999999999999</v>
      </c>
      <c r="M644">
        <v>0.4632</v>
      </c>
      <c r="N644">
        <v>0.53890000000000005</v>
      </c>
      <c r="O644">
        <v>0.622</v>
      </c>
      <c r="P644">
        <v>0.67810000000000004</v>
      </c>
    </row>
    <row r="645" spans="1:20" x14ac:dyDescent="0.4">
      <c r="A645" t="s">
        <v>0</v>
      </c>
      <c r="B645">
        <v>9</v>
      </c>
      <c r="C645">
        <v>6.3E-3</v>
      </c>
      <c r="D645">
        <v>4.0899999999999999E-2</v>
      </c>
      <c r="E645">
        <v>2.87E-2</v>
      </c>
      <c r="F645">
        <v>9.8599999999999993E-2</v>
      </c>
      <c r="G645">
        <v>0.14530000000000001</v>
      </c>
      <c r="H645">
        <v>0.217</v>
      </c>
      <c r="I645">
        <v>0.47510000000000002</v>
      </c>
      <c r="J645">
        <v>0.3947</v>
      </c>
      <c r="K645">
        <v>0.50829999999999997</v>
      </c>
      <c r="L645">
        <v>0.23280000000000001</v>
      </c>
      <c r="M645">
        <v>0.20430000000000001</v>
      </c>
      <c r="N645">
        <v>0.2059</v>
      </c>
      <c r="O645">
        <v>0.2397</v>
      </c>
      <c r="P645">
        <v>0.28120000000000001</v>
      </c>
    </row>
    <row r="646" spans="1:20" x14ac:dyDescent="0.4">
      <c r="A646" t="s">
        <v>0</v>
      </c>
      <c r="B646">
        <v>10</v>
      </c>
      <c r="C646">
        <v>3.2000000000000002E-3</v>
      </c>
      <c r="D646">
        <v>3.0000000000000001E-3</v>
      </c>
      <c r="E646">
        <v>2.06E-2</v>
      </c>
      <c r="F646">
        <v>1.47E-2</v>
      </c>
      <c r="G646">
        <v>5.0200000000000002E-2</v>
      </c>
      <c r="H646">
        <v>6.0400000000000002E-2</v>
      </c>
      <c r="I646">
        <v>8.0699999999999994E-2</v>
      </c>
      <c r="J646">
        <v>0.19520000000000001</v>
      </c>
      <c r="K646">
        <v>0.1716</v>
      </c>
      <c r="L646">
        <v>0.22459999999999999</v>
      </c>
      <c r="M646">
        <v>0.1043</v>
      </c>
      <c r="N646">
        <v>9.1800000000000007E-2</v>
      </c>
      <c r="O646">
        <v>9.3399999999999997E-2</v>
      </c>
      <c r="P646">
        <v>0.1094</v>
      </c>
    </row>
    <row r="647" spans="1:20" x14ac:dyDescent="0.4">
      <c r="A647" t="s">
        <v>0</v>
      </c>
      <c r="B647">
        <v>11</v>
      </c>
      <c r="C647">
        <v>8.9999999999999998E-4</v>
      </c>
      <c r="D647">
        <v>1.5E-3</v>
      </c>
      <c r="E647">
        <v>1.5E-3</v>
      </c>
      <c r="F647">
        <v>1.03E-2</v>
      </c>
      <c r="G647">
        <v>7.7000000000000002E-3</v>
      </c>
      <c r="H647">
        <v>2.12E-2</v>
      </c>
      <c r="I647">
        <v>2.2800000000000001E-2</v>
      </c>
      <c r="J647">
        <v>3.3700000000000001E-2</v>
      </c>
      <c r="K647">
        <v>8.6300000000000002E-2</v>
      </c>
      <c r="L647">
        <v>7.6799999999999993E-2</v>
      </c>
      <c r="M647">
        <v>0.1018</v>
      </c>
      <c r="N647">
        <v>4.7500000000000001E-2</v>
      </c>
      <c r="O647">
        <v>4.2099999999999999E-2</v>
      </c>
      <c r="P647">
        <v>4.3099999999999999E-2</v>
      </c>
    </row>
    <row r="648" spans="1:20" x14ac:dyDescent="0.4">
      <c r="A648" t="s">
        <v>0</v>
      </c>
      <c r="B648">
        <v>12</v>
      </c>
      <c r="C648">
        <v>1E-4</v>
      </c>
      <c r="D648">
        <v>4.0000000000000002E-4</v>
      </c>
      <c r="E648">
        <v>8.0000000000000004E-4</v>
      </c>
      <c r="F648">
        <v>8.0000000000000004E-4</v>
      </c>
      <c r="G648">
        <v>5.1999999999999998E-3</v>
      </c>
      <c r="H648">
        <v>3.3E-3</v>
      </c>
      <c r="I648">
        <v>8.0999999999999996E-3</v>
      </c>
      <c r="J648">
        <v>9.7000000000000003E-3</v>
      </c>
      <c r="K648">
        <v>1.5100000000000001E-2</v>
      </c>
      <c r="L648">
        <v>3.9E-2</v>
      </c>
      <c r="M648">
        <v>3.5000000000000003E-2</v>
      </c>
      <c r="N648">
        <v>4.6800000000000001E-2</v>
      </c>
      <c r="O648">
        <v>2.1899999999999999E-2</v>
      </c>
      <c r="P648">
        <v>1.9699999999999999E-2</v>
      </c>
    </row>
    <row r="649" spans="1:20" x14ac:dyDescent="0.4">
      <c r="A649" t="s">
        <v>0</v>
      </c>
      <c r="B649">
        <v>13</v>
      </c>
      <c r="C649">
        <v>0</v>
      </c>
      <c r="D649">
        <v>0</v>
      </c>
      <c r="E649">
        <v>2.0000000000000001E-4</v>
      </c>
      <c r="F649">
        <v>4.0000000000000002E-4</v>
      </c>
      <c r="G649">
        <v>4.0000000000000002E-4</v>
      </c>
      <c r="H649">
        <v>2.3E-3</v>
      </c>
      <c r="I649">
        <v>1.2999999999999999E-3</v>
      </c>
      <c r="J649">
        <v>3.5000000000000001E-3</v>
      </c>
      <c r="K649">
        <v>4.4000000000000003E-3</v>
      </c>
      <c r="L649">
        <v>6.8999999999999999E-3</v>
      </c>
      <c r="M649">
        <v>1.8100000000000002E-2</v>
      </c>
      <c r="N649">
        <v>1.6299999999999999E-2</v>
      </c>
      <c r="O649">
        <v>2.18E-2</v>
      </c>
      <c r="P649">
        <v>1.03E-2</v>
      </c>
    </row>
    <row r="650" spans="1:20" x14ac:dyDescent="0.4">
      <c r="A650" t="s">
        <v>0</v>
      </c>
      <c r="B650">
        <v>14</v>
      </c>
      <c r="C650">
        <v>0</v>
      </c>
      <c r="D650">
        <v>0</v>
      </c>
      <c r="E650">
        <v>0</v>
      </c>
      <c r="F650">
        <v>1E-4</v>
      </c>
      <c r="G650">
        <v>2.0000000000000001E-4</v>
      </c>
      <c r="H650">
        <v>2.0000000000000001E-4</v>
      </c>
      <c r="I650">
        <v>8.9999999999999998E-4</v>
      </c>
      <c r="J650">
        <v>5.9999999999999995E-4</v>
      </c>
      <c r="K650">
        <v>1.6000000000000001E-3</v>
      </c>
      <c r="L650">
        <v>2E-3</v>
      </c>
      <c r="M650">
        <v>3.2000000000000002E-3</v>
      </c>
      <c r="N650">
        <v>8.5000000000000006E-3</v>
      </c>
      <c r="O650">
        <v>7.7000000000000002E-3</v>
      </c>
      <c r="P650">
        <v>1.03E-2</v>
      </c>
    </row>
    <row r="651" spans="1:20" x14ac:dyDescent="0.4">
      <c r="A651" t="s">
        <v>0</v>
      </c>
      <c r="B651">
        <v>15</v>
      </c>
      <c r="C651">
        <v>0</v>
      </c>
      <c r="D651">
        <v>0</v>
      </c>
      <c r="E651">
        <v>0</v>
      </c>
      <c r="F651">
        <v>0</v>
      </c>
      <c r="G651">
        <v>1E-4</v>
      </c>
      <c r="H651">
        <v>1E-4</v>
      </c>
      <c r="I651">
        <v>1E-4</v>
      </c>
      <c r="J651">
        <v>4.0000000000000002E-4</v>
      </c>
      <c r="K651">
        <v>5.0000000000000001E-4</v>
      </c>
      <c r="L651">
        <v>1E-3</v>
      </c>
      <c r="M651">
        <v>1.4E-3</v>
      </c>
      <c r="N651">
        <v>2.2000000000000001E-3</v>
      </c>
      <c r="O651">
        <v>5.1000000000000004E-3</v>
      </c>
      <c r="P651">
        <v>6.1000000000000004E-3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82FF2-54E0-4B12-BB64-9B623882FBDF}">
  <dimension ref="A1:BF2168"/>
  <sheetViews>
    <sheetView topLeftCell="J918" workbookViewId="0">
      <selection activeCell="L925" sqref="L925:L965"/>
    </sheetView>
  </sheetViews>
  <sheetFormatPr defaultRowHeight="14.6" x14ac:dyDescent="0.4"/>
  <sheetData>
    <row r="1" spans="1:9" x14ac:dyDescent="0.4">
      <c r="A1" t="s">
        <v>69</v>
      </c>
      <c r="B1" t="s">
        <v>68</v>
      </c>
      <c r="C1">
        <v>4.2</v>
      </c>
    </row>
    <row r="3" spans="1:9" x14ac:dyDescent="0.4">
      <c r="A3" t="s">
        <v>172</v>
      </c>
    </row>
    <row r="5" spans="1:9" x14ac:dyDescent="0.4">
      <c r="A5" t="s">
        <v>67</v>
      </c>
      <c r="B5" t="s">
        <v>66</v>
      </c>
      <c r="C5" t="s">
        <v>65</v>
      </c>
      <c r="D5" t="s">
        <v>47</v>
      </c>
      <c r="E5" t="s">
        <v>64</v>
      </c>
      <c r="F5">
        <v>17</v>
      </c>
      <c r="G5" t="s">
        <v>171</v>
      </c>
      <c r="H5">
        <v>2025</v>
      </c>
      <c r="I5" s="3">
        <v>0.71111111111111114</v>
      </c>
    </row>
    <row r="7" spans="1:9" x14ac:dyDescent="0.4">
      <c r="A7" t="s">
        <v>45</v>
      </c>
      <c r="B7" t="s">
        <v>52</v>
      </c>
      <c r="C7" t="s">
        <v>51</v>
      </c>
      <c r="D7" t="s">
        <v>170</v>
      </c>
    </row>
    <row r="9" spans="1:9" x14ac:dyDescent="0.4">
      <c r="A9" t="s">
        <v>63</v>
      </c>
      <c r="B9" t="s">
        <v>0</v>
      </c>
      <c r="C9" t="s">
        <v>62</v>
      </c>
      <c r="D9">
        <v>1</v>
      </c>
    </row>
    <row r="10" spans="1:9" x14ac:dyDescent="0.4">
      <c r="A10" t="s">
        <v>50</v>
      </c>
      <c r="B10" t="s">
        <v>47</v>
      </c>
      <c r="C10" t="s">
        <v>0</v>
      </c>
      <c r="D10" t="s">
        <v>61</v>
      </c>
      <c r="E10">
        <v>15</v>
      </c>
    </row>
    <row r="11" spans="1:9" x14ac:dyDescent="0.4">
      <c r="A11" t="s">
        <v>50</v>
      </c>
      <c r="B11" t="s">
        <v>47</v>
      </c>
      <c r="C11" t="s">
        <v>60</v>
      </c>
      <c r="D11" t="s">
        <v>59</v>
      </c>
      <c r="E11" t="s">
        <v>58</v>
      </c>
      <c r="F11">
        <v>55</v>
      </c>
    </row>
    <row r="12" spans="1:9" x14ac:dyDescent="0.4">
      <c r="A12" t="s">
        <v>50</v>
      </c>
      <c r="B12" t="s">
        <v>47</v>
      </c>
      <c r="C12" t="s">
        <v>57</v>
      </c>
      <c r="D12">
        <v>9</v>
      </c>
    </row>
    <row r="13" spans="1:9" x14ac:dyDescent="0.4">
      <c r="A13" t="s">
        <v>50</v>
      </c>
      <c r="B13" t="s">
        <v>47</v>
      </c>
      <c r="C13" t="s">
        <v>41</v>
      </c>
      <c r="D13" t="s">
        <v>56</v>
      </c>
      <c r="E13">
        <v>3</v>
      </c>
    </row>
    <row r="14" spans="1:9" x14ac:dyDescent="0.4">
      <c r="A14" t="s">
        <v>50</v>
      </c>
      <c r="B14" t="s">
        <v>47</v>
      </c>
      <c r="C14" t="s">
        <v>55</v>
      </c>
      <c r="D14">
        <v>100</v>
      </c>
    </row>
    <row r="15" spans="1:9" x14ac:dyDescent="0.4">
      <c r="A15" t="s">
        <v>50</v>
      </c>
      <c r="B15" t="s">
        <v>47</v>
      </c>
      <c r="C15" t="s">
        <v>54</v>
      </c>
      <c r="D15">
        <v>10</v>
      </c>
    </row>
    <row r="17" spans="1:11" x14ac:dyDescent="0.4">
      <c r="A17" t="s">
        <v>53</v>
      </c>
      <c r="B17" t="s">
        <v>52</v>
      </c>
      <c r="C17" t="s">
        <v>51</v>
      </c>
      <c r="D17" t="s">
        <v>75</v>
      </c>
      <c r="E17" t="s">
        <v>76</v>
      </c>
      <c r="F17" t="s">
        <v>77</v>
      </c>
      <c r="G17" t="s">
        <v>78</v>
      </c>
    </row>
    <row r="19" spans="1:11" x14ac:dyDescent="0.4">
      <c r="A19" t="s">
        <v>50</v>
      </c>
      <c r="B19" t="s">
        <v>47</v>
      </c>
      <c r="C19" t="s">
        <v>49</v>
      </c>
      <c r="D19" t="s">
        <v>48</v>
      </c>
      <c r="E19">
        <v>963</v>
      </c>
      <c r="F19" t="s">
        <v>47</v>
      </c>
      <c r="G19">
        <v>1000</v>
      </c>
      <c r="H19" t="s">
        <v>46</v>
      </c>
    </row>
    <row r="21" spans="1:11" x14ac:dyDescent="0.4">
      <c r="A21" t="s">
        <v>45</v>
      </c>
      <c r="B21" t="s">
        <v>44</v>
      </c>
      <c r="C21" t="s">
        <v>43</v>
      </c>
    </row>
    <row r="23" spans="1:11" x14ac:dyDescent="0.4">
      <c r="A23" t="s">
        <v>22</v>
      </c>
      <c r="B23" t="s">
        <v>42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</row>
    <row r="25" spans="1:11" x14ac:dyDescent="0.4">
      <c r="A25">
        <v>2021</v>
      </c>
      <c r="B25" t="s">
        <v>5</v>
      </c>
      <c r="C25">
        <v>118</v>
      </c>
      <c r="D25">
        <v>100</v>
      </c>
      <c r="E25">
        <v>551</v>
      </c>
      <c r="F25">
        <v>72</v>
      </c>
      <c r="G25">
        <v>89</v>
      </c>
      <c r="H25">
        <v>37</v>
      </c>
      <c r="I25">
        <v>58</v>
      </c>
      <c r="J25">
        <v>265</v>
      </c>
      <c r="K25">
        <v>249</v>
      </c>
    </row>
    <row r="26" spans="1:11" x14ac:dyDescent="0.4">
      <c r="A26">
        <v>2022</v>
      </c>
      <c r="B26" t="s">
        <v>5</v>
      </c>
      <c r="C26">
        <v>75</v>
      </c>
      <c r="D26">
        <v>99</v>
      </c>
      <c r="E26">
        <v>464</v>
      </c>
      <c r="F26">
        <v>36</v>
      </c>
      <c r="G26">
        <v>80</v>
      </c>
      <c r="H26">
        <v>54</v>
      </c>
      <c r="I26">
        <v>84</v>
      </c>
      <c r="J26">
        <v>298</v>
      </c>
      <c r="K26">
        <v>284</v>
      </c>
    </row>
    <row r="27" spans="1:11" x14ac:dyDescent="0.4">
      <c r="A27">
        <v>2023</v>
      </c>
      <c r="B27" t="s">
        <v>5</v>
      </c>
      <c r="C27">
        <v>129</v>
      </c>
      <c r="D27">
        <v>80</v>
      </c>
      <c r="E27">
        <v>526</v>
      </c>
      <c r="F27">
        <v>28</v>
      </c>
      <c r="G27">
        <v>110</v>
      </c>
      <c r="H27">
        <v>54</v>
      </c>
      <c r="I27">
        <v>84</v>
      </c>
      <c r="J27">
        <v>214</v>
      </c>
      <c r="K27">
        <v>461</v>
      </c>
    </row>
    <row r="28" spans="1:11" x14ac:dyDescent="0.4">
      <c r="A28">
        <v>2024</v>
      </c>
      <c r="B28" t="s">
        <v>5</v>
      </c>
      <c r="C28">
        <v>83</v>
      </c>
      <c r="D28">
        <v>176</v>
      </c>
      <c r="E28">
        <v>578</v>
      </c>
      <c r="F28">
        <v>27</v>
      </c>
      <c r="G28">
        <v>110</v>
      </c>
      <c r="H28">
        <v>54</v>
      </c>
      <c r="I28">
        <v>84</v>
      </c>
      <c r="J28">
        <v>584</v>
      </c>
      <c r="K28">
        <v>461</v>
      </c>
    </row>
    <row r="29" spans="1:11" x14ac:dyDescent="0.4">
      <c r="A29">
        <v>2025</v>
      </c>
      <c r="B29" t="s">
        <v>5</v>
      </c>
      <c r="C29">
        <v>316</v>
      </c>
      <c r="D29">
        <v>125</v>
      </c>
      <c r="E29">
        <v>904</v>
      </c>
      <c r="F29">
        <v>58</v>
      </c>
      <c r="G29">
        <v>191</v>
      </c>
      <c r="H29">
        <v>85</v>
      </c>
      <c r="I29">
        <v>166</v>
      </c>
      <c r="J29">
        <v>228</v>
      </c>
      <c r="K29">
        <v>326</v>
      </c>
    </row>
    <row r="30" spans="1:11" x14ac:dyDescent="0.4">
      <c r="A30">
        <v>2026</v>
      </c>
      <c r="B30" t="s">
        <v>5</v>
      </c>
      <c r="C30">
        <v>316</v>
      </c>
      <c r="D30">
        <v>125</v>
      </c>
      <c r="E30">
        <v>904</v>
      </c>
      <c r="F30">
        <v>58</v>
      </c>
      <c r="G30">
        <v>191</v>
      </c>
      <c r="H30">
        <v>85</v>
      </c>
      <c r="I30">
        <v>166</v>
      </c>
      <c r="J30">
        <v>228</v>
      </c>
      <c r="K30">
        <v>326</v>
      </c>
    </row>
    <row r="31" spans="1:11" x14ac:dyDescent="0.4">
      <c r="A31">
        <v>2027</v>
      </c>
      <c r="B31" t="s">
        <v>5</v>
      </c>
      <c r="C31">
        <v>316</v>
      </c>
      <c r="D31">
        <v>125</v>
      </c>
      <c r="E31">
        <v>904</v>
      </c>
      <c r="F31">
        <v>58</v>
      </c>
      <c r="G31">
        <v>191</v>
      </c>
      <c r="H31">
        <v>85</v>
      </c>
      <c r="I31">
        <v>166</v>
      </c>
      <c r="J31">
        <v>228</v>
      </c>
      <c r="K31">
        <v>326</v>
      </c>
    </row>
    <row r="32" spans="1:11" x14ac:dyDescent="0.4">
      <c r="A32">
        <v>2028</v>
      </c>
      <c r="B32" t="s">
        <v>5</v>
      </c>
      <c r="C32">
        <v>344</v>
      </c>
      <c r="D32">
        <v>137</v>
      </c>
      <c r="E32">
        <v>713</v>
      </c>
      <c r="F32">
        <v>63</v>
      </c>
      <c r="G32">
        <v>208</v>
      </c>
      <c r="H32">
        <v>93</v>
      </c>
      <c r="I32">
        <v>180</v>
      </c>
      <c r="J32">
        <v>324</v>
      </c>
      <c r="K32">
        <v>337</v>
      </c>
    </row>
    <row r="33" spans="1:11" x14ac:dyDescent="0.4">
      <c r="A33">
        <v>2029</v>
      </c>
      <c r="B33" t="s">
        <v>5</v>
      </c>
      <c r="C33">
        <v>344</v>
      </c>
      <c r="D33">
        <v>137</v>
      </c>
      <c r="E33">
        <v>713</v>
      </c>
      <c r="F33">
        <v>63</v>
      </c>
      <c r="G33">
        <v>208</v>
      </c>
      <c r="H33">
        <v>93</v>
      </c>
      <c r="I33">
        <v>180</v>
      </c>
      <c r="J33">
        <v>324</v>
      </c>
      <c r="K33">
        <v>337</v>
      </c>
    </row>
    <row r="34" spans="1:11" x14ac:dyDescent="0.4">
      <c r="A34">
        <v>2030</v>
      </c>
      <c r="B34" t="s">
        <v>5</v>
      </c>
      <c r="C34">
        <v>344</v>
      </c>
      <c r="D34">
        <v>137</v>
      </c>
      <c r="E34">
        <v>713</v>
      </c>
      <c r="F34">
        <v>63</v>
      </c>
      <c r="G34">
        <v>208</v>
      </c>
      <c r="H34">
        <v>93</v>
      </c>
      <c r="I34">
        <v>180</v>
      </c>
      <c r="J34">
        <v>324</v>
      </c>
      <c r="K34">
        <v>337</v>
      </c>
    </row>
    <row r="35" spans="1:11" x14ac:dyDescent="0.4">
      <c r="A35">
        <v>2031</v>
      </c>
      <c r="B35" t="s">
        <v>5</v>
      </c>
      <c r="C35">
        <v>344</v>
      </c>
      <c r="D35">
        <v>137</v>
      </c>
      <c r="E35">
        <v>713</v>
      </c>
      <c r="F35">
        <v>63</v>
      </c>
      <c r="G35">
        <v>208</v>
      </c>
      <c r="H35">
        <v>93</v>
      </c>
      <c r="I35">
        <v>180</v>
      </c>
      <c r="J35">
        <v>324</v>
      </c>
      <c r="K35">
        <v>337</v>
      </c>
    </row>
    <row r="36" spans="1:11" x14ac:dyDescent="0.4">
      <c r="A36">
        <v>2032</v>
      </c>
      <c r="B36" t="s">
        <v>5</v>
      </c>
      <c r="C36">
        <v>344</v>
      </c>
      <c r="D36">
        <v>137</v>
      </c>
      <c r="E36">
        <v>713</v>
      </c>
      <c r="F36">
        <v>63</v>
      </c>
      <c r="G36">
        <v>208</v>
      </c>
      <c r="H36">
        <v>93</v>
      </c>
      <c r="I36">
        <v>180</v>
      </c>
      <c r="J36">
        <v>324</v>
      </c>
      <c r="K36">
        <v>337</v>
      </c>
    </row>
    <row r="37" spans="1:11" x14ac:dyDescent="0.4">
      <c r="A37">
        <v>2033</v>
      </c>
      <c r="B37" t="s">
        <v>5</v>
      </c>
      <c r="C37">
        <v>344</v>
      </c>
      <c r="D37">
        <v>137</v>
      </c>
      <c r="E37">
        <v>713</v>
      </c>
      <c r="F37">
        <v>63</v>
      </c>
      <c r="G37">
        <v>208</v>
      </c>
      <c r="H37">
        <v>93</v>
      </c>
      <c r="I37">
        <v>180</v>
      </c>
      <c r="J37">
        <v>324</v>
      </c>
      <c r="K37">
        <v>337</v>
      </c>
    </row>
    <row r="38" spans="1:11" x14ac:dyDescent="0.4">
      <c r="A38">
        <v>2034</v>
      </c>
      <c r="B38" t="s">
        <v>5</v>
      </c>
      <c r="C38">
        <v>344</v>
      </c>
      <c r="D38">
        <v>137</v>
      </c>
      <c r="E38">
        <v>713</v>
      </c>
      <c r="F38">
        <v>63</v>
      </c>
      <c r="G38">
        <v>208</v>
      </c>
      <c r="H38">
        <v>93</v>
      </c>
      <c r="I38">
        <v>180</v>
      </c>
      <c r="J38">
        <v>324</v>
      </c>
      <c r="K38">
        <v>337</v>
      </c>
    </row>
    <row r="39" spans="1:11" x14ac:dyDescent="0.4">
      <c r="A39">
        <v>2035</v>
      </c>
      <c r="B39" t="s">
        <v>5</v>
      </c>
      <c r="C39">
        <v>344</v>
      </c>
      <c r="D39">
        <v>137</v>
      </c>
      <c r="E39">
        <v>713</v>
      </c>
      <c r="F39">
        <v>63</v>
      </c>
      <c r="G39">
        <v>208</v>
      </c>
      <c r="H39">
        <v>93</v>
      </c>
      <c r="I39">
        <v>180</v>
      </c>
      <c r="J39">
        <v>324</v>
      </c>
      <c r="K39">
        <v>337</v>
      </c>
    </row>
    <row r="40" spans="1:11" x14ac:dyDescent="0.4">
      <c r="A40">
        <v>2036</v>
      </c>
      <c r="B40" t="s">
        <v>5</v>
      </c>
      <c r="C40">
        <v>344</v>
      </c>
      <c r="D40">
        <v>137</v>
      </c>
      <c r="E40">
        <v>713</v>
      </c>
      <c r="F40">
        <v>63</v>
      </c>
      <c r="G40">
        <v>208</v>
      </c>
      <c r="H40">
        <v>93</v>
      </c>
      <c r="I40">
        <v>180</v>
      </c>
      <c r="J40">
        <v>324</v>
      </c>
      <c r="K40">
        <v>337</v>
      </c>
    </row>
    <row r="41" spans="1:11" x14ac:dyDescent="0.4">
      <c r="A41">
        <v>2037</v>
      </c>
      <c r="B41" t="s">
        <v>5</v>
      </c>
      <c r="C41">
        <v>344</v>
      </c>
      <c r="D41">
        <v>137</v>
      </c>
      <c r="E41">
        <v>713</v>
      </c>
      <c r="F41">
        <v>63</v>
      </c>
      <c r="G41">
        <v>208</v>
      </c>
      <c r="H41">
        <v>93</v>
      </c>
      <c r="I41">
        <v>180</v>
      </c>
      <c r="J41">
        <v>324</v>
      </c>
      <c r="K41">
        <v>337</v>
      </c>
    </row>
    <row r="42" spans="1:11" x14ac:dyDescent="0.4">
      <c r="A42">
        <v>2038</v>
      </c>
      <c r="B42" t="s">
        <v>5</v>
      </c>
      <c r="C42">
        <v>344</v>
      </c>
      <c r="D42">
        <v>137</v>
      </c>
      <c r="E42">
        <v>713</v>
      </c>
      <c r="F42">
        <v>63</v>
      </c>
      <c r="G42">
        <v>208</v>
      </c>
      <c r="H42">
        <v>93</v>
      </c>
      <c r="I42">
        <v>180</v>
      </c>
      <c r="J42">
        <v>324</v>
      </c>
      <c r="K42">
        <v>337</v>
      </c>
    </row>
    <row r="43" spans="1:11" x14ac:dyDescent="0.4">
      <c r="A43">
        <v>2039</v>
      </c>
      <c r="B43" t="s">
        <v>5</v>
      </c>
      <c r="C43">
        <v>344</v>
      </c>
      <c r="D43">
        <v>137</v>
      </c>
      <c r="E43">
        <v>713</v>
      </c>
      <c r="F43">
        <v>63</v>
      </c>
      <c r="G43">
        <v>208</v>
      </c>
      <c r="H43">
        <v>93</v>
      </c>
      <c r="I43">
        <v>180</v>
      </c>
      <c r="J43">
        <v>324</v>
      </c>
      <c r="K43">
        <v>337</v>
      </c>
    </row>
    <row r="44" spans="1:11" x14ac:dyDescent="0.4">
      <c r="A44">
        <v>2040</v>
      </c>
      <c r="B44" t="s">
        <v>5</v>
      </c>
      <c r="C44">
        <v>344</v>
      </c>
      <c r="D44">
        <v>137</v>
      </c>
      <c r="E44">
        <v>713</v>
      </c>
      <c r="F44">
        <v>63</v>
      </c>
      <c r="G44">
        <v>208</v>
      </c>
      <c r="H44">
        <v>93</v>
      </c>
      <c r="I44">
        <v>180</v>
      </c>
      <c r="J44">
        <v>324</v>
      </c>
      <c r="K44">
        <v>337</v>
      </c>
    </row>
    <row r="45" spans="1:11" x14ac:dyDescent="0.4">
      <c r="A45">
        <v>2041</v>
      </c>
      <c r="B45" t="s">
        <v>5</v>
      </c>
      <c r="C45">
        <v>344</v>
      </c>
      <c r="D45">
        <v>137</v>
      </c>
      <c r="E45">
        <v>713</v>
      </c>
      <c r="F45">
        <v>63</v>
      </c>
      <c r="G45">
        <v>208</v>
      </c>
      <c r="H45">
        <v>93</v>
      </c>
      <c r="I45">
        <v>180</v>
      </c>
      <c r="J45">
        <v>324</v>
      </c>
      <c r="K45">
        <v>337</v>
      </c>
    </row>
    <row r="46" spans="1:11" x14ac:dyDescent="0.4">
      <c r="A46">
        <v>2042</v>
      </c>
      <c r="B46" t="s">
        <v>5</v>
      </c>
      <c r="C46">
        <v>344</v>
      </c>
      <c r="D46">
        <v>137</v>
      </c>
      <c r="E46">
        <v>713</v>
      </c>
      <c r="F46">
        <v>63</v>
      </c>
      <c r="G46">
        <v>208</v>
      </c>
      <c r="H46">
        <v>93</v>
      </c>
      <c r="I46">
        <v>180</v>
      </c>
      <c r="J46">
        <v>324</v>
      </c>
      <c r="K46">
        <v>337</v>
      </c>
    </row>
    <row r="47" spans="1:11" x14ac:dyDescent="0.4">
      <c r="A47">
        <v>2043</v>
      </c>
      <c r="B47" t="s">
        <v>5</v>
      </c>
      <c r="C47">
        <v>344</v>
      </c>
      <c r="D47">
        <v>137</v>
      </c>
      <c r="E47">
        <v>713</v>
      </c>
      <c r="F47">
        <v>63</v>
      </c>
      <c r="G47">
        <v>208</v>
      </c>
      <c r="H47">
        <v>93</v>
      </c>
      <c r="I47">
        <v>180</v>
      </c>
      <c r="J47">
        <v>324</v>
      </c>
      <c r="K47">
        <v>337</v>
      </c>
    </row>
    <row r="48" spans="1:11" x14ac:dyDescent="0.4">
      <c r="A48">
        <v>2044</v>
      </c>
      <c r="B48" t="s">
        <v>5</v>
      </c>
      <c r="C48">
        <v>344</v>
      </c>
      <c r="D48">
        <v>137</v>
      </c>
      <c r="E48">
        <v>713</v>
      </c>
      <c r="F48">
        <v>63</v>
      </c>
      <c r="G48">
        <v>208</v>
      </c>
      <c r="H48">
        <v>93</v>
      </c>
      <c r="I48">
        <v>180</v>
      </c>
      <c r="J48">
        <v>324</v>
      </c>
      <c r="K48">
        <v>337</v>
      </c>
    </row>
    <row r="49" spans="1:11" x14ac:dyDescent="0.4">
      <c r="A49">
        <v>2045</v>
      </c>
      <c r="B49" t="s">
        <v>5</v>
      </c>
      <c r="C49">
        <v>344</v>
      </c>
      <c r="D49">
        <v>137</v>
      </c>
      <c r="E49">
        <v>713</v>
      </c>
      <c r="F49">
        <v>63</v>
      </c>
      <c r="G49">
        <v>208</v>
      </c>
      <c r="H49">
        <v>93</v>
      </c>
      <c r="I49">
        <v>180</v>
      </c>
      <c r="J49">
        <v>324</v>
      </c>
      <c r="K49">
        <v>337</v>
      </c>
    </row>
    <row r="50" spans="1:11" x14ac:dyDescent="0.4">
      <c r="A50">
        <v>2046</v>
      </c>
      <c r="B50" t="s">
        <v>5</v>
      </c>
      <c r="C50">
        <v>344</v>
      </c>
      <c r="D50">
        <v>137</v>
      </c>
      <c r="E50">
        <v>713</v>
      </c>
      <c r="F50">
        <v>63</v>
      </c>
      <c r="G50">
        <v>208</v>
      </c>
      <c r="H50">
        <v>93</v>
      </c>
      <c r="I50">
        <v>180</v>
      </c>
      <c r="J50">
        <v>324</v>
      </c>
      <c r="K50">
        <v>337</v>
      </c>
    </row>
    <row r="51" spans="1:11" x14ac:dyDescent="0.4">
      <c r="A51">
        <v>2047</v>
      </c>
      <c r="B51" t="s">
        <v>5</v>
      </c>
      <c r="C51">
        <v>344</v>
      </c>
      <c r="D51">
        <v>137</v>
      </c>
      <c r="E51">
        <v>713</v>
      </c>
      <c r="F51">
        <v>63</v>
      </c>
      <c r="G51">
        <v>208</v>
      </c>
      <c r="H51">
        <v>93</v>
      </c>
      <c r="I51">
        <v>180</v>
      </c>
      <c r="J51">
        <v>324</v>
      </c>
      <c r="K51">
        <v>337</v>
      </c>
    </row>
    <row r="52" spans="1:11" x14ac:dyDescent="0.4">
      <c r="A52">
        <v>2048</v>
      </c>
      <c r="B52" t="s">
        <v>5</v>
      </c>
      <c r="C52">
        <v>344</v>
      </c>
      <c r="D52">
        <v>137</v>
      </c>
      <c r="E52">
        <v>713</v>
      </c>
      <c r="F52">
        <v>63</v>
      </c>
      <c r="G52">
        <v>208</v>
      </c>
      <c r="H52">
        <v>93</v>
      </c>
      <c r="I52">
        <v>180</v>
      </c>
      <c r="J52">
        <v>324</v>
      </c>
      <c r="K52">
        <v>337</v>
      </c>
    </row>
    <row r="53" spans="1:11" x14ac:dyDescent="0.4">
      <c r="A53">
        <v>2049</v>
      </c>
      <c r="B53" t="s">
        <v>5</v>
      </c>
      <c r="C53">
        <v>344</v>
      </c>
      <c r="D53">
        <v>137</v>
      </c>
      <c r="E53">
        <v>713</v>
      </c>
      <c r="F53">
        <v>63</v>
      </c>
      <c r="G53">
        <v>208</v>
      </c>
      <c r="H53">
        <v>93</v>
      </c>
      <c r="I53">
        <v>180</v>
      </c>
      <c r="J53">
        <v>324</v>
      </c>
      <c r="K53">
        <v>337</v>
      </c>
    </row>
    <row r="54" spans="1:11" x14ac:dyDescent="0.4">
      <c r="A54">
        <v>2050</v>
      </c>
      <c r="B54" t="s">
        <v>5</v>
      </c>
      <c r="C54">
        <v>344</v>
      </c>
      <c r="D54">
        <v>137</v>
      </c>
      <c r="E54">
        <v>713</v>
      </c>
      <c r="F54">
        <v>63</v>
      </c>
      <c r="G54">
        <v>208</v>
      </c>
      <c r="H54">
        <v>93</v>
      </c>
      <c r="I54">
        <v>180</v>
      </c>
      <c r="J54">
        <v>324</v>
      </c>
      <c r="K54">
        <v>337</v>
      </c>
    </row>
    <row r="55" spans="1:11" x14ac:dyDescent="0.4">
      <c r="A55">
        <v>2051</v>
      </c>
      <c r="B55" t="s">
        <v>5</v>
      </c>
      <c r="C55">
        <v>344</v>
      </c>
      <c r="D55">
        <v>137</v>
      </c>
      <c r="E55">
        <v>713</v>
      </c>
      <c r="F55">
        <v>63</v>
      </c>
      <c r="G55">
        <v>208</v>
      </c>
      <c r="H55">
        <v>93</v>
      </c>
      <c r="I55">
        <v>180</v>
      </c>
      <c r="J55">
        <v>324</v>
      </c>
      <c r="K55">
        <v>337</v>
      </c>
    </row>
    <row r="56" spans="1:11" x14ac:dyDescent="0.4">
      <c r="A56">
        <v>2052</v>
      </c>
      <c r="B56" t="s">
        <v>5</v>
      </c>
      <c r="C56">
        <v>344</v>
      </c>
      <c r="D56">
        <v>137</v>
      </c>
      <c r="E56">
        <v>713</v>
      </c>
      <c r="F56">
        <v>63</v>
      </c>
      <c r="G56">
        <v>208</v>
      </c>
      <c r="H56">
        <v>93</v>
      </c>
      <c r="I56">
        <v>180</v>
      </c>
      <c r="J56">
        <v>324</v>
      </c>
      <c r="K56">
        <v>337</v>
      </c>
    </row>
    <row r="57" spans="1:11" x14ac:dyDescent="0.4">
      <c r="A57">
        <v>2053</v>
      </c>
      <c r="B57" t="s">
        <v>5</v>
      </c>
      <c r="C57">
        <v>344</v>
      </c>
      <c r="D57">
        <v>137</v>
      </c>
      <c r="E57">
        <v>713</v>
      </c>
      <c r="F57">
        <v>63</v>
      </c>
      <c r="G57">
        <v>208</v>
      </c>
      <c r="H57">
        <v>93</v>
      </c>
      <c r="I57">
        <v>180</v>
      </c>
      <c r="J57">
        <v>324</v>
      </c>
      <c r="K57">
        <v>337</v>
      </c>
    </row>
    <row r="58" spans="1:11" x14ac:dyDescent="0.4">
      <c r="A58">
        <v>2054</v>
      </c>
      <c r="B58" t="s">
        <v>5</v>
      </c>
      <c r="C58">
        <v>344</v>
      </c>
      <c r="D58">
        <v>137</v>
      </c>
      <c r="E58">
        <v>713</v>
      </c>
      <c r="F58">
        <v>63</v>
      </c>
      <c r="G58">
        <v>208</v>
      </c>
      <c r="H58">
        <v>93</v>
      </c>
      <c r="I58">
        <v>180</v>
      </c>
      <c r="J58">
        <v>324</v>
      </c>
      <c r="K58">
        <v>337</v>
      </c>
    </row>
    <row r="59" spans="1:11" x14ac:dyDescent="0.4">
      <c r="A59">
        <v>2055</v>
      </c>
      <c r="B59" t="s">
        <v>5</v>
      </c>
      <c r="C59">
        <v>344</v>
      </c>
      <c r="D59">
        <v>137</v>
      </c>
      <c r="E59">
        <v>713</v>
      </c>
      <c r="F59">
        <v>63</v>
      </c>
      <c r="G59">
        <v>208</v>
      </c>
      <c r="H59">
        <v>93</v>
      </c>
      <c r="I59">
        <v>180</v>
      </c>
      <c r="J59">
        <v>324</v>
      </c>
      <c r="K59">
        <v>337</v>
      </c>
    </row>
    <row r="60" spans="1:11" x14ac:dyDescent="0.4">
      <c r="A60">
        <v>2056</v>
      </c>
      <c r="B60" t="s">
        <v>5</v>
      </c>
      <c r="C60">
        <v>344</v>
      </c>
      <c r="D60">
        <v>137</v>
      </c>
      <c r="E60">
        <v>713</v>
      </c>
      <c r="F60">
        <v>63</v>
      </c>
      <c r="G60">
        <v>208</v>
      </c>
      <c r="H60">
        <v>93</v>
      </c>
      <c r="I60">
        <v>180</v>
      </c>
      <c r="J60">
        <v>324</v>
      </c>
      <c r="K60">
        <v>337</v>
      </c>
    </row>
    <row r="61" spans="1:11" x14ac:dyDescent="0.4">
      <c r="A61">
        <v>2057</v>
      </c>
      <c r="B61" t="s">
        <v>5</v>
      </c>
      <c r="C61">
        <v>344</v>
      </c>
      <c r="D61">
        <v>137</v>
      </c>
      <c r="E61">
        <v>713</v>
      </c>
      <c r="F61">
        <v>63</v>
      </c>
      <c r="G61">
        <v>208</v>
      </c>
      <c r="H61">
        <v>93</v>
      </c>
      <c r="I61">
        <v>180</v>
      </c>
      <c r="J61">
        <v>324</v>
      </c>
      <c r="K61">
        <v>337</v>
      </c>
    </row>
    <row r="62" spans="1:11" x14ac:dyDescent="0.4">
      <c r="A62">
        <v>2058</v>
      </c>
      <c r="B62" t="s">
        <v>5</v>
      </c>
      <c r="C62">
        <v>344</v>
      </c>
      <c r="D62">
        <v>137</v>
      </c>
      <c r="E62">
        <v>713</v>
      </c>
      <c r="F62">
        <v>63</v>
      </c>
      <c r="G62">
        <v>208</v>
      </c>
      <c r="H62">
        <v>93</v>
      </c>
      <c r="I62">
        <v>180</v>
      </c>
      <c r="J62">
        <v>324</v>
      </c>
      <c r="K62">
        <v>337</v>
      </c>
    </row>
    <row r="63" spans="1:11" x14ac:dyDescent="0.4">
      <c r="A63">
        <v>2059</v>
      </c>
      <c r="B63" t="s">
        <v>5</v>
      </c>
      <c r="C63">
        <v>344</v>
      </c>
      <c r="D63">
        <v>137</v>
      </c>
      <c r="E63">
        <v>713</v>
      </c>
      <c r="F63">
        <v>63</v>
      </c>
      <c r="G63">
        <v>208</v>
      </c>
      <c r="H63">
        <v>93</v>
      </c>
      <c r="I63">
        <v>180</v>
      </c>
      <c r="J63">
        <v>324</v>
      </c>
      <c r="K63">
        <v>337</v>
      </c>
    </row>
    <row r="64" spans="1:11" x14ac:dyDescent="0.4">
      <c r="A64">
        <v>2060</v>
      </c>
      <c r="B64" t="s">
        <v>5</v>
      </c>
      <c r="C64">
        <v>344</v>
      </c>
      <c r="D64">
        <v>137</v>
      </c>
      <c r="E64">
        <v>713</v>
      </c>
      <c r="F64">
        <v>63</v>
      </c>
      <c r="G64">
        <v>208</v>
      </c>
      <c r="H64">
        <v>93</v>
      </c>
      <c r="I64">
        <v>180</v>
      </c>
      <c r="J64">
        <v>324</v>
      </c>
      <c r="K64">
        <v>337</v>
      </c>
    </row>
    <row r="65" spans="1:11" x14ac:dyDescent="0.4">
      <c r="A65">
        <v>2061</v>
      </c>
      <c r="B65" t="s">
        <v>5</v>
      </c>
      <c r="C65">
        <v>344</v>
      </c>
      <c r="D65">
        <v>137</v>
      </c>
      <c r="E65">
        <v>713</v>
      </c>
      <c r="F65">
        <v>63</v>
      </c>
      <c r="G65">
        <v>208</v>
      </c>
      <c r="H65">
        <v>93</v>
      </c>
      <c r="I65">
        <v>180</v>
      </c>
      <c r="J65">
        <v>324</v>
      </c>
      <c r="K65">
        <v>337</v>
      </c>
    </row>
    <row r="66" spans="1:11" x14ac:dyDescent="0.4">
      <c r="A66">
        <v>2062</v>
      </c>
      <c r="B66" t="s">
        <v>5</v>
      </c>
      <c r="C66">
        <v>344</v>
      </c>
      <c r="D66">
        <v>137</v>
      </c>
      <c r="E66">
        <v>713</v>
      </c>
      <c r="F66">
        <v>63</v>
      </c>
      <c r="G66">
        <v>208</v>
      </c>
      <c r="H66">
        <v>93</v>
      </c>
      <c r="I66">
        <v>180</v>
      </c>
      <c r="J66">
        <v>324</v>
      </c>
      <c r="K66">
        <v>337</v>
      </c>
    </row>
    <row r="67" spans="1:11" x14ac:dyDescent="0.4">
      <c r="A67">
        <v>2063</v>
      </c>
      <c r="B67" t="s">
        <v>5</v>
      </c>
      <c r="C67">
        <v>344</v>
      </c>
      <c r="D67">
        <v>137</v>
      </c>
      <c r="E67">
        <v>713</v>
      </c>
      <c r="F67">
        <v>63</v>
      </c>
      <c r="G67">
        <v>208</v>
      </c>
      <c r="H67">
        <v>93</v>
      </c>
      <c r="I67">
        <v>180</v>
      </c>
      <c r="J67">
        <v>324</v>
      </c>
      <c r="K67">
        <v>337</v>
      </c>
    </row>
    <row r="68" spans="1:11" x14ac:dyDescent="0.4">
      <c r="A68">
        <v>2064</v>
      </c>
      <c r="B68" t="s">
        <v>5</v>
      </c>
      <c r="C68">
        <v>344</v>
      </c>
      <c r="D68">
        <v>137</v>
      </c>
      <c r="E68">
        <v>713</v>
      </c>
      <c r="F68">
        <v>63</v>
      </c>
      <c r="G68">
        <v>208</v>
      </c>
      <c r="H68">
        <v>93</v>
      </c>
      <c r="I68">
        <v>180</v>
      </c>
      <c r="J68">
        <v>324</v>
      </c>
      <c r="K68">
        <v>337</v>
      </c>
    </row>
    <row r="69" spans="1:11" x14ac:dyDescent="0.4">
      <c r="A69">
        <v>2065</v>
      </c>
      <c r="B69" t="s">
        <v>5</v>
      </c>
      <c r="C69">
        <v>344</v>
      </c>
      <c r="D69">
        <v>137</v>
      </c>
      <c r="E69">
        <v>713</v>
      </c>
      <c r="F69">
        <v>63</v>
      </c>
      <c r="G69">
        <v>208</v>
      </c>
      <c r="H69">
        <v>93</v>
      </c>
      <c r="I69">
        <v>180</v>
      </c>
      <c r="J69">
        <v>324</v>
      </c>
      <c r="K69">
        <v>337</v>
      </c>
    </row>
    <row r="70" spans="1:11" x14ac:dyDescent="0.4">
      <c r="A70">
        <v>2066</v>
      </c>
      <c r="B70" t="s">
        <v>5</v>
      </c>
      <c r="C70">
        <v>344</v>
      </c>
      <c r="D70">
        <v>137</v>
      </c>
      <c r="E70">
        <v>713</v>
      </c>
      <c r="F70">
        <v>63</v>
      </c>
      <c r="G70">
        <v>208</v>
      </c>
      <c r="H70">
        <v>93</v>
      </c>
      <c r="I70">
        <v>180</v>
      </c>
      <c r="J70">
        <v>324</v>
      </c>
      <c r="K70">
        <v>337</v>
      </c>
    </row>
    <row r="71" spans="1:11" x14ac:dyDescent="0.4">
      <c r="A71">
        <v>2067</v>
      </c>
      <c r="B71" t="s">
        <v>5</v>
      </c>
      <c r="C71">
        <v>344</v>
      </c>
      <c r="D71">
        <v>137</v>
      </c>
      <c r="E71">
        <v>713</v>
      </c>
      <c r="F71">
        <v>63</v>
      </c>
      <c r="G71">
        <v>208</v>
      </c>
      <c r="H71">
        <v>93</v>
      </c>
      <c r="I71">
        <v>180</v>
      </c>
      <c r="J71">
        <v>324</v>
      </c>
      <c r="K71">
        <v>337</v>
      </c>
    </row>
    <row r="72" spans="1:11" x14ac:dyDescent="0.4">
      <c r="A72">
        <v>2068</v>
      </c>
      <c r="B72" t="s">
        <v>5</v>
      </c>
      <c r="C72">
        <v>344</v>
      </c>
      <c r="D72">
        <v>137</v>
      </c>
      <c r="E72">
        <v>713</v>
      </c>
      <c r="F72">
        <v>63</v>
      </c>
      <c r="G72">
        <v>208</v>
      </c>
      <c r="H72">
        <v>93</v>
      </c>
      <c r="I72">
        <v>180</v>
      </c>
      <c r="J72">
        <v>324</v>
      </c>
      <c r="K72">
        <v>337</v>
      </c>
    </row>
    <row r="73" spans="1:11" x14ac:dyDescent="0.4">
      <c r="A73">
        <v>2069</v>
      </c>
      <c r="B73" t="s">
        <v>5</v>
      </c>
      <c r="C73">
        <v>344</v>
      </c>
      <c r="D73">
        <v>137</v>
      </c>
      <c r="E73">
        <v>713</v>
      </c>
      <c r="F73">
        <v>63</v>
      </c>
      <c r="G73">
        <v>208</v>
      </c>
      <c r="H73">
        <v>93</v>
      </c>
      <c r="I73">
        <v>180</v>
      </c>
      <c r="J73">
        <v>324</v>
      </c>
      <c r="K73">
        <v>337</v>
      </c>
    </row>
    <row r="74" spans="1:11" x14ac:dyDescent="0.4">
      <c r="A74">
        <v>2070</v>
      </c>
      <c r="B74" t="s">
        <v>5</v>
      </c>
      <c r="C74">
        <v>344</v>
      </c>
      <c r="D74">
        <v>137</v>
      </c>
      <c r="E74">
        <v>713</v>
      </c>
      <c r="F74">
        <v>63</v>
      </c>
      <c r="G74">
        <v>208</v>
      </c>
      <c r="H74">
        <v>93</v>
      </c>
      <c r="I74">
        <v>180</v>
      </c>
      <c r="J74">
        <v>324</v>
      </c>
      <c r="K74">
        <v>337</v>
      </c>
    </row>
    <row r="75" spans="1:11" x14ac:dyDescent="0.4">
      <c r="A75">
        <v>2071</v>
      </c>
      <c r="B75" t="s">
        <v>5</v>
      </c>
      <c r="C75">
        <v>344</v>
      </c>
      <c r="D75">
        <v>137</v>
      </c>
      <c r="E75">
        <v>713</v>
      </c>
      <c r="F75">
        <v>63</v>
      </c>
      <c r="G75">
        <v>208</v>
      </c>
      <c r="H75">
        <v>93</v>
      </c>
      <c r="I75">
        <v>180</v>
      </c>
      <c r="J75">
        <v>324</v>
      </c>
      <c r="K75">
        <v>337</v>
      </c>
    </row>
    <row r="76" spans="1:11" x14ac:dyDescent="0.4">
      <c r="A76">
        <v>2072</v>
      </c>
      <c r="B76" t="s">
        <v>5</v>
      </c>
      <c r="C76">
        <v>344</v>
      </c>
      <c r="D76">
        <v>137</v>
      </c>
      <c r="E76">
        <v>713</v>
      </c>
      <c r="F76">
        <v>63</v>
      </c>
      <c r="G76">
        <v>208</v>
      </c>
      <c r="H76">
        <v>93</v>
      </c>
      <c r="I76">
        <v>180</v>
      </c>
      <c r="J76">
        <v>324</v>
      </c>
      <c r="K76">
        <v>337</v>
      </c>
    </row>
    <row r="77" spans="1:11" x14ac:dyDescent="0.4">
      <c r="A77">
        <v>2073</v>
      </c>
      <c r="B77" t="s">
        <v>5</v>
      </c>
      <c r="C77">
        <v>344</v>
      </c>
      <c r="D77">
        <v>137</v>
      </c>
      <c r="E77">
        <v>713</v>
      </c>
      <c r="F77">
        <v>63</v>
      </c>
      <c r="G77">
        <v>208</v>
      </c>
      <c r="H77">
        <v>93</v>
      </c>
      <c r="I77">
        <v>180</v>
      </c>
      <c r="J77">
        <v>324</v>
      </c>
      <c r="K77">
        <v>337</v>
      </c>
    </row>
    <row r="78" spans="1:11" x14ac:dyDescent="0.4">
      <c r="A78">
        <v>2074</v>
      </c>
      <c r="B78" t="s">
        <v>5</v>
      </c>
      <c r="C78">
        <v>344</v>
      </c>
      <c r="D78">
        <v>137</v>
      </c>
      <c r="E78">
        <v>713</v>
      </c>
      <c r="F78">
        <v>63</v>
      </c>
      <c r="G78">
        <v>208</v>
      </c>
      <c r="H78">
        <v>93</v>
      </c>
      <c r="I78">
        <v>180</v>
      </c>
      <c r="J78">
        <v>324</v>
      </c>
      <c r="K78">
        <v>337</v>
      </c>
    </row>
    <row r="79" spans="1:11" x14ac:dyDescent="0.4">
      <c r="A79">
        <v>2075</v>
      </c>
      <c r="B79" t="s">
        <v>5</v>
      </c>
      <c r="C79">
        <v>344</v>
      </c>
      <c r="D79">
        <v>137</v>
      </c>
      <c r="E79">
        <v>713</v>
      </c>
      <c r="F79">
        <v>63</v>
      </c>
      <c r="G79">
        <v>208</v>
      </c>
      <c r="H79">
        <v>93</v>
      </c>
      <c r="I79">
        <v>180</v>
      </c>
      <c r="J79">
        <v>324</v>
      </c>
      <c r="K79">
        <v>337</v>
      </c>
    </row>
    <row r="81" spans="1:4" x14ac:dyDescent="0.4">
      <c r="A81" t="s">
        <v>41</v>
      </c>
      <c r="B81" t="s">
        <v>40</v>
      </c>
      <c r="C81" t="s">
        <v>32</v>
      </c>
    </row>
    <row r="83" spans="1:4" x14ac:dyDescent="0.4">
      <c r="A83" t="s">
        <v>22</v>
      </c>
      <c r="B83" t="s">
        <v>39</v>
      </c>
      <c r="C83" t="s">
        <v>38</v>
      </c>
      <c r="D83" t="s">
        <v>88</v>
      </c>
    </row>
    <row r="85" spans="1:4" x14ac:dyDescent="0.4">
      <c r="A85">
        <v>2021</v>
      </c>
      <c r="B85">
        <v>0.13200000000000001</v>
      </c>
      <c r="C85">
        <v>0.83899999999999997</v>
      </c>
      <c r="D85">
        <v>2.9000000000000001E-2</v>
      </c>
    </row>
    <row r="86" spans="1:4" x14ac:dyDescent="0.4">
      <c r="A86">
        <v>2022</v>
      </c>
      <c r="B86">
        <v>0.11899999999999999</v>
      </c>
      <c r="C86">
        <v>0.83899999999999997</v>
      </c>
      <c r="D86">
        <v>4.2000000000000003E-2</v>
      </c>
    </row>
    <row r="87" spans="1:4" x14ac:dyDescent="0.4">
      <c r="A87">
        <v>2023</v>
      </c>
      <c r="B87">
        <v>0.14199999999999999</v>
      </c>
      <c r="C87">
        <v>0.82799999999999996</v>
      </c>
      <c r="D87">
        <v>0.03</v>
      </c>
    </row>
    <row r="88" spans="1:4" x14ac:dyDescent="0.4">
      <c r="A88">
        <v>2024</v>
      </c>
      <c r="B88">
        <v>0.114</v>
      </c>
      <c r="C88">
        <v>0.84799999999999998</v>
      </c>
      <c r="D88">
        <v>3.7999999999999999E-2</v>
      </c>
    </row>
    <row r="89" spans="1:4" x14ac:dyDescent="0.4">
      <c r="A89">
        <v>2025</v>
      </c>
      <c r="B89">
        <v>0.122</v>
      </c>
      <c r="C89">
        <v>0.84299999999999997</v>
      </c>
      <c r="D89">
        <v>3.5000000000000003E-2</v>
      </c>
    </row>
    <row r="90" spans="1:4" x14ac:dyDescent="0.4">
      <c r="A90">
        <v>2026</v>
      </c>
      <c r="B90">
        <v>0.13400000000000001</v>
      </c>
      <c r="C90">
        <v>0.83599999999999997</v>
      </c>
      <c r="D90">
        <v>0.03</v>
      </c>
    </row>
    <row r="91" spans="1:4" x14ac:dyDescent="0.4">
      <c r="A91">
        <v>2027</v>
      </c>
      <c r="B91">
        <v>0.11799999999999999</v>
      </c>
      <c r="C91">
        <v>0.83399999999999996</v>
      </c>
      <c r="D91">
        <v>4.8000000000000001E-2</v>
      </c>
    </row>
    <row r="92" spans="1:4" x14ac:dyDescent="0.4">
      <c r="A92">
        <v>2028</v>
      </c>
      <c r="B92">
        <v>0.108</v>
      </c>
      <c r="C92">
        <v>0.85599999999999998</v>
      </c>
      <c r="D92">
        <v>3.5999999999999997E-2</v>
      </c>
    </row>
    <row r="93" spans="1:4" x14ac:dyDescent="0.4">
      <c r="A93">
        <v>2029</v>
      </c>
      <c r="B93">
        <v>9.7000000000000003E-2</v>
      </c>
      <c r="C93">
        <v>0.85399999999999998</v>
      </c>
      <c r="D93">
        <v>4.9000000000000002E-2</v>
      </c>
    </row>
    <row r="94" spans="1:4" x14ac:dyDescent="0.4">
      <c r="A94">
        <v>2030</v>
      </c>
      <c r="B94">
        <v>9.1999999999999998E-2</v>
      </c>
      <c r="C94">
        <v>0.871</v>
      </c>
      <c r="D94">
        <v>3.6999999999999998E-2</v>
      </c>
    </row>
    <row r="95" spans="1:4" x14ac:dyDescent="0.4">
      <c r="A95">
        <v>2031</v>
      </c>
      <c r="B95">
        <v>0.13800000000000001</v>
      </c>
      <c r="C95">
        <v>0.82699999999999996</v>
      </c>
      <c r="D95">
        <v>3.5000000000000003E-2</v>
      </c>
    </row>
    <row r="96" spans="1:4" x14ac:dyDescent="0.4">
      <c r="A96">
        <v>2032</v>
      </c>
      <c r="B96">
        <v>0.127</v>
      </c>
      <c r="C96">
        <v>0.83699999999999997</v>
      </c>
      <c r="D96">
        <v>3.5999999999999997E-2</v>
      </c>
    </row>
    <row r="97" spans="1:4" x14ac:dyDescent="0.4">
      <c r="A97">
        <v>2033</v>
      </c>
      <c r="B97">
        <v>0.13700000000000001</v>
      </c>
      <c r="C97">
        <v>0.83</v>
      </c>
      <c r="D97">
        <v>3.3000000000000002E-2</v>
      </c>
    </row>
    <row r="98" spans="1:4" x14ac:dyDescent="0.4">
      <c r="A98">
        <v>2034</v>
      </c>
      <c r="B98">
        <v>0.114</v>
      </c>
      <c r="C98">
        <v>0.83399999999999996</v>
      </c>
      <c r="D98">
        <v>5.1999999999999998E-2</v>
      </c>
    </row>
    <row r="99" spans="1:4" x14ac:dyDescent="0.4">
      <c r="A99">
        <v>2035</v>
      </c>
      <c r="B99">
        <v>0.14199999999999999</v>
      </c>
      <c r="C99">
        <v>0.82399999999999995</v>
      </c>
      <c r="D99">
        <v>3.4000000000000002E-2</v>
      </c>
    </row>
    <row r="100" spans="1:4" x14ac:dyDescent="0.4">
      <c r="A100">
        <v>2036</v>
      </c>
      <c r="B100">
        <v>0.108</v>
      </c>
      <c r="C100">
        <v>0.84099999999999997</v>
      </c>
      <c r="D100">
        <v>5.0999999999999997E-2</v>
      </c>
    </row>
    <row r="101" spans="1:4" x14ac:dyDescent="0.4">
      <c r="A101">
        <v>2037</v>
      </c>
      <c r="B101">
        <v>0.122</v>
      </c>
      <c r="C101">
        <v>0.83599999999999997</v>
      </c>
      <c r="D101">
        <v>4.2000000000000003E-2</v>
      </c>
    </row>
    <row r="102" spans="1:4" x14ac:dyDescent="0.4">
      <c r="A102">
        <v>2038</v>
      </c>
      <c r="B102">
        <v>0.112</v>
      </c>
      <c r="C102">
        <v>0.84599999999999997</v>
      </c>
      <c r="D102">
        <v>4.2000000000000003E-2</v>
      </c>
    </row>
    <row r="103" spans="1:4" x14ac:dyDescent="0.4">
      <c r="A103">
        <v>2039</v>
      </c>
      <c r="B103">
        <v>0.11600000000000001</v>
      </c>
      <c r="C103">
        <v>0.84099999999999997</v>
      </c>
      <c r="D103">
        <v>4.2999999999999997E-2</v>
      </c>
    </row>
    <row r="104" spans="1:4" x14ac:dyDescent="0.4">
      <c r="A104">
        <v>2040</v>
      </c>
      <c r="B104">
        <v>0.11600000000000001</v>
      </c>
      <c r="C104">
        <v>0.84499999999999997</v>
      </c>
      <c r="D104">
        <v>3.9E-2</v>
      </c>
    </row>
    <row r="105" spans="1:4" x14ac:dyDescent="0.4">
      <c r="A105">
        <v>2041</v>
      </c>
      <c r="B105">
        <v>0.122</v>
      </c>
      <c r="C105">
        <v>0.83299999999999996</v>
      </c>
      <c r="D105">
        <v>4.4999999999999998E-2</v>
      </c>
    </row>
    <row r="106" spans="1:4" x14ac:dyDescent="0.4">
      <c r="A106">
        <v>2042</v>
      </c>
      <c r="B106">
        <v>0.11600000000000001</v>
      </c>
      <c r="C106">
        <v>0.84499999999999997</v>
      </c>
      <c r="D106">
        <v>3.9E-2</v>
      </c>
    </row>
    <row r="107" spans="1:4" x14ac:dyDescent="0.4">
      <c r="A107">
        <v>2043</v>
      </c>
      <c r="B107">
        <v>0.104</v>
      </c>
      <c r="C107">
        <v>0.85199999999999998</v>
      </c>
      <c r="D107">
        <v>4.3999999999999997E-2</v>
      </c>
    </row>
    <row r="108" spans="1:4" x14ac:dyDescent="0.4">
      <c r="A108">
        <v>2044</v>
      </c>
      <c r="B108">
        <v>0.114</v>
      </c>
      <c r="C108">
        <v>0.84</v>
      </c>
      <c r="D108">
        <v>4.5999999999999999E-2</v>
      </c>
    </row>
    <row r="109" spans="1:4" x14ac:dyDescent="0.4">
      <c r="A109">
        <v>2045</v>
      </c>
      <c r="B109">
        <v>0.107</v>
      </c>
      <c r="C109">
        <v>0.85399999999999998</v>
      </c>
      <c r="D109">
        <v>3.9E-2</v>
      </c>
    </row>
    <row r="110" spans="1:4" x14ac:dyDescent="0.4">
      <c r="A110">
        <v>2046</v>
      </c>
      <c r="B110">
        <v>0.106</v>
      </c>
      <c r="C110">
        <v>0.85399999999999998</v>
      </c>
      <c r="D110">
        <v>0.04</v>
      </c>
    </row>
    <row r="111" spans="1:4" x14ac:dyDescent="0.4">
      <c r="A111">
        <v>2047</v>
      </c>
      <c r="B111">
        <v>0.115</v>
      </c>
      <c r="C111">
        <v>0.83699999999999997</v>
      </c>
      <c r="D111">
        <v>4.8000000000000001E-2</v>
      </c>
    </row>
    <row r="112" spans="1:4" x14ac:dyDescent="0.4">
      <c r="A112">
        <v>2048</v>
      </c>
      <c r="B112">
        <v>0.10199999999999999</v>
      </c>
      <c r="C112">
        <v>0.86199999999999999</v>
      </c>
      <c r="D112">
        <v>3.5999999999999997E-2</v>
      </c>
    </row>
    <row r="113" spans="1:4" x14ac:dyDescent="0.4">
      <c r="A113">
        <v>2049</v>
      </c>
      <c r="B113">
        <v>0.11700000000000001</v>
      </c>
      <c r="C113">
        <v>0.85099999999999998</v>
      </c>
      <c r="D113">
        <v>3.2000000000000001E-2</v>
      </c>
    </row>
    <row r="114" spans="1:4" x14ac:dyDescent="0.4">
      <c r="A114">
        <v>2050</v>
      </c>
      <c r="B114">
        <v>0.108</v>
      </c>
      <c r="C114">
        <v>0.86199999999999999</v>
      </c>
      <c r="D114">
        <v>0.03</v>
      </c>
    </row>
    <row r="115" spans="1:4" x14ac:dyDescent="0.4">
      <c r="A115">
        <v>2051</v>
      </c>
      <c r="B115">
        <v>0.129</v>
      </c>
      <c r="C115">
        <v>0.82199999999999995</v>
      </c>
      <c r="D115">
        <v>4.9000000000000002E-2</v>
      </c>
    </row>
    <row r="116" spans="1:4" x14ac:dyDescent="0.4">
      <c r="A116">
        <v>2052</v>
      </c>
      <c r="B116">
        <v>9.8000000000000004E-2</v>
      </c>
      <c r="C116">
        <v>0.86299999999999999</v>
      </c>
      <c r="D116">
        <v>3.9E-2</v>
      </c>
    </row>
    <row r="117" spans="1:4" x14ac:dyDescent="0.4">
      <c r="A117">
        <v>2053</v>
      </c>
      <c r="B117">
        <v>0.111</v>
      </c>
      <c r="C117">
        <v>0.85499999999999998</v>
      </c>
      <c r="D117">
        <v>3.4000000000000002E-2</v>
      </c>
    </row>
    <row r="118" spans="1:4" x14ac:dyDescent="0.4">
      <c r="A118">
        <v>2054</v>
      </c>
      <c r="B118">
        <v>0.11600000000000001</v>
      </c>
      <c r="C118">
        <v>0.84599999999999997</v>
      </c>
      <c r="D118">
        <v>3.7999999999999999E-2</v>
      </c>
    </row>
    <row r="119" spans="1:4" x14ac:dyDescent="0.4">
      <c r="A119">
        <v>2055</v>
      </c>
      <c r="B119">
        <v>0.14199999999999999</v>
      </c>
      <c r="C119">
        <v>0.82199999999999995</v>
      </c>
      <c r="D119">
        <v>3.5999999999999997E-2</v>
      </c>
    </row>
    <row r="120" spans="1:4" x14ac:dyDescent="0.4">
      <c r="A120">
        <v>2056</v>
      </c>
      <c r="B120">
        <v>0.113</v>
      </c>
      <c r="C120">
        <v>0.84</v>
      </c>
      <c r="D120">
        <v>4.7E-2</v>
      </c>
    </row>
    <row r="121" spans="1:4" x14ac:dyDescent="0.4">
      <c r="A121">
        <v>2057</v>
      </c>
      <c r="B121">
        <v>0.106</v>
      </c>
      <c r="C121">
        <v>0.85299999999999998</v>
      </c>
      <c r="D121">
        <v>4.1000000000000002E-2</v>
      </c>
    </row>
    <row r="122" spans="1:4" x14ac:dyDescent="0.4">
      <c r="A122">
        <v>2058</v>
      </c>
      <c r="B122">
        <v>0.127</v>
      </c>
      <c r="C122">
        <v>0.83699999999999997</v>
      </c>
      <c r="D122">
        <v>3.5999999999999997E-2</v>
      </c>
    </row>
    <row r="123" spans="1:4" x14ac:dyDescent="0.4">
      <c r="A123">
        <v>2059</v>
      </c>
      <c r="B123">
        <v>0.126</v>
      </c>
      <c r="C123">
        <v>0.83599999999999997</v>
      </c>
      <c r="D123">
        <v>3.7999999999999999E-2</v>
      </c>
    </row>
    <row r="124" spans="1:4" x14ac:dyDescent="0.4">
      <c r="A124">
        <v>2060</v>
      </c>
      <c r="B124">
        <v>0.128</v>
      </c>
      <c r="C124">
        <v>0.83399999999999996</v>
      </c>
      <c r="D124">
        <v>3.7999999999999999E-2</v>
      </c>
    </row>
    <row r="125" spans="1:4" x14ac:dyDescent="0.4">
      <c r="A125">
        <v>2061</v>
      </c>
      <c r="B125">
        <v>0.111</v>
      </c>
      <c r="C125">
        <v>0.84799999999999998</v>
      </c>
      <c r="D125">
        <v>4.1000000000000002E-2</v>
      </c>
    </row>
    <row r="126" spans="1:4" x14ac:dyDescent="0.4">
      <c r="A126">
        <v>2062</v>
      </c>
      <c r="B126">
        <v>0.11600000000000001</v>
      </c>
      <c r="C126">
        <v>0.83599999999999997</v>
      </c>
      <c r="D126">
        <v>4.8000000000000001E-2</v>
      </c>
    </row>
    <row r="127" spans="1:4" x14ac:dyDescent="0.4">
      <c r="A127">
        <v>2063</v>
      </c>
      <c r="B127">
        <v>0.128</v>
      </c>
      <c r="C127">
        <v>0.82</v>
      </c>
      <c r="D127">
        <v>5.1999999999999998E-2</v>
      </c>
    </row>
    <row r="128" spans="1:4" x14ac:dyDescent="0.4">
      <c r="A128">
        <v>2064</v>
      </c>
      <c r="B128">
        <v>0.11899999999999999</v>
      </c>
      <c r="C128">
        <v>0.84499999999999997</v>
      </c>
      <c r="D128">
        <v>3.5999999999999997E-2</v>
      </c>
    </row>
    <row r="129" spans="1:4" x14ac:dyDescent="0.4">
      <c r="A129">
        <v>2065</v>
      </c>
      <c r="B129">
        <v>0.14000000000000001</v>
      </c>
      <c r="C129">
        <v>0.81699999999999995</v>
      </c>
      <c r="D129">
        <v>4.2999999999999997E-2</v>
      </c>
    </row>
    <row r="130" spans="1:4" x14ac:dyDescent="0.4">
      <c r="A130">
        <v>2066</v>
      </c>
      <c r="B130">
        <v>0.11600000000000001</v>
      </c>
      <c r="C130">
        <v>0.84799999999999998</v>
      </c>
      <c r="D130">
        <v>3.5999999999999997E-2</v>
      </c>
    </row>
    <row r="131" spans="1:4" x14ac:dyDescent="0.4">
      <c r="A131">
        <v>2067</v>
      </c>
      <c r="B131">
        <v>0.115</v>
      </c>
      <c r="C131">
        <v>0.84799999999999998</v>
      </c>
      <c r="D131">
        <v>3.6999999999999998E-2</v>
      </c>
    </row>
    <row r="132" spans="1:4" x14ac:dyDescent="0.4">
      <c r="A132">
        <v>2068</v>
      </c>
      <c r="B132">
        <v>0.10299999999999999</v>
      </c>
      <c r="C132">
        <v>0.85299999999999998</v>
      </c>
      <c r="D132">
        <v>4.3999999999999997E-2</v>
      </c>
    </row>
    <row r="133" spans="1:4" x14ac:dyDescent="0.4">
      <c r="A133">
        <v>2069</v>
      </c>
      <c r="B133">
        <v>0.11899999999999999</v>
      </c>
      <c r="C133">
        <v>0.83799999999999997</v>
      </c>
      <c r="D133">
        <v>4.2999999999999997E-2</v>
      </c>
    </row>
    <row r="134" spans="1:4" x14ac:dyDescent="0.4">
      <c r="A134">
        <v>2070</v>
      </c>
      <c r="B134">
        <v>0.106</v>
      </c>
      <c r="C134">
        <v>0.84799999999999998</v>
      </c>
      <c r="D134">
        <v>4.5999999999999999E-2</v>
      </c>
    </row>
    <row r="135" spans="1:4" x14ac:dyDescent="0.4">
      <c r="A135">
        <v>2071</v>
      </c>
      <c r="B135">
        <v>0.115</v>
      </c>
      <c r="C135">
        <v>0.84399999999999997</v>
      </c>
      <c r="D135">
        <v>4.1000000000000002E-2</v>
      </c>
    </row>
    <row r="136" spans="1:4" x14ac:dyDescent="0.4">
      <c r="A136">
        <v>2072</v>
      </c>
      <c r="B136">
        <v>0.107</v>
      </c>
      <c r="C136">
        <v>0.84799999999999998</v>
      </c>
      <c r="D136">
        <v>4.4999999999999998E-2</v>
      </c>
    </row>
    <row r="137" spans="1:4" x14ac:dyDescent="0.4">
      <c r="A137">
        <v>2073</v>
      </c>
      <c r="B137">
        <v>0.126</v>
      </c>
      <c r="C137">
        <v>0.82799999999999996</v>
      </c>
      <c r="D137">
        <v>4.5999999999999999E-2</v>
      </c>
    </row>
    <row r="138" spans="1:4" x14ac:dyDescent="0.4">
      <c r="A138">
        <v>2074</v>
      </c>
      <c r="B138">
        <v>0.124</v>
      </c>
      <c r="C138">
        <v>0.83599999999999997</v>
      </c>
      <c r="D138">
        <v>0.04</v>
      </c>
    </row>
    <row r="139" spans="1:4" x14ac:dyDescent="0.4">
      <c r="A139">
        <v>2075</v>
      </c>
      <c r="B139">
        <v>0.13</v>
      </c>
      <c r="C139">
        <v>0.84099999999999997</v>
      </c>
      <c r="D139">
        <v>2.9000000000000001E-2</v>
      </c>
    </row>
    <row r="141" spans="1:4" x14ac:dyDescent="0.4">
      <c r="A141" t="s">
        <v>11</v>
      </c>
      <c r="B141">
        <v>1000</v>
      </c>
      <c r="C141" t="s">
        <v>30</v>
      </c>
    </row>
    <row r="143" spans="1:4" x14ac:dyDescent="0.4">
      <c r="A143" t="s">
        <v>22</v>
      </c>
      <c r="B143" t="s">
        <v>37</v>
      </c>
      <c r="C143" t="s">
        <v>34</v>
      </c>
      <c r="D143" t="s">
        <v>33</v>
      </c>
    </row>
    <row r="144" spans="1:4" x14ac:dyDescent="0.4">
      <c r="A144">
        <v>2021</v>
      </c>
      <c r="B144">
        <v>170.48740000000001</v>
      </c>
      <c r="C144">
        <v>76.726699999999994</v>
      </c>
    </row>
    <row r="145" spans="1:3" x14ac:dyDescent="0.4">
      <c r="A145">
        <v>2022</v>
      </c>
      <c r="B145">
        <v>173.06829999999999</v>
      </c>
      <c r="C145">
        <v>84.117000000000004</v>
      </c>
    </row>
    <row r="146" spans="1:3" x14ac:dyDescent="0.4">
      <c r="A146">
        <v>2023</v>
      </c>
      <c r="B146">
        <v>170.87270000000001</v>
      </c>
      <c r="C146">
        <v>79.775800000000004</v>
      </c>
    </row>
    <row r="147" spans="1:3" x14ac:dyDescent="0.4">
      <c r="A147">
        <v>2024</v>
      </c>
      <c r="B147">
        <v>177.93610000000001</v>
      </c>
      <c r="C147">
        <v>81.279799999999994</v>
      </c>
    </row>
    <row r="148" spans="1:3" x14ac:dyDescent="0.4">
      <c r="A148">
        <v>2025</v>
      </c>
      <c r="B148">
        <v>174.2552</v>
      </c>
      <c r="C148">
        <v>81.260400000000004</v>
      </c>
    </row>
    <row r="149" spans="1:3" x14ac:dyDescent="0.4">
      <c r="A149">
        <v>2026</v>
      </c>
      <c r="B149">
        <v>173.28700000000001</v>
      </c>
      <c r="C149">
        <v>83.503799999999998</v>
      </c>
    </row>
    <row r="150" spans="1:3" x14ac:dyDescent="0.4">
      <c r="A150">
        <v>2027</v>
      </c>
      <c r="B150">
        <v>173.5437</v>
      </c>
      <c r="C150">
        <v>84.492500000000007</v>
      </c>
    </row>
    <row r="151" spans="1:3" x14ac:dyDescent="0.4">
      <c r="A151">
        <v>2028</v>
      </c>
      <c r="B151">
        <v>176.91120000000001</v>
      </c>
      <c r="C151">
        <v>82.173599999999993</v>
      </c>
    </row>
    <row r="152" spans="1:3" x14ac:dyDescent="0.4">
      <c r="A152">
        <v>2029</v>
      </c>
      <c r="B152">
        <v>175.267</v>
      </c>
      <c r="C152">
        <v>82.2423</v>
      </c>
    </row>
    <row r="153" spans="1:3" x14ac:dyDescent="0.4">
      <c r="A153">
        <v>2030</v>
      </c>
      <c r="B153">
        <v>177.31120000000001</v>
      </c>
      <c r="C153">
        <v>87.0886</v>
      </c>
    </row>
    <row r="154" spans="1:3" x14ac:dyDescent="0.4">
      <c r="A154">
        <v>2031</v>
      </c>
      <c r="B154">
        <v>176.65610000000001</v>
      </c>
      <c r="C154">
        <v>82.528099999999995</v>
      </c>
    </row>
    <row r="155" spans="1:3" x14ac:dyDescent="0.4">
      <c r="A155">
        <v>2032</v>
      </c>
      <c r="B155">
        <v>170.0891</v>
      </c>
      <c r="C155">
        <v>76.712699999999998</v>
      </c>
    </row>
    <row r="156" spans="1:3" x14ac:dyDescent="0.4">
      <c r="A156">
        <v>2033</v>
      </c>
      <c r="B156">
        <v>174.88040000000001</v>
      </c>
      <c r="C156">
        <v>77.589600000000004</v>
      </c>
    </row>
    <row r="157" spans="1:3" x14ac:dyDescent="0.4">
      <c r="A157">
        <v>2034</v>
      </c>
      <c r="B157">
        <v>173.3947</v>
      </c>
      <c r="C157">
        <v>87.918199999999999</v>
      </c>
    </row>
    <row r="158" spans="1:3" x14ac:dyDescent="0.4">
      <c r="A158">
        <v>2035</v>
      </c>
      <c r="B158">
        <v>170.94820000000001</v>
      </c>
      <c r="C158">
        <v>81.374799999999993</v>
      </c>
    </row>
    <row r="159" spans="1:3" x14ac:dyDescent="0.4">
      <c r="A159">
        <v>2036</v>
      </c>
      <c r="B159">
        <v>177.0676</v>
      </c>
      <c r="C159">
        <v>86.444800000000001</v>
      </c>
    </row>
    <row r="160" spans="1:3" x14ac:dyDescent="0.4">
      <c r="A160">
        <v>2037</v>
      </c>
      <c r="B160">
        <v>177.15190000000001</v>
      </c>
      <c r="C160">
        <v>81.605099999999993</v>
      </c>
    </row>
    <row r="161" spans="1:3" x14ac:dyDescent="0.4">
      <c r="A161">
        <v>2038</v>
      </c>
      <c r="B161">
        <v>176.0718</v>
      </c>
      <c r="C161">
        <v>106.0736</v>
      </c>
    </row>
    <row r="162" spans="1:3" x14ac:dyDescent="0.4">
      <c r="A162">
        <v>2039</v>
      </c>
      <c r="B162">
        <v>173.43219999999999</v>
      </c>
      <c r="C162">
        <v>80.494100000000003</v>
      </c>
    </row>
    <row r="163" spans="1:3" x14ac:dyDescent="0.4">
      <c r="A163">
        <v>2040</v>
      </c>
      <c r="B163">
        <v>175.8681</v>
      </c>
      <c r="C163">
        <v>87.177800000000005</v>
      </c>
    </row>
    <row r="164" spans="1:3" x14ac:dyDescent="0.4">
      <c r="A164">
        <v>2041</v>
      </c>
      <c r="B164">
        <v>173.51329999999999</v>
      </c>
      <c r="C164">
        <v>75.915499999999994</v>
      </c>
    </row>
    <row r="165" spans="1:3" x14ac:dyDescent="0.4">
      <c r="A165">
        <v>2042</v>
      </c>
      <c r="B165">
        <v>172.43440000000001</v>
      </c>
      <c r="C165">
        <v>80.503100000000003</v>
      </c>
    </row>
    <row r="166" spans="1:3" x14ac:dyDescent="0.4">
      <c r="A166">
        <v>2043</v>
      </c>
      <c r="B166">
        <v>176.834</v>
      </c>
      <c r="C166">
        <v>84.168800000000005</v>
      </c>
    </row>
    <row r="167" spans="1:3" x14ac:dyDescent="0.4">
      <c r="A167">
        <v>2044</v>
      </c>
      <c r="B167">
        <v>174.31630000000001</v>
      </c>
      <c r="C167">
        <v>90.3386</v>
      </c>
    </row>
    <row r="168" spans="1:3" x14ac:dyDescent="0.4">
      <c r="A168">
        <v>2045</v>
      </c>
      <c r="B168">
        <v>172.45859999999999</v>
      </c>
      <c r="C168">
        <v>81.789699999999996</v>
      </c>
    </row>
    <row r="169" spans="1:3" x14ac:dyDescent="0.4">
      <c r="A169">
        <v>2046</v>
      </c>
      <c r="B169">
        <v>175.94890000000001</v>
      </c>
      <c r="C169">
        <v>85.3887</v>
      </c>
    </row>
    <row r="170" spans="1:3" x14ac:dyDescent="0.4">
      <c r="A170">
        <v>2047</v>
      </c>
      <c r="B170">
        <v>172.7071</v>
      </c>
      <c r="C170">
        <v>80.366600000000005</v>
      </c>
    </row>
    <row r="171" spans="1:3" x14ac:dyDescent="0.4">
      <c r="A171">
        <v>2048</v>
      </c>
      <c r="B171">
        <v>172.3032</v>
      </c>
      <c r="C171">
        <v>77.693299999999994</v>
      </c>
    </row>
    <row r="172" spans="1:3" x14ac:dyDescent="0.4">
      <c r="A172">
        <v>2049</v>
      </c>
      <c r="B172">
        <v>173.7782</v>
      </c>
      <c r="C172">
        <v>78.495900000000006</v>
      </c>
    </row>
    <row r="173" spans="1:3" x14ac:dyDescent="0.4">
      <c r="A173">
        <v>2050</v>
      </c>
      <c r="B173">
        <v>175.45820000000001</v>
      </c>
      <c r="C173">
        <v>78.851500000000001</v>
      </c>
    </row>
    <row r="174" spans="1:3" x14ac:dyDescent="0.4">
      <c r="A174">
        <v>2051</v>
      </c>
      <c r="B174">
        <v>169.81110000000001</v>
      </c>
      <c r="C174">
        <v>78.681399999999996</v>
      </c>
    </row>
    <row r="175" spans="1:3" x14ac:dyDescent="0.4">
      <c r="A175">
        <v>2052</v>
      </c>
      <c r="B175">
        <v>179.1584</v>
      </c>
      <c r="C175">
        <v>88.607900000000001</v>
      </c>
    </row>
    <row r="176" spans="1:3" x14ac:dyDescent="0.4">
      <c r="A176">
        <v>2053</v>
      </c>
      <c r="B176">
        <v>177.875</v>
      </c>
      <c r="C176">
        <v>84.03</v>
      </c>
    </row>
    <row r="177" spans="1:3" x14ac:dyDescent="0.4">
      <c r="A177">
        <v>2054</v>
      </c>
      <c r="B177">
        <v>180.50280000000001</v>
      </c>
      <c r="C177">
        <v>80.583699999999993</v>
      </c>
    </row>
    <row r="178" spans="1:3" x14ac:dyDescent="0.4">
      <c r="A178">
        <v>2055</v>
      </c>
      <c r="B178">
        <v>170.05019999999999</v>
      </c>
      <c r="C178">
        <v>82.121200000000002</v>
      </c>
    </row>
    <row r="179" spans="1:3" x14ac:dyDescent="0.4">
      <c r="A179">
        <v>2056</v>
      </c>
      <c r="B179">
        <v>176.9271</v>
      </c>
      <c r="C179">
        <v>85.600899999999996</v>
      </c>
    </row>
    <row r="180" spans="1:3" x14ac:dyDescent="0.4">
      <c r="A180">
        <v>2057</v>
      </c>
      <c r="B180">
        <v>173.1276</v>
      </c>
      <c r="C180">
        <v>88.698800000000006</v>
      </c>
    </row>
    <row r="181" spans="1:3" x14ac:dyDescent="0.4">
      <c r="A181">
        <v>2058</v>
      </c>
      <c r="B181">
        <v>171.90039999999999</v>
      </c>
      <c r="C181">
        <v>81.584400000000002</v>
      </c>
    </row>
    <row r="182" spans="1:3" x14ac:dyDescent="0.4">
      <c r="A182">
        <v>2059</v>
      </c>
      <c r="B182">
        <v>172.8946</v>
      </c>
      <c r="C182">
        <v>80.055899999999994</v>
      </c>
    </row>
    <row r="183" spans="1:3" x14ac:dyDescent="0.4">
      <c r="A183">
        <v>2060</v>
      </c>
      <c r="B183">
        <v>169.30420000000001</v>
      </c>
      <c r="C183">
        <v>82.353399999999993</v>
      </c>
    </row>
    <row r="184" spans="1:3" x14ac:dyDescent="0.4">
      <c r="A184">
        <v>2061</v>
      </c>
      <c r="B184">
        <v>173.7516</v>
      </c>
      <c r="C184">
        <v>86.773300000000006</v>
      </c>
    </row>
    <row r="185" spans="1:3" x14ac:dyDescent="0.4">
      <c r="A185">
        <v>2062</v>
      </c>
      <c r="B185">
        <v>171.02719999999999</v>
      </c>
      <c r="C185">
        <v>88.9649</v>
      </c>
    </row>
    <row r="186" spans="1:3" x14ac:dyDescent="0.4">
      <c r="A186">
        <v>2063</v>
      </c>
      <c r="B186">
        <v>170.6019</v>
      </c>
      <c r="C186">
        <v>76.618300000000005</v>
      </c>
    </row>
    <row r="187" spans="1:3" x14ac:dyDescent="0.4">
      <c r="A187">
        <v>2064</v>
      </c>
      <c r="B187">
        <v>174.55090000000001</v>
      </c>
      <c r="C187">
        <v>79.024500000000003</v>
      </c>
    </row>
    <row r="188" spans="1:3" x14ac:dyDescent="0.4">
      <c r="A188">
        <v>2065</v>
      </c>
      <c r="B188">
        <v>173.2501</v>
      </c>
      <c r="C188">
        <v>82.099800000000002</v>
      </c>
    </row>
    <row r="189" spans="1:3" x14ac:dyDescent="0.4">
      <c r="A189">
        <v>2066</v>
      </c>
      <c r="B189">
        <v>174.15710000000001</v>
      </c>
      <c r="C189">
        <v>78.714100000000002</v>
      </c>
    </row>
    <row r="190" spans="1:3" x14ac:dyDescent="0.4">
      <c r="A190">
        <v>2067</v>
      </c>
      <c r="B190">
        <v>173.04349999999999</v>
      </c>
      <c r="C190">
        <v>79.210999999999999</v>
      </c>
    </row>
    <row r="191" spans="1:3" x14ac:dyDescent="0.4">
      <c r="A191">
        <v>2068</v>
      </c>
      <c r="B191">
        <v>174.4288</v>
      </c>
      <c r="C191">
        <v>81.472899999999996</v>
      </c>
    </row>
    <row r="192" spans="1:3" x14ac:dyDescent="0.4">
      <c r="A192">
        <v>2069</v>
      </c>
      <c r="B192">
        <v>173.57509999999999</v>
      </c>
      <c r="C192">
        <v>78.594300000000004</v>
      </c>
    </row>
    <row r="193" spans="1:11" x14ac:dyDescent="0.4">
      <c r="A193">
        <v>2070</v>
      </c>
      <c r="B193">
        <v>172.02289999999999</v>
      </c>
      <c r="C193">
        <v>78.293499999999995</v>
      </c>
    </row>
    <row r="194" spans="1:11" x14ac:dyDescent="0.4">
      <c r="A194">
        <v>2071</v>
      </c>
      <c r="B194">
        <v>178.04069999999999</v>
      </c>
      <c r="C194">
        <v>86.699399999999997</v>
      </c>
    </row>
    <row r="195" spans="1:11" x14ac:dyDescent="0.4">
      <c r="A195">
        <v>2072</v>
      </c>
      <c r="B195">
        <v>174.48939999999999</v>
      </c>
      <c r="C195">
        <v>81.023099999999999</v>
      </c>
    </row>
    <row r="196" spans="1:11" x14ac:dyDescent="0.4">
      <c r="A196">
        <v>2073</v>
      </c>
      <c r="B196">
        <v>172.96260000000001</v>
      </c>
      <c r="C196">
        <v>76.845699999999994</v>
      </c>
    </row>
    <row r="197" spans="1:11" x14ac:dyDescent="0.4">
      <c r="A197">
        <v>2074</v>
      </c>
      <c r="B197">
        <v>175.2406</v>
      </c>
      <c r="C197">
        <v>92.489099999999993</v>
      </c>
    </row>
    <row r="198" spans="1:11" x14ac:dyDescent="0.4">
      <c r="A198">
        <v>2075</v>
      </c>
      <c r="B198">
        <v>168.19720000000001</v>
      </c>
      <c r="C198">
        <v>75.911000000000001</v>
      </c>
    </row>
    <row r="200" spans="1:11" x14ac:dyDescent="0.4">
      <c r="A200" t="s">
        <v>11</v>
      </c>
      <c r="B200" t="s">
        <v>32</v>
      </c>
    </row>
    <row r="202" spans="1:11" x14ac:dyDescent="0.4">
      <c r="A202" t="s">
        <v>22</v>
      </c>
      <c r="B202" t="s">
        <v>37</v>
      </c>
      <c r="C202" s="2">
        <v>0.01</v>
      </c>
      <c r="D202" s="2">
        <v>0.05</v>
      </c>
      <c r="E202" s="2">
        <v>0.1</v>
      </c>
      <c r="F202" s="2">
        <v>0.25</v>
      </c>
      <c r="G202" s="2">
        <v>0.5</v>
      </c>
      <c r="H202" s="2">
        <v>0.75</v>
      </c>
      <c r="I202" s="2">
        <v>0.9</v>
      </c>
      <c r="J202" s="2">
        <v>0.95</v>
      </c>
      <c r="K202" s="2">
        <v>0.99</v>
      </c>
    </row>
    <row r="203" spans="1:11" x14ac:dyDescent="0.4">
      <c r="A203">
        <v>2021</v>
      </c>
      <c r="B203">
        <v>68.584400000000002</v>
      </c>
      <c r="C203">
        <v>70.063599999999994</v>
      </c>
      <c r="D203">
        <v>76.752300000000005</v>
      </c>
      <c r="E203">
        <v>105.02630000000001</v>
      </c>
      <c r="F203">
        <v>168.3272</v>
      </c>
      <c r="G203">
        <v>235.26220000000001</v>
      </c>
      <c r="H203">
        <v>278.58999999999997</v>
      </c>
      <c r="I203">
        <v>306.41879999999998</v>
      </c>
      <c r="J203">
        <v>323.32839999999999</v>
      </c>
    </row>
    <row r="204" spans="1:11" x14ac:dyDescent="0.4">
      <c r="A204">
        <v>2022</v>
      </c>
      <c r="B204">
        <v>68.499399999999994</v>
      </c>
      <c r="C204">
        <v>69.900099999999995</v>
      </c>
      <c r="D204">
        <v>77.223500000000001</v>
      </c>
      <c r="E204">
        <v>101.62130000000001</v>
      </c>
      <c r="F204">
        <v>168.41059999999999</v>
      </c>
      <c r="G204">
        <v>235.76429999999999</v>
      </c>
      <c r="H204">
        <v>275.97989999999999</v>
      </c>
      <c r="I204">
        <v>309.46570000000003</v>
      </c>
      <c r="J204">
        <v>325.39460000000003</v>
      </c>
    </row>
    <row r="205" spans="1:11" x14ac:dyDescent="0.4">
      <c r="A205">
        <v>2023</v>
      </c>
      <c r="B205">
        <v>68.765000000000001</v>
      </c>
      <c r="C205">
        <v>70.105800000000002</v>
      </c>
      <c r="D205">
        <v>78.702600000000004</v>
      </c>
      <c r="E205">
        <v>100.4616</v>
      </c>
      <c r="F205">
        <v>168.28479999999999</v>
      </c>
      <c r="G205">
        <v>235.51140000000001</v>
      </c>
      <c r="H205">
        <v>273.98669999999998</v>
      </c>
      <c r="I205">
        <v>299.55799999999999</v>
      </c>
      <c r="J205">
        <v>321.70080000000002</v>
      </c>
    </row>
    <row r="206" spans="1:11" x14ac:dyDescent="0.4">
      <c r="A206">
        <v>2024</v>
      </c>
      <c r="B206">
        <v>68.663499999999999</v>
      </c>
      <c r="C206">
        <v>70.486500000000007</v>
      </c>
      <c r="D206">
        <v>78.983800000000002</v>
      </c>
      <c r="E206">
        <v>106.4195</v>
      </c>
      <c r="F206">
        <v>172.0335</v>
      </c>
      <c r="G206">
        <v>239.1893</v>
      </c>
      <c r="H206">
        <v>281.99950000000001</v>
      </c>
      <c r="I206">
        <v>310.52890000000002</v>
      </c>
      <c r="J206">
        <v>365.96749999999997</v>
      </c>
    </row>
    <row r="207" spans="1:11" x14ac:dyDescent="0.4">
      <c r="A207">
        <v>2025</v>
      </c>
      <c r="B207">
        <v>68.686099999999996</v>
      </c>
      <c r="C207">
        <v>70.224000000000004</v>
      </c>
      <c r="D207">
        <v>79.077100000000002</v>
      </c>
      <c r="E207">
        <v>104.45659999999999</v>
      </c>
      <c r="F207">
        <v>167.92910000000001</v>
      </c>
      <c r="G207">
        <v>239.91329999999999</v>
      </c>
      <c r="H207">
        <v>286.16879999999998</v>
      </c>
      <c r="I207">
        <v>307.8399</v>
      </c>
      <c r="J207">
        <v>337.61219999999997</v>
      </c>
    </row>
    <row r="208" spans="1:11" x14ac:dyDescent="0.4">
      <c r="A208">
        <v>2026</v>
      </c>
      <c r="B208">
        <v>68.487399999999994</v>
      </c>
      <c r="C208">
        <v>70.689499999999995</v>
      </c>
      <c r="D208">
        <v>79.395799999999994</v>
      </c>
      <c r="E208">
        <v>103.2093</v>
      </c>
      <c r="F208">
        <v>168.36840000000001</v>
      </c>
      <c r="G208">
        <v>236.6046</v>
      </c>
      <c r="H208">
        <v>282.55579999999998</v>
      </c>
      <c r="I208">
        <v>311.90600000000001</v>
      </c>
      <c r="J208">
        <v>334.38650000000001</v>
      </c>
    </row>
    <row r="209" spans="1:10" x14ac:dyDescent="0.4">
      <c r="A209">
        <v>2027</v>
      </c>
      <c r="B209">
        <v>68.659000000000006</v>
      </c>
      <c r="C209">
        <v>69.811899999999994</v>
      </c>
      <c r="D209">
        <v>76.861800000000002</v>
      </c>
      <c r="E209">
        <v>99.737899999999996</v>
      </c>
      <c r="F209">
        <v>168.5549</v>
      </c>
      <c r="G209">
        <v>238.2705</v>
      </c>
      <c r="H209">
        <v>281.13319999999999</v>
      </c>
      <c r="I209">
        <v>311.68029999999999</v>
      </c>
      <c r="J209">
        <v>379.07929999999999</v>
      </c>
    </row>
    <row r="210" spans="1:10" x14ac:dyDescent="0.4">
      <c r="A210">
        <v>2028</v>
      </c>
      <c r="B210">
        <v>68.820599999999999</v>
      </c>
      <c r="C210">
        <v>72.410300000000007</v>
      </c>
      <c r="D210">
        <v>80.814700000000002</v>
      </c>
      <c r="E210">
        <v>107.28019999999999</v>
      </c>
      <c r="F210">
        <v>170.0598</v>
      </c>
      <c r="G210">
        <v>237.655</v>
      </c>
      <c r="H210">
        <v>278.02910000000003</v>
      </c>
      <c r="I210">
        <v>303.10180000000003</v>
      </c>
      <c r="J210">
        <v>322.85820000000001</v>
      </c>
    </row>
    <row r="211" spans="1:10" x14ac:dyDescent="0.4">
      <c r="A211">
        <v>2029</v>
      </c>
      <c r="B211">
        <v>68.633300000000006</v>
      </c>
      <c r="C211">
        <v>71.421499999999995</v>
      </c>
      <c r="D211">
        <v>78.594200000000001</v>
      </c>
      <c r="E211">
        <v>104.11839999999999</v>
      </c>
      <c r="F211">
        <v>168.47559999999999</v>
      </c>
      <c r="G211">
        <v>247.84710000000001</v>
      </c>
      <c r="H211">
        <v>277.60120000000001</v>
      </c>
      <c r="I211">
        <v>306.17790000000002</v>
      </c>
      <c r="J211">
        <v>353.97820000000002</v>
      </c>
    </row>
    <row r="212" spans="1:10" x14ac:dyDescent="0.4">
      <c r="A212">
        <v>2030</v>
      </c>
      <c r="B212">
        <v>68.625900000000001</v>
      </c>
      <c r="C212">
        <v>70.212299999999999</v>
      </c>
      <c r="D212">
        <v>78.540400000000005</v>
      </c>
      <c r="E212">
        <v>104.56950000000001</v>
      </c>
      <c r="F212">
        <v>170.3904</v>
      </c>
      <c r="G212">
        <v>238.91720000000001</v>
      </c>
      <c r="H212">
        <v>281.59859999999998</v>
      </c>
      <c r="I212">
        <v>306.69529999999997</v>
      </c>
      <c r="J212">
        <v>381.488</v>
      </c>
    </row>
    <row r="213" spans="1:10" x14ac:dyDescent="0.4">
      <c r="A213">
        <v>2031</v>
      </c>
      <c r="B213">
        <v>68.710599999999999</v>
      </c>
      <c r="C213">
        <v>73.084699999999998</v>
      </c>
      <c r="D213">
        <v>80.588099999999997</v>
      </c>
      <c r="E213">
        <v>108.9545</v>
      </c>
      <c r="F213">
        <v>171.06479999999999</v>
      </c>
      <c r="G213">
        <v>237.30869999999999</v>
      </c>
      <c r="H213">
        <v>276.6472</v>
      </c>
      <c r="I213">
        <v>302.49419999999998</v>
      </c>
      <c r="J213">
        <v>325.04399999999998</v>
      </c>
    </row>
    <row r="214" spans="1:10" x14ac:dyDescent="0.4">
      <c r="A214">
        <v>2032</v>
      </c>
      <c r="B214">
        <v>68.711399999999998</v>
      </c>
      <c r="C214">
        <v>70.611800000000002</v>
      </c>
      <c r="D214">
        <v>79.558800000000005</v>
      </c>
      <c r="E214">
        <v>103.07210000000001</v>
      </c>
      <c r="F214">
        <v>168.09899999999999</v>
      </c>
      <c r="G214">
        <v>232.39689999999999</v>
      </c>
      <c r="H214">
        <v>272.54939999999999</v>
      </c>
      <c r="I214">
        <v>302.11919999999998</v>
      </c>
      <c r="J214">
        <v>328.94560000000001</v>
      </c>
    </row>
    <row r="215" spans="1:10" x14ac:dyDescent="0.4">
      <c r="A215">
        <v>2033</v>
      </c>
      <c r="B215">
        <v>68.734099999999998</v>
      </c>
      <c r="C215">
        <v>71.261200000000002</v>
      </c>
      <c r="D215">
        <v>79.4178</v>
      </c>
      <c r="E215">
        <v>108.5487</v>
      </c>
      <c r="F215">
        <v>168.5822</v>
      </c>
      <c r="G215">
        <v>236.34880000000001</v>
      </c>
      <c r="H215">
        <v>278.53980000000001</v>
      </c>
      <c r="I215">
        <v>304.72269999999997</v>
      </c>
      <c r="J215">
        <v>323.23500000000001</v>
      </c>
    </row>
    <row r="216" spans="1:10" x14ac:dyDescent="0.4">
      <c r="A216">
        <v>2034</v>
      </c>
      <c r="B216">
        <v>68.549800000000005</v>
      </c>
      <c r="C216">
        <v>69.866</v>
      </c>
      <c r="D216">
        <v>78.113</v>
      </c>
      <c r="E216">
        <v>101.23009999999999</v>
      </c>
      <c r="F216">
        <v>168.3879</v>
      </c>
      <c r="G216">
        <v>232.9796</v>
      </c>
      <c r="H216">
        <v>280.35340000000002</v>
      </c>
      <c r="I216">
        <v>306.21039999999999</v>
      </c>
      <c r="J216">
        <v>409.8587</v>
      </c>
    </row>
    <row r="217" spans="1:10" x14ac:dyDescent="0.4">
      <c r="A217">
        <v>2035</v>
      </c>
      <c r="B217">
        <v>68.488900000000001</v>
      </c>
      <c r="C217">
        <v>69.768100000000004</v>
      </c>
      <c r="D217">
        <v>77.552899999999994</v>
      </c>
      <c r="E217">
        <v>101.152</v>
      </c>
      <c r="F217">
        <v>168.0061</v>
      </c>
      <c r="G217">
        <v>234.00110000000001</v>
      </c>
      <c r="H217">
        <v>279.36130000000003</v>
      </c>
      <c r="I217">
        <v>308.2747</v>
      </c>
      <c r="J217">
        <v>324.41230000000002</v>
      </c>
    </row>
    <row r="218" spans="1:10" x14ac:dyDescent="0.4">
      <c r="A218">
        <v>2036</v>
      </c>
      <c r="B218">
        <v>69.019499999999994</v>
      </c>
      <c r="C218">
        <v>71.0685</v>
      </c>
      <c r="D218">
        <v>79.222099999999998</v>
      </c>
      <c r="E218">
        <v>106.76439999999999</v>
      </c>
      <c r="F218">
        <v>169.95050000000001</v>
      </c>
      <c r="G218">
        <v>235.27010000000001</v>
      </c>
      <c r="H218">
        <v>285.27699999999999</v>
      </c>
      <c r="I218">
        <v>306.88060000000002</v>
      </c>
      <c r="J218">
        <v>431.57150000000001</v>
      </c>
    </row>
    <row r="219" spans="1:10" x14ac:dyDescent="0.4">
      <c r="A219">
        <v>2037</v>
      </c>
      <c r="B219">
        <v>68.843599999999995</v>
      </c>
      <c r="C219">
        <v>73.962199999999996</v>
      </c>
      <c r="D219">
        <v>81.360699999999994</v>
      </c>
      <c r="E219">
        <v>106.54519999999999</v>
      </c>
      <c r="F219">
        <v>168.6876</v>
      </c>
      <c r="G219">
        <v>239.6189</v>
      </c>
      <c r="H219">
        <v>288.88619999999997</v>
      </c>
      <c r="I219">
        <v>312.17380000000003</v>
      </c>
      <c r="J219">
        <v>325.53070000000002</v>
      </c>
    </row>
    <row r="220" spans="1:10" x14ac:dyDescent="0.4">
      <c r="A220">
        <v>2038</v>
      </c>
      <c r="B220">
        <v>68.601200000000006</v>
      </c>
      <c r="C220">
        <v>71.276300000000006</v>
      </c>
      <c r="D220">
        <v>78.915199999999999</v>
      </c>
      <c r="E220">
        <v>105.1088</v>
      </c>
      <c r="F220">
        <v>168.77379999999999</v>
      </c>
      <c r="G220">
        <v>234.16759999999999</v>
      </c>
      <c r="H220">
        <v>278.33339999999998</v>
      </c>
      <c r="I220">
        <v>309.10419999999999</v>
      </c>
      <c r="J220">
        <v>330.68819999999999</v>
      </c>
    </row>
    <row r="221" spans="1:10" x14ac:dyDescent="0.4">
      <c r="A221">
        <v>2039</v>
      </c>
      <c r="B221">
        <v>68.518699999999995</v>
      </c>
      <c r="C221">
        <v>69.617000000000004</v>
      </c>
      <c r="D221">
        <v>77.253</v>
      </c>
      <c r="E221">
        <v>103.992</v>
      </c>
      <c r="F221">
        <v>168.2337</v>
      </c>
      <c r="G221">
        <v>237.2046</v>
      </c>
      <c r="H221">
        <v>280.24349999999998</v>
      </c>
      <c r="I221">
        <v>307.2901</v>
      </c>
      <c r="J221">
        <v>342.6422</v>
      </c>
    </row>
    <row r="222" spans="1:10" x14ac:dyDescent="0.4">
      <c r="A222">
        <v>2040</v>
      </c>
      <c r="B222">
        <v>68.450800000000001</v>
      </c>
      <c r="C222">
        <v>69.712299999999999</v>
      </c>
      <c r="D222">
        <v>78.616500000000002</v>
      </c>
      <c r="E222">
        <v>102.7475</v>
      </c>
      <c r="F222">
        <v>169.1474</v>
      </c>
      <c r="G222">
        <v>238.53020000000001</v>
      </c>
      <c r="H222">
        <v>286.12139999999999</v>
      </c>
      <c r="I222">
        <v>309.99680000000001</v>
      </c>
      <c r="J222">
        <v>343.02809999999999</v>
      </c>
    </row>
    <row r="223" spans="1:10" x14ac:dyDescent="0.4">
      <c r="A223">
        <v>2041</v>
      </c>
      <c r="B223">
        <v>68.709900000000005</v>
      </c>
      <c r="C223">
        <v>69.892899999999997</v>
      </c>
      <c r="D223">
        <v>79.693299999999994</v>
      </c>
      <c r="E223">
        <v>107.093</v>
      </c>
      <c r="F223">
        <v>168.63829999999999</v>
      </c>
      <c r="G223">
        <v>235.97669999999999</v>
      </c>
      <c r="H223">
        <v>278.12110000000001</v>
      </c>
      <c r="I223">
        <v>302.81779999999998</v>
      </c>
      <c r="J223">
        <v>322.8725</v>
      </c>
    </row>
    <row r="224" spans="1:10" x14ac:dyDescent="0.4">
      <c r="A224">
        <v>2042</v>
      </c>
      <c r="B224">
        <v>68.559700000000007</v>
      </c>
      <c r="C224">
        <v>69.736699999999999</v>
      </c>
      <c r="D224">
        <v>78.373599999999996</v>
      </c>
      <c r="E224">
        <v>103.0548</v>
      </c>
      <c r="F224">
        <v>167.9357</v>
      </c>
      <c r="G224">
        <v>238.30500000000001</v>
      </c>
      <c r="H224">
        <v>279.61860000000001</v>
      </c>
      <c r="I224">
        <v>303.93279999999999</v>
      </c>
      <c r="J224">
        <v>323.82600000000002</v>
      </c>
    </row>
    <row r="225" spans="1:10" x14ac:dyDescent="0.4">
      <c r="A225">
        <v>2043</v>
      </c>
      <c r="B225">
        <v>68.609899999999996</v>
      </c>
      <c r="C225">
        <v>70.260300000000001</v>
      </c>
      <c r="D225">
        <v>78.808599999999998</v>
      </c>
      <c r="E225">
        <v>103.7008</v>
      </c>
      <c r="F225">
        <v>168.7174</v>
      </c>
      <c r="G225">
        <v>248.18180000000001</v>
      </c>
      <c r="H225">
        <v>287.47320000000002</v>
      </c>
      <c r="I225">
        <v>309.17349999999999</v>
      </c>
      <c r="J225">
        <v>335.65609999999998</v>
      </c>
    </row>
    <row r="226" spans="1:10" x14ac:dyDescent="0.4">
      <c r="A226">
        <v>2044</v>
      </c>
      <c r="B226">
        <v>68.5732</v>
      </c>
      <c r="C226">
        <v>69.808000000000007</v>
      </c>
      <c r="D226">
        <v>78.309899999999999</v>
      </c>
      <c r="E226">
        <v>103.027</v>
      </c>
      <c r="F226">
        <v>168.1892</v>
      </c>
      <c r="G226">
        <v>237.76599999999999</v>
      </c>
      <c r="H226">
        <v>277.29660000000001</v>
      </c>
      <c r="I226">
        <v>302.79289999999997</v>
      </c>
      <c r="J226">
        <v>362.18029999999999</v>
      </c>
    </row>
    <row r="227" spans="1:10" x14ac:dyDescent="0.4">
      <c r="A227">
        <v>2045</v>
      </c>
      <c r="B227">
        <v>68.654200000000003</v>
      </c>
      <c r="C227">
        <v>69.884399999999999</v>
      </c>
      <c r="D227">
        <v>77.813900000000004</v>
      </c>
      <c r="E227">
        <v>104.8947</v>
      </c>
      <c r="F227">
        <v>168.41149999999999</v>
      </c>
      <c r="G227">
        <v>235.92670000000001</v>
      </c>
      <c r="H227">
        <v>276.85550000000001</v>
      </c>
      <c r="I227">
        <v>306.20960000000002</v>
      </c>
      <c r="J227">
        <v>325.71690000000001</v>
      </c>
    </row>
    <row r="228" spans="1:10" x14ac:dyDescent="0.4">
      <c r="A228">
        <v>2046</v>
      </c>
      <c r="B228">
        <v>68.557000000000002</v>
      </c>
      <c r="C228">
        <v>69.848699999999994</v>
      </c>
      <c r="D228">
        <v>78.496899999999997</v>
      </c>
      <c r="E228">
        <v>105.7214</v>
      </c>
      <c r="F228">
        <v>168.70079999999999</v>
      </c>
      <c r="G228">
        <v>237.88759999999999</v>
      </c>
      <c r="H228">
        <v>283.52350000000001</v>
      </c>
      <c r="I228">
        <v>310.90379999999999</v>
      </c>
      <c r="J228">
        <v>324.822</v>
      </c>
    </row>
    <row r="229" spans="1:10" x14ac:dyDescent="0.4">
      <c r="A229">
        <v>2047</v>
      </c>
      <c r="B229">
        <v>68.523399999999995</v>
      </c>
      <c r="C229">
        <v>70.287400000000005</v>
      </c>
      <c r="D229">
        <v>79.348600000000005</v>
      </c>
      <c r="E229">
        <v>105.562</v>
      </c>
      <c r="F229">
        <v>168.6927</v>
      </c>
      <c r="G229">
        <v>236.50960000000001</v>
      </c>
      <c r="H229">
        <v>282.74439999999998</v>
      </c>
      <c r="I229">
        <v>311.91789999999997</v>
      </c>
      <c r="J229">
        <v>344.53030000000001</v>
      </c>
    </row>
    <row r="230" spans="1:10" x14ac:dyDescent="0.4">
      <c r="A230">
        <v>2048</v>
      </c>
      <c r="B230">
        <v>68.617500000000007</v>
      </c>
      <c r="C230">
        <v>69.772499999999994</v>
      </c>
      <c r="D230">
        <v>78.064800000000005</v>
      </c>
      <c r="E230">
        <v>102.7353</v>
      </c>
      <c r="F230">
        <v>168.62200000000001</v>
      </c>
      <c r="G230">
        <v>238.48699999999999</v>
      </c>
      <c r="H230">
        <v>277.98099999999999</v>
      </c>
      <c r="I230">
        <v>305.19909999999999</v>
      </c>
      <c r="J230">
        <v>322.23590000000002</v>
      </c>
    </row>
    <row r="231" spans="1:10" x14ac:dyDescent="0.4">
      <c r="A231">
        <v>2049</v>
      </c>
      <c r="B231">
        <v>68.455100000000002</v>
      </c>
      <c r="C231">
        <v>71.171400000000006</v>
      </c>
      <c r="D231">
        <v>79.619100000000003</v>
      </c>
      <c r="E231">
        <v>105.8171</v>
      </c>
      <c r="F231">
        <v>168.1934</v>
      </c>
      <c r="G231">
        <v>236.85079999999999</v>
      </c>
      <c r="H231">
        <v>285.14190000000002</v>
      </c>
      <c r="I231">
        <v>310.91570000000002</v>
      </c>
      <c r="J231">
        <v>325.44830000000002</v>
      </c>
    </row>
    <row r="232" spans="1:10" x14ac:dyDescent="0.4">
      <c r="A232">
        <v>2050</v>
      </c>
      <c r="B232">
        <v>68.66</v>
      </c>
      <c r="C232">
        <v>71.479699999999994</v>
      </c>
      <c r="D232">
        <v>79.568299999999994</v>
      </c>
      <c r="E232">
        <v>106.6189</v>
      </c>
      <c r="F232">
        <v>169.5977</v>
      </c>
      <c r="G232">
        <v>238.22720000000001</v>
      </c>
      <c r="H232">
        <v>277.56720000000001</v>
      </c>
      <c r="I232">
        <v>302.43900000000002</v>
      </c>
      <c r="J232">
        <v>325.05529999999999</v>
      </c>
    </row>
    <row r="233" spans="1:10" x14ac:dyDescent="0.4">
      <c r="A233">
        <v>2051</v>
      </c>
      <c r="B233">
        <v>68.399900000000002</v>
      </c>
      <c r="C233">
        <v>69.716499999999996</v>
      </c>
      <c r="D233">
        <v>77.189599999999999</v>
      </c>
      <c r="E233">
        <v>103.6298</v>
      </c>
      <c r="F233">
        <v>167.7056</v>
      </c>
      <c r="G233">
        <v>232.3134</v>
      </c>
      <c r="H233">
        <v>283.92189999999999</v>
      </c>
      <c r="I233">
        <v>305.82310000000001</v>
      </c>
      <c r="J233">
        <v>324.64879999999999</v>
      </c>
    </row>
    <row r="234" spans="1:10" x14ac:dyDescent="0.4">
      <c r="A234">
        <v>2052</v>
      </c>
      <c r="B234">
        <v>68.471599999999995</v>
      </c>
      <c r="C234">
        <v>72.27</v>
      </c>
      <c r="D234">
        <v>79.886799999999994</v>
      </c>
      <c r="E234">
        <v>106.4344</v>
      </c>
      <c r="F234">
        <v>172.12370000000001</v>
      </c>
      <c r="G234">
        <v>245.86009999999999</v>
      </c>
      <c r="H234">
        <v>282.63670000000002</v>
      </c>
      <c r="I234">
        <v>306.88810000000001</v>
      </c>
      <c r="J234">
        <v>325.11430000000001</v>
      </c>
    </row>
    <row r="235" spans="1:10" x14ac:dyDescent="0.4">
      <c r="A235">
        <v>2053</v>
      </c>
      <c r="B235">
        <v>68.5976</v>
      </c>
      <c r="C235">
        <v>69.824600000000004</v>
      </c>
      <c r="D235">
        <v>78.612099999999998</v>
      </c>
      <c r="E235">
        <v>106.9195</v>
      </c>
      <c r="F235">
        <v>169.53649999999999</v>
      </c>
      <c r="G235">
        <v>245.51439999999999</v>
      </c>
      <c r="H235">
        <v>282.44549999999998</v>
      </c>
      <c r="I235">
        <v>306.1157</v>
      </c>
      <c r="J235">
        <v>325.39409999999998</v>
      </c>
    </row>
    <row r="236" spans="1:10" x14ac:dyDescent="0.4">
      <c r="A236">
        <v>2054</v>
      </c>
      <c r="B236">
        <v>68.784000000000006</v>
      </c>
      <c r="C236">
        <v>72.263300000000001</v>
      </c>
      <c r="D236">
        <v>80.844800000000006</v>
      </c>
      <c r="E236">
        <v>110.696</v>
      </c>
      <c r="F236">
        <v>171.50810000000001</v>
      </c>
      <c r="G236">
        <v>245.65010000000001</v>
      </c>
      <c r="H236">
        <v>284.1198</v>
      </c>
      <c r="I236">
        <v>307.0462</v>
      </c>
      <c r="J236">
        <v>339.3288</v>
      </c>
    </row>
    <row r="237" spans="1:10" x14ac:dyDescent="0.4">
      <c r="A237">
        <v>2055</v>
      </c>
      <c r="B237">
        <v>68.646600000000007</v>
      </c>
      <c r="C237">
        <v>71.204300000000003</v>
      </c>
      <c r="D237">
        <v>79.979799999999997</v>
      </c>
      <c r="E237">
        <v>102.27979999999999</v>
      </c>
      <c r="F237">
        <v>167.29769999999999</v>
      </c>
      <c r="G237">
        <v>233.1996</v>
      </c>
      <c r="H237">
        <v>279.82220000000001</v>
      </c>
      <c r="I237">
        <v>304.35129999999998</v>
      </c>
      <c r="J237">
        <v>325.33019999999999</v>
      </c>
    </row>
    <row r="238" spans="1:10" x14ac:dyDescent="0.4">
      <c r="A238">
        <v>2056</v>
      </c>
      <c r="B238">
        <v>68.538600000000002</v>
      </c>
      <c r="C238">
        <v>69.826400000000007</v>
      </c>
      <c r="D238">
        <v>79.803100000000001</v>
      </c>
      <c r="E238">
        <v>107.7522</v>
      </c>
      <c r="F238">
        <v>170.04</v>
      </c>
      <c r="G238">
        <v>233.77889999999999</v>
      </c>
      <c r="H238">
        <v>280.3981</v>
      </c>
      <c r="I238">
        <v>307.20190000000002</v>
      </c>
      <c r="J238">
        <v>360.66129999999998</v>
      </c>
    </row>
    <row r="239" spans="1:10" x14ac:dyDescent="0.4">
      <c r="A239">
        <v>2057</v>
      </c>
      <c r="B239">
        <v>68.644999999999996</v>
      </c>
      <c r="C239">
        <v>69.775700000000001</v>
      </c>
      <c r="D239">
        <v>77.079400000000007</v>
      </c>
      <c r="E239">
        <v>99.813000000000002</v>
      </c>
      <c r="F239">
        <v>168.4385</v>
      </c>
      <c r="G239">
        <v>236.8246</v>
      </c>
      <c r="H239">
        <v>286.17230000000001</v>
      </c>
      <c r="I239">
        <v>304.54860000000002</v>
      </c>
      <c r="J239">
        <v>321.80450000000002</v>
      </c>
    </row>
    <row r="240" spans="1:10" x14ac:dyDescent="0.4">
      <c r="A240">
        <v>2058</v>
      </c>
      <c r="B240">
        <v>68.684100000000001</v>
      </c>
      <c r="C240">
        <v>74.620900000000006</v>
      </c>
      <c r="D240">
        <v>79.553899999999999</v>
      </c>
      <c r="E240">
        <v>103.3877</v>
      </c>
      <c r="F240">
        <v>167.93770000000001</v>
      </c>
      <c r="G240">
        <v>234.78579999999999</v>
      </c>
      <c r="H240">
        <v>271</v>
      </c>
      <c r="I240">
        <v>296.89819999999997</v>
      </c>
      <c r="J240">
        <v>322.48989999999998</v>
      </c>
    </row>
    <row r="241" spans="1:10" x14ac:dyDescent="0.4">
      <c r="A241">
        <v>2059</v>
      </c>
      <c r="B241">
        <v>68.572199999999995</v>
      </c>
      <c r="C241">
        <v>70.146900000000002</v>
      </c>
      <c r="D241">
        <v>78.827500000000001</v>
      </c>
      <c r="E241">
        <v>104.0402</v>
      </c>
      <c r="F241">
        <v>168.0967</v>
      </c>
      <c r="G241">
        <v>236.8235</v>
      </c>
      <c r="H241">
        <v>287.69040000000001</v>
      </c>
      <c r="I241">
        <v>310.61309999999997</v>
      </c>
      <c r="J241">
        <v>339.87849999999997</v>
      </c>
    </row>
    <row r="242" spans="1:10" x14ac:dyDescent="0.4">
      <c r="A242">
        <v>2060</v>
      </c>
      <c r="B242">
        <v>68.615300000000005</v>
      </c>
      <c r="C242">
        <v>70.035300000000007</v>
      </c>
      <c r="D242">
        <v>77.091300000000004</v>
      </c>
      <c r="E242">
        <v>100.2938</v>
      </c>
      <c r="F242">
        <v>167.66900000000001</v>
      </c>
      <c r="G242">
        <v>231.59739999999999</v>
      </c>
      <c r="H242">
        <v>277.6182</v>
      </c>
      <c r="I242">
        <v>305.38229999999999</v>
      </c>
      <c r="J242">
        <v>334.52339999999998</v>
      </c>
    </row>
    <row r="243" spans="1:10" x14ac:dyDescent="0.4">
      <c r="A243">
        <v>2061</v>
      </c>
      <c r="B243">
        <v>68.564700000000002</v>
      </c>
      <c r="C243">
        <v>69.547600000000003</v>
      </c>
      <c r="D243">
        <v>75.879000000000005</v>
      </c>
      <c r="E243">
        <v>102.78360000000001</v>
      </c>
      <c r="F243">
        <v>168.4297</v>
      </c>
      <c r="G243">
        <v>239.00790000000001</v>
      </c>
      <c r="H243">
        <v>283.5693</v>
      </c>
      <c r="I243">
        <v>302.58949999999999</v>
      </c>
      <c r="J243">
        <v>341.71769999999998</v>
      </c>
    </row>
    <row r="244" spans="1:10" x14ac:dyDescent="0.4">
      <c r="A244">
        <v>2062</v>
      </c>
      <c r="B244">
        <v>68.636600000000001</v>
      </c>
      <c r="C244">
        <v>69.561499999999995</v>
      </c>
      <c r="D244">
        <v>76.975800000000007</v>
      </c>
      <c r="E244">
        <v>98.920100000000005</v>
      </c>
      <c r="F244">
        <v>167.63669999999999</v>
      </c>
      <c r="G244">
        <v>232.12379999999999</v>
      </c>
      <c r="H244">
        <v>283.6035</v>
      </c>
      <c r="I244">
        <v>309.9776</v>
      </c>
      <c r="J244">
        <v>406.8605</v>
      </c>
    </row>
    <row r="245" spans="1:10" x14ac:dyDescent="0.4">
      <c r="A245">
        <v>2063</v>
      </c>
      <c r="B245">
        <v>68.653300000000002</v>
      </c>
      <c r="C245">
        <v>70.780699999999996</v>
      </c>
      <c r="D245">
        <v>77.986500000000007</v>
      </c>
      <c r="E245">
        <v>103.44540000000001</v>
      </c>
      <c r="F245">
        <v>167.6489</v>
      </c>
      <c r="G245">
        <v>235.10579999999999</v>
      </c>
      <c r="H245">
        <v>280.03870000000001</v>
      </c>
      <c r="I245">
        <v>305.70710000000003</v>
      </c>
      <c r="J245">
        <v>323.01389999999998</v>
      </c>
    </row>
    <row r="246" spans="1:10" x14ac:dyDescent="0.4">
      <c r="A246">
        <v>2064</v>
      </c>
      <c r="B246">
        <v>68.508799999999994</v>
      </c>
      <c r="C246">
        <v>72.238299999999995</v>
      </c>
      <c r="D246">
        <v>80.538600000000002</v>
      </c>
      <c r="E246">
        <v>107.70820000000001</v>
      </c>
      <c r="F246">
        <v>168.5368</v>
      </c>
      <c r="G246">
        <v>236.7835</v>
      </c>
      <c r="H246">
        <v>281.64780000000002</v>
      </c>
      <c r="I246">
        <v>303.01519999999999</v>
      </c>
      <c r="J246">
        <v>324.16579999999999</v>
      </c>
    </row>
    <row r="247" spans="1:10" x14ac:dyDescent="0.4">
      <c r="A247">
        <v>2065</v>
      </c>
      <c r="B247">
        <v>68.867599999999996</v>
      </c>
      <c r="C247">
        <v>71.225499999999997</v>
      </c>
      <c r="D247">
        <v>78.201800000000006</v>
      </c>
      <c r="E247">
        <v>103.8903</v>
      </c>
      <c r="F247">
        <v>168.6403</v>
      </c>
      <c r="G247">
        <v>233.80600000000001</v>
      </c>
      <c r="H247">
        <v>277.0942</v>
      </c>
      <c r="I247">
        <v>303.42880000000002</v>
      </c>
      <c r="J247">
        <v>358.44130000000001</v>
      </c>
    </row>
    <row r="248" spans="1:10" x14ac:dyDescent="0.4">
      <c r="A248">
        <v>2066</v>
      </c>
      <c r="B248">
        <v>68.701300000000003</v>
      </c>
      <c r="C248">
        <v>70.913799999999995</v>
      </c>
      <c r="D248">
        <v>79.861999999999995</v>
      </c>
      <c r="E248">
        <v>105.3524</v>
      </c>
      <c r="F248">
        <v>168.6482</v>
      </c>
      <c r="G248">
        <v>235.69970000000001</v>
      </c>
      <c r="H248">
        <v>278.54309999999998</v>
      </c>
      <c r="I248">
        <v>304.09199999999998</v>
      </c>
      <c r="J248">
        <v>322.0745</v>
      </c>
    </row>
    <row r="249" spans="1:10" x14ac:dyDescent="0.4">
      <c r="A249">
        <v>2067</v>
      </c>
      <c r="B249">
        <v>68.614099999999993</v>
      </c>
      <c r="C249">
        <v>69.673400000000001</v>
      </c>
      <c r="D249">
        <v>77.242500000000007</v>
      </c>
      <c r="E249">
        <v>101.7324</v>
      </c>
      <c r="F249">
        <v>169.27889999999999</v>
      </c>
      <c r="G249">
        <v>236.8964</v>
      </c>
      <c r="H249">
        <v>284.67989999999998</v>
      </c>
      <c r="I249">
        <v>310.56599999999997</v>
      </c>
      <c r="J249">
        <v>324.83229999999998</v>
      </c>
    </row>
    <row r="250" spans="1:10" x14ac:dyDescent="0.4">
      <c r="A250">
        <v>2068</v>
      </c>
      <c r="B250">
        <v>68.633799999999994</v>
      </c>
      <c r="C250">
        <v>71.578999999999994</v>
      </c>
      <c r="D250">
        <v>79.5381</v>
      </c>
      <c r="E250">
        <v>104.48350000000001</v>
      </c>
      <c r="F250">
        <v>168.70760000000001</v>
      </c>
      <c r="G250">
        <v>239.08779999999999</v>
      </c>
      <c r="H250">
        <v>277.44099999999997</v>
      </c>
      <c r="I250">
        <v>307.63350000000003</v>
      </c>
      <c r="J250">
        <v>324.87990000000002</v>
      </c>
    </row>
    <row r="251" spans="1:10" x14ac:dyDescent="0.4">
      <c r="A251">
        <v>2069</v>
      </c>
      <c r="B251">
        <v>68.591200000000001</v>
      </c>
      <c r="C251">
        <v>69.997200000000007</v>
      </c>
      <c r="D251">
        <v>79.704400000000007</v>
      </c>
      <c r="E251">
        <v>105.8202</v>
      </c>
      <c r="F251">
        <v>170.68279999999999</v>
      </c>
      <c r="G251">
        <v>234.11519999999999</v>
      </c>
      <c r="H251">
        <v>277.22590000000002</v>
      </c>
      <c r="I251">
        <v>299.2842</v>
      </c>
      <c r="J251">
        <v>324.76679999999999</v>
      </c>
    </row>
    <row r="252" spans="1:10" x14ac:dyDescent="0.4">
      <c r="A252">
        <v>2070</v>
      </c>
      <c r="B252">
        <v>68.6066</v>
      </c>
      <c r="C252">
        <v>69.870699999999999</v>
      </c>
      <c r="D252">
        <v>78.070300000000003</v>
      </c>
      <c r="E252">
        <v>105.62569999999999</v>
      </c>
      <c r="F252">
        <v>168.1567</v>
      </c>
      <c r="G252">
        <v>236.3468</v>
      </c>
      <c r="H252">
        <v>276.83179999999999</v>
      </c>
      <c r="I252">
        <v>303.81079999999997</v>
      </c>
      <c r="J252">
        <v>325.267</v>
      </c>
    </row>
    <row r="253" spans="1:10" x14ac:dyDescent="0.4">
      <c r="A253">
        <v>2071</v>
      </c>
      <c r="B253">
        <v>68.546599999999998</v>
      </c>
      <c r="C253">
        <v>69.696899999999999</v>
      </c>
      <c r="D253">
        <v>79.264099999999999</v>
      </c>
      <c r="E253">
        <v>105.7115</v>
      </c>
      <c r="F253">
        <v>172.17930000000001</v>
      </c>
      <c r="G253">
        <v>242.12710000000001</v>
      </c>
      <c r="H253">
        <v>282.28579999999999</v>
      </c>
      <c r="I253">
        <v>307.03710000000001</v>
      </c>
      <c r="J253">
        <v>342.81740000000002</v>
      </c>
    </row>
    <row r="254" spans="1:10" x14ac:dyDescent="0.4">
      <c r="A254">
        <v>2072</v>
      </c>
      <c r="B254">
        <v>68.487899999999996</v>
      </c>
      <c r="C254">
        <v>69.599000000000004</v>
      </c>
      <c r="D254">
        <v>77.226299999999995</v>
      </c>
      <c r="E254">
        <v>104.8381</v>
      </c>
      <c r="F254">
        <v>169.34899999999999</v>
      </c>
      <c r="G254">
        <v>236.32740000000001</v>
      </c>
      <c r="H254">
        <v>290.44409999999999</v>
      </c>
      <c r="I254">
        <v>310.6549</v>
      </c>
      <c r="J254">
        <v>356.0591</v>
      </c>
    </row>
    <row r="255" spans="1:10" x14ac:dyDescent="0.4">
      <c r="A255">
        <v>2073</v>
      </c>
      <c r="B255">
        <v>68.4666</v>
      </c>
      <c r="C255">
        <v>72.243399999999994</v>
      </c>
      <c r="D255">
        <v>80.374899999999997</v>
      </c>
      <c r="E255">
        <v>106.94670000000001</v>
      </c>
      <c r="F255">
        <v>168.64230000000001</v>
      </c>
      <c r="G255">
        <v>236.18620000000001</v>
      </c>
      <c r="H255">
        <v>276.29579999999999</v>
      </c>
      <c r="I255">
        <v>297.71260000000001</v>
      </c>
      <c r="J255">
        <v>323.36430000000001</v>
      </c>
    </row>
    <row r="256" spans="1:10" x14ac:dyDescent="0.4">
      <c r="A256">
        <v>2074</v>
      </c>
      <c r="B256">
        <v>68.575299999999999</v>
      </c>
      <c r="C256">
        <v>71.318799999999996</v>
      </c>
      <c r="D256">
        <v>78.851200000000006</v>
      </c>
      <c r="E256">
        <v>105.4175</v>
      </c>
      <c r="F256">
        <v>168.33600000000001</v>
      </c>
      <c r="G256">
        <v>236.4349</v>
      </c>
      <c r="H256">
        <v>275.65089999999998</v>
      </c>
      <c r="I256">
        <v>301.10770000000002</v>
      </c>
      <c r="J256">
        <v>370.19069999999999</v>
      </c>
    </row>
    <row r="257" spans="1:10" x14ac:dyDescent="0.4">
      <c r="A257">
        <v>2075</v>
      </c>
      <c r="B257">
        <v>68.743700000000004</v>
      </c>
      <c r="C257">
        <v>71.083200000000005</v>
      </c>
      <c r="D257">
        <v>79.336399999999998</v>
      </c>
      <c r="E257">
        <v>101.9706</v>
      </c>
      <c r="F257">
        <v>167.63560000000001</v>
      </c>
      <c r="G257">
        <v>232.7662</v>
      </c>
      <c r="H257">
        <v>270.54969999999997</v>
      </c>
      <c r="I257">
        <v>298.10390000000001</v>
      </c>
      <c r="J257">
        <v>323.08839999999998</v>
      </c>
    </row>
    <row r="259" spans="1:10" x14ac:dyDescent="0.4">
      <c r="A259" t="s">
        <v>10</v>
      </c>
      <c r="B259" t="s">
        <v>3</v>
      </c>
      <c r="C259" t="s">
        <v>6</v>
      </c>
      <c r="D259" t="s">
        <v>36</v>
      </c>
      <c r="E259">
        <v>1000</v>
      </c>
      <c r="F259" t="s">
        <v>35</v>
      </c>
    </row>
    <row r="261" spans="1:10" x14ac:dyDescent="0.4">
      <c r="A261" t="s">
        <v>22</v>
      </c>
      <c r="B261" t="s">
        <v>34</v>
      </c>
      <c r="C261" t="s">
        <v>33</v>
      </c>
    </row>
    <row r="262" spans="1:10" x14ac:dyDescent="0.4">
      <c r="A262">
        <v>2021</v>
      </c>
      <c r="B262">
        <v>2.7343999999999999</v>
      </c>
      <c r="C262">
        <v>0.63639999999999997</v>
      </c>
    </row>
    <row r="263" spans="1:10" x14ac:dyDescent="0.4">
      <c r="A263">
        <v>2022</v>
      </c>
      <c r="B263">
        <v>4.0472999999999999</v>
      </c>
      <c r="C263">
        <v>0.87170000000000003</v>
      </c>
    </row>
    <row r="264" spans="1:10" x14ac:dyDescent="0.4">
      <c r="A264">
        <v>2023</v>
      </c>
      <c r="B264">
        <v>5.6260000000000003</v>
      </c>
      <c r="C264">
        <v>1.4229000000000001</v>
      </c>
    </row>
    <row r="265" spans="1:10" x14ac:dyDescent="0.4">
      <c r="A265">
        <v>2024</v>
      </c>
      <c r="B265">
        <v>5.8037000000000001</v>
      </c>
      <c r="C265">
        <v>1.6588000000000001</v>
      </c>
    </row>
    <row r="266" spans="1:10" x14ac:dyDescent="0.4">
      <c r="A266">
        <v>2025</v>
      </c>
      <c r="B266">
        <v>5.4832000000000001</v>
      </c>
      <c r="C266">
        <v>1.8675999999999999</v>
      </c>
    </row>
    <row r="267" spans="1:10" x14ac:dyDescent="0.4">
      <c r="A267">
        <v>2026</v>
      </c>
      <c r="B267">
        <v>5.0978000000000003</v>
      </c>
      <c r="C267">
        <v>1.9592000000000001</v>
      </c>
    </row>
    <row r="268" spans="1:10" x14ac:dyDescent="0.4">
      <c r="A268">
        <v>2027</v>
      </c>
      <c r="B268">
        <v>4.84</v>
      </c>
      <c r="C268">
        <v>2.0196999999999998</v>
      </c>
    </row>
    <row r="269" spans="1:10" x14ac:dyDescent="0.4">
      <c r="A269">
        <v>2028</v>
      </c>
      <c r="B269">
        <v>4.6203000000000003</v>
      </c>
      <c r="C269">
        <v>2.0651000000000002</v>
      </c>
    </row>
    <row r="270" spans="1:10" x14ac:dyDescent="0.4">
      <c r="A270">
        <v>2029</v>
      </c>
      <c r="B270">
        <v>4.4267000000000003</v>
      </c>
      <c r="C270">
        <v>2.0373000000000001</v>
      </c>
    </row>
    <row r="271" spans="1:10" x14ac:dyDescent="0.4">
      <c r="A271">
        <v>2030</v>
      </c>
      <c r="B271">
        <v>4.2964000000000002</v>
      </c>
      <c r="C271">
        <v>2.0611999999999999</v>
      </c>
    </row>
    <row r="272" spans="1:10" x14ac:dyDescent="0.4">
      <c r="A272">
        <v>2031</v>
      </c>
      <c r="B272">
        <v>4.2163000000000004</v>
      </c>
      <c r="C272">
        <v>2.1013000000000002</v>
      </c>
    </row>
    <row r="273" spans="1:3" x14ac:dyDescent="0.4">
      <c r="A273">
        <v>2032</v>
      </c>
      <c r="B273">
        <v>4.1595000000000004</v>
      </c>
      <c r="C273">
        <v>2.1116999999999999</v>
      </c>
    </row>
    <row r="274" spans="1:3" x14ac:dyDescent="0.4">
      <c r="A274">
        <v>2033</v>
      </c>
      <c r="B274">
        <v>4.1134000000000004</v>
      </c>
      <c r="C274">
        <v>2.1261000000000001</v>
      </c>
    </row>
    <row r="275" spans="1:3" x14ac:dyDescent="0.4">
      <c r="A275">
        <v>2034</v>
      </c>
      <c r="B275">
        <v>4.0490000000000004</v>
      </c>
      <c r="C275">
        <v>2.1204999999999998</v>
      </c>
    </row>
    <row r="276" spans="1:3" x14ac:dyDescent="0.4">
      <c r="A276">
        <v>2035</v>
      </c>
      <c r="B276">
        <v>3.9634</v>
      </c>
      <c r="C276">
        <v>2.0680999999999998</v>
      </c>
    </row>
    <row r="277" spans="1:3" x14ac:dyDescent="0.4">
      <c r="A277">
        <v>2036</v>
      </c>
      <c r="B277">
        <v>3.9154</v>
      </c>
      <c r="C277">
        <v>2.0194000000000001</v>
      </c>
    </row>
    <row r="278" spans="1:3" x14ac:dyDescent="0.4">
      <c r="A278">
        <v>2037</v>
      </c>
      <c r="B278">
        <v>3.8666999999999998</v>
      </c>
      <c r="C278">
        <v>2.0282</v>
      </c>
    </row>
    <row r="279" spans="1:3" x14ac:dyDescent="0.4">
      <c r="A279">
        <v>2038</v>
      </c>
      <c r="B279">
        <v>3.8288000000000002</v>
      </c>
      <c r="C279">
        <v>1.9930000000000001</v>
      </c>
    </row>
    <row r="280" spans="1:3" x14ac:dyDescent="0.4">
      <c r="A280">
        <v>2039</v>
      </c>
      <c r="B280">
        <v>3.8576999999999999</v>
      </c>
      <c r="C280">
        <v>2.0274999999999999</v>
      </c>
    </row>
    <row r="281" spans="1:3" x14ac:dyDescent="0.4">
      <c r="A281">
        <v>2040</v>
      </c>
      <c r="B281">
        <v>3.8940999999999999</v>
      </c>
      <c r="C281">
        <v>2.0714000000000001</v>
      </c>
    </row>
    <row r="282" spans="1:3" x14ac:dyDescent="0.4">
      <c r="A282">
        <v>2041</v>
      </c>
      <c r="B282">
        <v>3.8938999999999999</v>
      </c>
      <c r="C282">
        <v>2.2088999999999999</v>
      </c>
    </row>
    <row r="283" spans="1:3" x14ac:dyDescent="0.4">
      <c r="A283">
        <v>2042</v>
      </c>
      <c r="B283">
        <v>3.8759999999999999</v>
      </c>
      <c r="C283">
        <v>2.2139000000000002</v>
      </c>
    </row>
    <row r="284" spans="1:3" x14ac:dyDescent="0.4">
      <c r="A284">
        <v>2043</v>
      </c>
      <c r="B284">
        <v>3.8919000000000001</v>
      </c>
      <c r="C284">
        <v>2.2486999999999999</v>
      </c>
    </row>
    <row r="285" spans="1:3" x14ac:dyDescent="0.4">
      <c r="A285">
        <v>2044</v>
      </c>
      <c r="B285">
        <v>3.8673999999999999</v>
      </c>
      <c r="C285">
        <v>2.1482000000000001</v>
      </c>
    </row>
    <row r="286" spans="1:3" x14ac:dyDescent="0.4">
      <c r="A286">
        <v>2045</v>
      </c>
      <c r="B286">
        <v>3.8519999999999999</v>
      </c>
      <c r="C286">
        <v>2.1337000000000002</v>
      </c>
    </row>
    <row r="287" spans="1:3" x14ac:dyDescent="0.4">
      <c r="A287">
        <v>2046</v>
      </c>
      <c r="B287">
        <v>3.8639999999999999</v>
      </c>
      <c r="C287">
        <v>2.1295999999999999</v>
      </c>
    </row>
    <row r="288" spans="1:3" x14ac:dyDescent="0.4">
      <c r="A288">
        <v>2047</v>
      </c>
      <c r="B288">
        <v>3.8525</v>
      </c>
      <c r="C288">
        <v>2.1652</v>
      </c>
    </row>
    <row r="289" spans="1:3" x14ac:dyDescent="0.4">
      <c r="A289">
        <v>2048</v>
      </c>
      <c r="B289">
        <v>3.8456000000000001</v>
      </c>
      <c r="C289">
        <v>2.1713</v>
      </c>
    </row>
    <row r="290" spans="1:3" x14ac:dyDescent="0.4">
      <c r="A290">
        <v>2049</v>
      </c>
      <c r="B290">
        <v>3.8315999999999999</v>
      </c>
      <c r="C290">
        <v>2.1278999999999999</v>
      </c>
    </row>
    <row r="291" spans="1:3" x14ac:dyDescent="0.4">
      <c r="A291">
        <v>2050</v>
      </c>
      <c r="B291">
        <v>3.8147000000000002</v>
      </c>
      <c r="C291">
        <v>2.121</v>
      </c>
    </row>
    <row r="292" spans="1:3" x14ac:dyDescent="0.4">
      <c r="A292">
        <v>2051</v>
      </c>
      <c r="B292">
        <v>3.7955999999999999</v>
      </c>
      <c r="C292">
        <v>2.0865</v>
      </c>
    </row>
    <row r="293" spans="1:3" x14ac:dyDescent="0.4">
      <c r="A293">
        <v>2052</v>
      </c>
      <c r="B293">
        <v>3.7883</v>
      </c>
      <c r="C293">
        <v>2.0619000000000001</v>
      </c>
    </row>
    <row r="294" spans="1:3" x14ac:dyDescent="0.4">
      <c r="A294">
        <v>2053</v>
      </c>
      <c r="B294">
        <v>3.7770999999999999</v>
      </c>
      <c r="C294">
        <v>2.0489000000000002</v>
      </c>
    </row>
    <row r="295" spans="1:3" x14ac:dyDescent="0.4">
      <c r="A295">
        <v>2054</v>
      </c>
      <c r="B295">
        <v>3.7683</v>
      </c>
      <c r="C295">
        <v>2.0323000000000002</v>
      </c>
    </row>
    <row r="296" spans="1:3" x14ac:dyDescent="0.4">
      <c r="A296">
        <v>2055</v>
      </c>
      <c r="B296">
        <v>3.8319000000000001</v>
      </c>
      <c r="C296">
        <v>2.0741999999999998</v>
      </c>
    </row>
    <row r="297" spans="1:3" x14ac:dyDescent="0.4">
      <c r="A297">
        <v>2056</v>
      </c>
      <c r="B297">
        <v>3.8866000000000001</v>
      </c>
      <c r="C297">
        <v>2.0876000000000001</v>
      </c>
    </row>
    <row r="298" spans="1:3" x14ac:dyDescent="0.4">
      <c r="A298">
        <v>2057</v>
      </c>
      <c r="B298">
        <v>3.8952</v>
      </c>
      <c r="C298">
        <v>2.0787</v>
      </c>
    </row>
    <row r="299" spans="1:3" x14ac:dyDescent="0.4">
      <c r="A299">
        <v>2058</v>
      </c>
      <c r="B299">
        <v>3.8405999999999998</v>
      </c>
      <c r="C299">
        <v>2.0760999999999998</v>
      </c>
    </row>
    <row r="300" spans="1:3" x14ac:dyDescent="0.4">
      <c r="A300">
        <v>2059</v>
      </c>
      <c r="B300">
        <v>3.8496000000000001</v>
      </c>
      <c r="C300">
        <v>2.1779000000000002</v>
      </c>
    </row>
    <row r="301" spans="1:3" x14ac:dyDescent="0.4">
      <c r="A301">
        <v>2060</v>
      </c>
      <c r="B301">
        <v>3.8212999999999999</v>
      </c>
      <c r="C301">
        <v>2.2151999999999998</v>
      </c>
    </row>
    <row r="302" spans="1:3" x14ac:dyDescent="0.4">
      <c r="A302">
        <v>2061</v>
      </c>
      <c r="B302">
        <v>3.7886000000000002</v>
      </c>
      <c r="C302">
        <v>2.2496</v>
      </c>
    </row>
    <row r="303" spans="1:3" x14ac:dyDescent="0.4">
      <c r="A303">
        <v>2062</v>
      </c>
      <c r="B303">
        <v>3.7517</v>
      </c>
      <c r="C303">
        <v>2.1833</v>
      </c>
    </row>
    <row r="304" spans="1:3" x14ac:dyDescent="0.4">
      <c r="A304">
        <v>2063</v>
      </c>
      <c r="B304">
        <v>3.6998000000000002</v>
      </c>
      <c r="C304">
        <v>2.1219000000000001</v>
      </c>
    </row>
    <row r="305" spans="1:20" x14ac:dyDescent="0.4">
      <c r="A305">
        <v>2064</v>
      </c>
      <c r="B305">
        <v>3.6823000000000001</v>
      </c>
      <c r="C305">
        <v>2.1246</v>
      </c>
    </row>
    <row r="306" spans="1:20" x14ac:dyDescent="0.4">
      <c r="A306">
        <v>2065</v>
      </c>
      <c r="B306">
        <v>3.6593</v>
      </c>
      <c r="C306">
        <v>2.1444999999999999</v>
      </c>
    </row>
    <row r="307" spans="1:20" x14ac:dyDescent="0.4">
      <c r="A307">
        <v>2066</v>
      </c>
      <c r="B307">
        <v>3.6459999999999999</v>
      </c>
      <c r="C307">
        <v>2.0922000000000001</v>
      </c>
    </row>
    <row r="308" spans="1:20" x14ac:dyDescent="0.4">
      <c r="A308">
        <v>2067</v>
      </c>
      <c r="B308">
        <v>3.6560999999999999</v>
      </c>
      <c r="C308">
        <v>2.0828000000000002</v>
      </c>
    </row>
    <row r="309" spans="1:20" x14ac:dyDescent="0.4">
      <c r="A309">
        <v>2068</v>
      </c>
      <c r="B309">
        <v>3.6657999999999999</v>
      </c>
      <c r="C309">
        <v>2.0828000000000002</v>
      </c>
    </row>
    <row r="310" spans="1:20" x14ac:dyDescent="0.4">
      <c r="A310">
        <v>2069</v>
      </c>
      <c r="B310">
        <v>3.6781000000000001</v>
      </c>
      <c r="C310">
        <v>2.0647000000000002</v>
      </c>
    </row>
    <row r="311" spans="1:20" x14ac:dyDescent="0.4">
      <c r="A311">
        <v>2070</v>
      </c>
      <c r="B311">
        <v>3.6873999999999998</v>
      </c>
      <c r="C311">
        <v>2.0714000000000001</v>
      </c>
    </row>
    <row r="312" spans="1:20" x14ac:dyDescent="0.4">
      <c r="A312">
        <v>2071</v>
      </c>
      <c r="B312">
        <v>3.6996000000000002</v>
      </c>
      <c r="C312">
        <v>2.1173999999999999</v>
      </c>
    </row>
    <row r="313" spans="1:20" x14ac:dyDescent="0.4">
      <c r="A313">
        <v>2072</v>
      </c>
      <c r="B313">
        <v>3.6991999999999998</v>
      </c>
      <c r="C313">
        <v>2.1453000000000002</v>
      </c>
    </row>
    <row r="314" spans="1:20" x14ac:dyDescent="0.4">
      <c r="A314">
        <v>2073</v>
      </c>
      <c r="B314">
        <v>3.7084999999999999</v>
      </c>
      <c r="C314">
        <v>2.1278000000000001</v>
      </c>
    </row>
    <row r="315" spans="1:20" x14ac:dyDescent="0.4">
      <c r="A315">
        <v>2074</v>
      </c>
      <c r="B315">
        <v>3.7469000000000001</v>
      </c>
      <c r="C315">
        <v>2.1574</v>
      </c>
    </row>
    <row r="316" spans="1:20" x14ac:dyDescent="0.4">
      <c r="A316">
        <v>2075</v>
      </c>
      <c r="B316">
        <v>3.7618999999999998</v>
      </c>
      <c r="C316">
        <v>2.1524000000000001</v>
      </c>
    </row>
    <row r="318" spans="1:20" x14ac:dyDescent="0.4">
      <c r="A318" t="s">
        <v>10</v>
      </c>
      <c r="B318" t="s">
        <v>3</v>
      </c>
      <c r="C318" t="s">
        <v>6</v>
      </c>
      <c r="D318" t="s">
        <v>32</v>
      </c>
    </row>
    <row r="320" spans="1:20" x14ac:dyDescent="0.4">
      <c r="A320" t="s">
        <v>22</v>
      </c>
      <c r="B320" s="2">
        <v>0.01</v>
      </c>
      <c r="C320" s="2">
        <v>0.05</v>
      </c>
      <c r="D320" s="2">
        <v>0.1</v>
      </c>
      <c r="E320" s="2">
        <v>0.25</v>
      </c>
      <c r="F320" s="2">
        <v>0.5</v>
      </c>
      <c r="G320" s="2">
        <v>0.75</v>
      </c>
      <c r="H320" s="2">
        <v>0.9</v>
      </c>
      <c r="I320" s="2">
        <v>0.95</v>
      </c>
      <c r="J320" s="2">
        <v>0.99</v>
      </c>
      <c r="L320" s="2">
        <v>0.01</v>
      </c>
      <c r="M320" s="2">
        <v>0.05</v>
      </c>
      <c r="N320" s="2">
        <v>0.1</v>
      </c>
      <c r="O320" s="2">
        <v>0.25</v>
      </c>
      <c r="P320" s="2">
        <v>0.5</v>
      </c>
      <c r="Q320" s="2">
        <v>0.75</v>
      </c>
      <c r="R320" s="2">
        <v>0.9</v>
      </c>
      <c r="S320" s="2">
        <v>0.95</v>
      </c>
      <c r="T320" s="2">
        <v>0.99</v>
      </c>
    </row>
    <row r="321" spans="1:20" x14ac:dyDescent="0.4">
      <c r="A321">
        <v>2021</v>
      </c>
      <c r="B321">
        <v>1.5868</v>
      </c>
      <c r="C321">
        <v>1.9708000000000001</v>
      </c>
      <c r="D321">
        <v>2.0872999999999999</v>
      </c>
      <c r="E321">
        <v>2.3279999999999998</v>
      </c>
      <c r="F321">
        <v>2.6448999999999998</v>
      </c>
      <c r="G321">
        <v>3.0253000000000001</v>
      </c>
      <c r="H321">
        <v>3.4348000000000001</v>
      </c>
      <c r="I321">
        <v>3.7631000000000001</v>
      </c>
      <c r="J321">
        <v>5.2784000000000004</v>
      </c>
      <c r="L321">
        <f>B321*1000</f>
        <v>1586.8</v>
      </c>
      <c r="M321">
        <f t="shared" ref="M321:T334" si="0">C321*1000</f>
        <v>1970.8000000000002</v>
      </c>
      <c r="N321">
        <f t="shared" si="0"/>
        <v>2087.2999999999997</v>
      </c>
      <c r="O321">
        <f t="shared" si="0"/>
        <v>2328</v>
      </c>
      <c r="P321">
        <f t="shared" si="0"/>
        <v>2644.8999999999996</v>
      </c>
      <c r="Q321">
        <f t="shared" si="0"/>
        <v>3025.3</v>
      </c>
      <c r="R321">
        <f t="shared" si="0"/>
        <v>3434.8</v>
      </c>
      <c r="S321">
        <f t="shared" si="0"/>
        <v>3763.1</v>
      </c>
      <c r="T321">
        <f t="shared" si="0"/>
        <v>5278.4000000000005</v>
      </c>
    </row>
    <row r="322" spans="1:20" x14ac:dyDescent="0.4">
      <c r="A322">
        <v>2022</v>
      </c>
      <c r="B322">
        <v>2.3069000000000002</v>
      </c>
      <c r="C322">
        <v>2.8262999999999998</v>
      </c>
      <c r="D322">
        <v>3.0348999999999999</v>
      </c>
      <c r="E322">
        <v>3.4723999999999999</v>
      </c>
      <c r="F322">
        <v>3.9548000000000001</v>
      </c>
      <c r="G322">
        <v>4.4901</v>
      </c>
      <c r="H322">
        <v>5.2374999999999998</v>
      </c>
      <c r="I322">
        <v>5.7145999999999999</v>
      </c>
      <c r="J322">
        <v>6.6639999999999997</v>
      </c>
      <c r="L322">
        <f t="shared" ref="L322:L334" si="1">B322*1000</f>
        <v>2306.9</v>
      </c>
      <c r="M322">
        <f t="shared" si="0"/>
        <v>2826.2999999999997</v>
      </c>
      <c r="N322">
        <f t="shared" si="0"/>
        <v>3034.9</v>
      </c>
      <c r="O322">
        <f t="shared" si="0"/>
        <v>3472.4</v>
      </c>
      <c r="P322">
        <f t="shared" si="0"/>
        <v>3954.8</v>
      </c>
      <c r="Q322">
        <f t="shared" si="0"/>
        <v>4490.1000000000004</v>
      </c>
      <c r="R322">
        <f t="shared" si="0"/>
        <v>5237.5</v>
      </c>
      <c r="S322">
        <f t="shared" si="0"/>
        <v>5714.5999999999995</v>
      </c>
      <c r="T322">
        <f t="shared" si="0"/>
        <v>6664</v>
      </c>
    </row>
    <row r="323" spans="1:20" x14ac:dyDescent="0.4">
      <c r="A323">
        <v>2023</v>
      </c>
      <c r="B323">
        <v>3.1857000000000002</v>
      </c>
      <c r="C323">
        <v>3.5421</v>
      </c>
      <c r="D323">
        <v>3.9474999999999998</v>
      </c>
      <c r="E323">
        <v>4.6406999999999998</v>
      </c>
      <c r="F323">
        <v>5.4668999999999999</v>
      </c>
      <c r="G323">
        <v>6.4436999999999998</v>
      </c>
      <c r="H323">
        <v>7.6318000000000001</v>
      </c>
      <c r="I323">
        <v>8.3336000000000006</v>
      </c>
      <c r="J323">
        <v>9.6588999999999992</v>
      </c>
      <c r="L323">
        <f t="shared" si="1"/>
        <v>3185.7000000000003</v>
      </c>
      <c r="M323">
        <f t="shared" si="0"/>
        <v>3542.1</v>
      </c>
      <c r="N323">
        <f t="shared" si="0"/>
        <v>3947.5</v>
      </c>
      <c r="O323">
        <f t="shared" si="0"/>
        <v>4640.7</v>
      </c>
      <c r="P323">
        <f t="shared" si="0"/>
        <v>5466.9</v>
      </c>
      <c r="Q323">
        <f t="shared" si="0"/>
        <v>6443.7</v>
      </c>
      <c r="R323">
        <f t="shared" si="0"/>
        <v>7631.8</v>
      </c>
      <c r="S323">
        <f t="shared" si="0"/>
        <v>8333.6</v>
      </c>
      <c r="T323">
        <f t="shared" si="0"/>
        <v>9658.9</v>
      </c>
    </row>
    <row r="324" spans="1:20" x14ac:dyDescent="0.4">
      <c r="A324">
        <v>2024</v>
      </c>
      <c r="B324">
        <v>2.7606999999999999</v>
      </c>
      <c r="C324">
        <v>3.3624000000000001</v>
      </c>
      <c r="D324">
        <v>3.7627999999999999</v>
      </c>
      <c r="E324">
        <v>4.5663</v>
      </c>
      <c r="F324">
        <v>5.6962999999999999</v>
      </c>
      <c r="G324">
        <v>6.8483000000000001</v>
      </c>
      <c r="H324">
        <v>7.9238999999999997</v>
      </c>
      <c r="I324">
        <v>8.7582000000000004</v>
      </c>
      <c r="J324">
        <v>10.3466</v>
      </c>
      <c r="L324">
        <f t="shared" si="1"/>
        <v>2760.7</v>
      </c>
      <c r="M324">
        <f t="shared" si="0"/>
        <v>3362.4</v>
      </c>
      <c r="N324">
        <f t="shared" si="0"/>
        <v>3762.7999999999997</v>
      </c>
      <c r="O324">
        <f t="shared" si="0"/>
        <v>4566.3</v>
      </c>
      <c r="P324">
        <f t="shared" si="0"/>
        <v>5696.3</v>
      </c>
      <c r="Q324">
        <f t="shared" si="0"/>
        <v>6848.3</v>
      </c>
      <c r="R324">
        <f t="shared" si="0"/>
        <v>7923.9</v>
      </c>
      <c r="S324">
        <f t="shared" si="0"/>
        <v>8758.2000000000007</v>
      </c>
      <c r="T324">
        <f t="shared" si="0"/>
        <v>10346.6</v>
      </c>
    </row>
    <row r="325" spans="1:20" x14ac:dyDescent="0.4">
      <c r="A325">
        <v>2025</v>
      </c>
      <c r="B325">
        <v>2.0118</v>
      </c>
      <c r="C325">
        <v>2.6280999999999999</v>
      </c>
      <c r="D325">
        <v>3.1981999999999999</v>
      </c>
      <c r="E325">
        <v>4.1181000000000001</v>
      </c>
      <c r="F325">
        <v>5.4253</v>
      </c>
      <c r="G325">
        <v>6.5937999999999999</v>
      </c>
      <c r="H325">
        <v>7.9505999999999997</v>
      </c>
      <c r="I325">
        <v>8.5892999999999997</v>
      </c>
      <c r="J325">
        <v>10.1515</v>
      </c>
      <c r="L325">
        <f t="shared" si="1"/>
        <v>2011.8</v>
      </c>
      <c r="M325">
        <f t="shared" si="0"/>
        <v>2628.1</v>
      </c>
      <c r="N325">
        <f t="shared" si="0"/>
        <v>3198.2</v>
      </c>
      <c r="O325">
        <f t="shared" si="0"/>
        <v>4118.1000000000004</v>
      </c>
      <c r="P325">
        <f t="shared" si="0"/>
        <v>5425.3</v>
      </c>
      <c r="Q325">
        <f t="shared" si="0"/>
        <v>6593.8</v>
      </c>
      <c r="R325">
        <f t="shared" si="0"/>
        <v>7950.5999999999995</v>
      </c>
      <c r="S325">
        <f t="shared" si="0"/>
        <v>8589.2999999999993</v>
      </c>
      <c r="T325">
        <f t="shared" si="0"/>
        <v>10151.5</v>
      </c>
    </row>
    <row r="326" spans="1:20" x14ac:dyDescent="0.4">
      <c r="A326">
        <v>2026</v>
      </c>
      <c r="B326">
        <v>1.2124999999999999</v>
      </c>
      <c r="C326">
        <v>2.1707999999999998</v>
      </c>
      <c r="D326">
        <v>2.7113999999999998</v>
      </c>
      <c r="E326">
        <v>3.7486999999999999</v>
      </c>
      <c r="F326">
        <v>4.9866999999999999</v>
      </c>
      <c r="G326">
        <v>6.2755000000000001</v>
      </c>
      <c r="H326">
        <v>7.6288</v>
      </c>
      <c r="I326">
        <v>8.34</v>
      </c>
      <c r="J326">
        <v>10.0175</v>
      </c>
      <c r="L326">
        <f t="shared" si="1"/>
        <v>1212.5</v>
      </c>
      <c r="M326">
        <f t="shared" si="0"/>
        <v>2170.7999999999997</v>
      </c>
      <c r="N326">
        <f t="shared" si="0"/>
        <v>2711.3999999999996</v>
      </c>
      <c r="O326">
        <f t="shared" si="0"/>
        <v>3748.7</v>
      </c>
      <c r="P326">
        <f t="shared" si="0"/>
        <v>4986.7</v>
      </c>
      <c r="Q326">
        <f t="shared" si="0"/>
        <v>6275.5</v>
      </c>
      <c r="R326">
        <f t="shared" si="0"/>
        <v>7628.8</v>
      </c>
      <c r="S326">
        <f t="shared" si="0"/>
        <v>8340</v>
      </c>
      <c r="T326">
        <f t="shared" si="0"/>
        <v>10017.5</v>
      </c>
    </row>
    <row r="327" spans="1:20" x14ac:dyDescent="0.4">
      <c r="A327">
        <v>2027</v>
      </c>
      <c r="B327">
        <v>0.90139999999999998</v>
      </c>
      <c r="C327">
        <v>1.8722000000000001</v>
      </c>
      <c r="D327">
        <v>2.4102000000000001</v>
      </c>
      <c r="E327">
        <v>3.4171999999999998</v>
      </c>
      <c r="F327">
        <v>4.7117000000000004</v>
      </c>
      <c r="G327">
        <v>6.0788000000000002</v>
      </c>
      <c r="H327">
        <v>7.3747999999999996</v>
      </c>
      <c r="I327">
        <v>8.3133999999999997</v>
      </c>
      <c r="J327">
        <v>9.9901</v>
      </c>
      <c r="L327">
        <f t="shared" si="1"/>
        <v>901.4</v>
      </c>
      <c r="M327">
        <f t="shared" si="0"/>
        <v>1872.2</v>
      </c>
      <c r="N327">
        <f t="shared" si="0"/>
        <v>2410.2000000000003</v>
      </c>
      <c r="O327">
        <f t="shared" si="0"/>
        <v>3417.2</v>
      </c>
      <c r="P327">
        <f t="shared" si="0"/>
        <v>4711.7000000000007</v>
      </c>
      <c r="Q327">
        <f t="shared" si="0"/>
        <v>6078.8</v>
      </c>
      <c r="R327">
        <f t="shared" si="0"/>
        <v>7374.7999999999993</v>
      </c>
      <c r="S327">
        <f t="shared" si="0"/>
        <v>8313.4</v>
      </c>
      <c r="T327">
        <f t="shared" si="0"/>
        <v>9990.1</v>
      </c>
    </row>
    <row r="328" spans="1:20" x14ac:dyDescent="0.4">
      <c r="A328">
        <v>2028</v>
      </c>
      <c r="B328">
        <v>0.77849999999999997</v>
      </c>
      <c r="C328">
        <v>1.6386000000000001</v>
      </c>
      <c r="D328">
        <v>2.1137999999999999</v>
      </c>
      <c r="E328">
        <v>3.1463000000000001</v>
      </c>
      <c r="F328">
        <v>4.3849999999999998</v>
      </c>
      <c r="G328">
        <v>5.8392999999999997</v>
      </c>
      <c r="H328">
        <v>7.4149000000000003</v>
      </c>
      <c r="I328">
        <v>8.2174999999999994</v>
      </c>
      <c r="J328">
        <v>9.73</v>
      </c>
      <c r="L328">
        <f t="shared" si="1"/>
        <v>778.5</v>
      </c>
      <c r="M328">
        <f t="shared" si="0"/>
        <v>1638.6000000000001</v>
      </c>
      <c r="N328">
        <f t="shared" si="0"/>
        <v>2113.7999999999997</v>
      </c>
      <c r="O328">
        <f t="shared" si="0"/>
        <v>3146.3</v>
      </c>
      <c r="P328">
        <f t="shared" si="0"/>
        <v>4385</v>
      </c>
      <c r="Q328">
        <f t="shared" si="0"/>
        <v>5839.2999999999993</v>
      </c>
      <c r="R328">
        <f t="shared" si="0"/>
        <v>7414.9000000000005</v>
      </c>
      <c r="S328">
        <f t="shared" si="0"/>
        <v>8217.5</v>
      </c>
      <c r="T328">
        <f t="shared" si="0"/>
        <v>9730</v>
      </c>
    </row>
    <row r="329" spans="1:20" x14ac:dyDescent="0.4">
      <c r="A329">
        <v>2029</v>
      </c>
      <c r="B329">
        <v>0.61119999999999997</v>
      </c>
      <c r="C329">
        <v>1.4365000000000001</v>
      </c>
      <c r="D329">
        <v>1.9426000000000001</v>
      </c>
      <c r="E329">
        <v>2.9954000000000001</v>
      </c>
      <c r="F329">
        <v>4.1712999999999996</v>
      </c>
      <c r="G329">
        <v>5.6651999999999996</v>
      </c>
      <c r="H329">
        <v>7.1268000000000002</v>
      </c>
      <c r="I329">
        <v>7.9752999999999998</v>
      </c>
      <c r="J329">
        <v>9.9098000000000006</v>
      </c>
      <c r="L329">
        <f t="shared" si="1"/>
        <v>611.19999999999993</v>
      </c>
      <c r="M329">
        <f t="shared" si="0"/>
        <v>1436.5</v>
      </c>
      <c r="N329">
        <f t="shared" si="0"/>
        <v>1942.6000000000001</v>
      </c>
      <c r="O329">
        <f t="shared" si="0"/>
        <v>2995.4</v>
      </c>
      <c r="P329">
        <f t="shared" si="0"/>
        <v>4171.2999999999993</v>
      </c>
      <c r="Q329">
        <f t="shared" si="0"/>
        <v>5665.2</v>
      </c>
      <c r="R329">
        <f t="shared" si="0"/>
        <v>7126.8</v>
      </c>
      <c r="S329">
        <f t="shared" si="0"/>
        <v>7975.3</v>
      </c>
      <c r="T329">
        <f t="shared" si="0"/>
        <v>9909.8000000000011</v>
      </c>
    </row>
    <row r="330" spans="1:20" x14ac:dyDescent="0.4">
      <c r="A330">
        <v>2030</v>
      </c>
      <c r="B330">
        <v>0.55479999999999996</v>
      </c>
      <c r="C330">
        <v>1.3542000000000001</v>
      </c>
      <c r="D330">
        <v>1.8785000000000001</v>
      </c>
      <c r="E330">
        <v>2.7204000000000002</v>
      </c>
      <c r="F330">
        <v>4.0799000000000003</v>
      </c>
      <c r="G330">
        <v>5.5473999999999997</v>
      </c>
      <c r="H330">
        <v>6.9554999999999998</v>
      </c>
      <c r="I330">
        <v>7.7053000000000003</v>
      </c>
      <c r="J330">
        <v>10.1622</v>
      </c>
      <c r="L330">
        <f t="shared" si="1"/>
        <v>554.79999999999995</v>
      </c>
      <c r="M330">
        <f t="shared" si="0"/>
        <v>1354.2</v>
      </c>
      <c r="N330">
        <f t="shared" si="0"/>
        <v>1878.5</v>
      </c>
      <c r="O330">
        <f t="shared" si="0"/>
        <v>2720.4</v>
      </c>
      <c r="P330">
        <f t="shared" si="0"/>
        <v>4079.9</v>
      </c>
      <c r="Q330">
        <f t="shared" si="0"/>
        <v>5547.4</v>
      </c>
      <c r="R330">
        <f t="shared" si="0"/>
        <v>6955.5</v>
      </c>
      <c r="S330">
        <f t="shared" si="0"/>
        <v>7705.3</v>
      </c>
      <c r="T330">
        <f t="shared" si="0"/>
        <v>10162.200000000001</v>
      </c>
    </row>
    <row r="331" spans="1:20" x14ac:dyDescent="0.4">
      <c r="A331">
        <v>2031</v>
      </c>
      <c r="B331">
        <v>0.46760000000000002</v>
      </c>
      <c r="C331">
        <v>1.2415</v>
      </c>
      <c r="D331">
        <v>1.7790999999999999</v>
      </c>
      <c r="E331">
        <v>2.7254999999999998</v>
      </c>
      <c r="F331">
        <v>3.9944999999999999</v>
      </c>
      <c r="G331">
        <v>5.4150999999999998</v>
      </c>
      <c r="H331">
        <v>7.0044000000000004</v>
      </c>
      <c r="I331">
        <v>7.7714999999999996</v>
      </c>
      <c r="J331">
        <v>10.675700000000001</v>
      </c>
      <c r="L331">
        <f t="shared" si="1"/>
        <v>467.6</v>
      </c>
      <c r="M331">
        <f t="shared" si="0"/>
        <v>1241.5</v>
      </c>
      <c r="N331">
        <f t="shared" si="0"/>
        <v>1779.1</v>
      </c>
      <c r="O331">
        <f t="shared" si="0"/>
        <v>2725.5</v>
      </c>
      <c r="P331">
        <f t="shared" si="0"/>
        <v>3994.5</v>
      </c>
      <c r="Q331">
        <f t="shared" si="0"/>
        <v>5415.0999999999995</v>
      </c>
      <c r="R331">
        <f t="shared" si="0"/>
        <v>7004.4000000000005</v>
      </c>
      <c r="S331">
        <f t="shared" si="0"/>
        <v>7771.5</v>
      </c>
      <c r="T331">
        <f t="shared" si="0"/>
        <v>10675.7</v>
      </c>
    </row>
    <row r="332" spans="1:20" x14ac:dyDescent="0.4">
      <c r="A332">
        <v>2032</v>
      </c>
      <c r="B332">
        <v>0.36659999999999998</v>
      </c>
      <c r="C332">
        <v>1.0586</v>
      </c>
      <c r="D332">
        <v>1.6712</v>
      </c>
      <c r="E332">
        <v>2.6448999999999998</v>
      </c>
      <c r="F332">
        <v>3.9481999999999999</v>
      </c>
      <c r="G332">
        <v>5.3029999999999999</v>
      </c>
      <c r="H332">
        <v>6.8066000000000004</v>
      </c>
      <c r="I332">
        <v>7.8550000000000004</v>
      </c>
      <c r="J332">
        <v>10.4587</v>
      </c>
      <c r="L332">
        <f t="shared" si="1"/>
        <v>366.59999999999997</v>
      </c>
      <c r="M332">
        <f t="shared" si="0"/>
        <v>1058.5999999999999</v>
      </c>
      <c r="N332">
        <f t="shared" si="0"/>
        <v>1671.2</v>
      </c>
      <c r="O332">
        <f t="shared" si="0"/>
        <v>2644.8999999999996</v>
      </c>
      <c r="P332">
        <f t="shared" si="0"/>
        <v>3948.2</v>
      </c>
      <c r="Q332">
        <f t="shared" si="0"/>
        <v>5303</v>
      </c>
      <c r="R332">
        <f t="shared" si="0"/>
        <v>6806.6</v>
      </c>
      <c r="S332">
        <f t="shared" si="0"/>
        <v>7855</v>
      </c>
      <c r="T332">
        <f t="shared" si="0"/>
        <v>10458.700000000001</v>
      </c>
    </row>
    <row r="333" spans="1:20" x14ac:dyDescent="0.4">
      <c r="A333">
        <v>2033</v>
      </c>
      <c r="B333">
        <v>0.43049999999999999</v>
      </c>
      <c r="C333">
        <v>1.0781000000000001</v>
      </c>
      <c r="D333">
        <v>1.5874999999999999</v>
      </c>
      <c r="E333">
        <v>2.6472000000000002</v>
      </c>
      <c r="F333">
        <v>3.9110999999999998</v>
      </c>
      <c r="G333">
        <v>5.3208000000000002</v>
      </c>
      <c r="H333">
        <v>6.7603</v>
      </c>
      <c r="I333">
        <v>7.7629999999999999</v>
      </c>
      <c r="J333">
        <v>10.583500000000001</v>
      </c>
      <c r="L333">
        <f t="shared" si="1"/>
        <v>430.5</v>
      </c>
      <c r="M333">
        <f t="shared" si="0"/>
        <v>1078.1000000000001</v>
      </c>
      <c r="N333">
        <f t="shared" si="0"/>
        <v>1587.5</v>
      </c>
      <c r="O333">
        <f t="shared" si="0"/>
        <v>2647.2000000000003</v>
      </c>
      <c r="P333">
        <f t="shared" si="0"/>
        <v>3911.1</v>
      </c>
      <c r="Q333">
        <f t="shared" si="0"/>
        <v>5320.8</v>
      </c>
      <c r="R333">
        <f t="shared" si="0"/>
        <v>6760.3</v>
      </c>
      <c r="S333">
        <f t="shared" si="0"/>
        <v>7763</v>
      </c>
      <c r="T333">
        <f t="shared" si="0"/>
        <v>10583.5</v>
      </c>
    </row>
    <row r="334" spans="1:20" x14ac:dyDescent="0.4">
      <c r="A334">
        <v>2034</v>
      </c>
      <c r="B334">
        <v>0.44379999999999997</v>
      </c>
      <c r="C334">
        <v>1.1024</v>
      </c>
      <c r="D334">
        <v>1.5806</v>
      </c>
      <c r="E334">
        <v>2.4931000000000001</v>
      </c>
      <c r="F334">
        <v>3.8751000000000002</v>
      </c>
      <c r="G334">
        <v>5.1877000000000004</v>
      </c>
      <c r="H334">
        <v>6.7487000000000004</v>
      </c>
      <c r="I334">
        <v>7.6387999999999998</v>
      </c>
      <c r="J334">
        <v>10.5974</v>
      </c>
      <c r="L334">
        <f t="shared" si="1"/>
        <v>443.79999999999995</v>
      </c>
      <c r="M334">
        <f t="shared" si="0"/>
        <v>1102.4000000000001</v>
      </c>
      <c r="N334">
        <f t="shared" si="0"/>
        <v>1580.6</v>
      </c>
      <c r="O334">
        <f t="shared" si="0"/>
        <v>2493.1</v>
      </c>
      <c r="P334">
        <f t="shared" si="0"/>
        <v>3875.1000000000004</v>
      </c>
      <c r="Q334">
        <f t="shared" si="0"/>
        <v>5187.7000000000007</v>
      </c>
      <c r="R334">
        <f t="shared" si="0"/>
        <v>6748.7000000000007</v>
      </c>
      <c r="S334">
        <f t="shared" si="0"/>
        <v>7638.8</v>
      </c>
      <c r="T334">
        <f t="shared" si="0"/>
        <v>10597.4</v>
      </c>
    </row>
    <row r="335" spans="1:20" x14ac:dyDescent="0.4">
      <c r="A335">
        <v>2035</v>
      </c>
      <c r="B335">
        <v>0.37830000000000003</v>
      </c>
      <c r="C335">
        <v>1.0536000000000001</v>
      </c>
      <c r="D335">
        <v>1.5636000000000001</v>
      </c>
      <c r="E335">
        <v>2.4504999999999999</v>
      </c>
      <c r="F335">
        <v>3.7488000000000001</v>
      </c>
      <c r="G335">
        <v>5.0841000000000003</v>
      </c>
      <c r="H335">
        <v>6.6136999999999997</v>
      </c>
      <c r="I335">
        <v>7.4904999999999999</v>
      </c>
      <c r="J335">
        <v>10.174899999999999</v>
      </c>
      <c r="L335">
        <f t="shared" ref="L335:L375" si="2">B335*1000</f>
        <v>378.3</v>
      </c>
      <c r="M335">
        <f t="shared" ref="M335:M375" si="3">C335*1000</f>
        <v>1053.6000000000001</v>
      </c>
      <c r="N335">
        <f t="shared" ref="N335:N375" si="4">D335*1000</f>
        <v>1563.6000000000001</v>
      </c>
      <c r="O335">
        <f t="shared" ref="O335:O375" si="5">E335*1000</f>
        <v>2450.5</v>
      </c>
      <c r="P335">
        <f t="shared" ref="P335:P375" si="6">F335*1000</f>
        <v>3748.8</v>
      </c>
      <c r="Q335">
        <f t="shared" ref="Q335:Q375" si="7">G335*1000</f>
        <v>5084.1000000000004</v>
      </c>
      <c r="R335">
        <f t="shared" ref="R335:R375" si="8">H335*1000</f>
        <v>6613.7</v>
      </c>
      <c r="S335">
        <f t="shared" ref="S335:S375" si="9">I335*1000</f>
        <v>7490.5</v>
      </c>
      <c r="T335">
        <f t="shared" ref="T335:T375" si="10">J335*1000</f>
        <v>10174.9</v>
      </c>
    </row>
    <row r="336" spans="1:20" x14ac:dyDescent="0.4">
      <c r="A336">
        <v>2036</v>
      </c>
      <c r="B336">
        <v>0.38369999999999999</v>
      </c>
      <c r="C336">
        <v>1.0566</v>
      </c>
      <c r="D336">
        <v>1.5696000000000001</v>
      </c>
      <c r="E336">
        <v>2.4851000000000001</v>
      </c>
      <c r="F336">
        <v>3.6821999999999999</v>
      </c>
      <c r="G336">
        <v>5.1369999999999996</v>
      </c>
      <c r="H336">
        <v>6.4089</v>
      </c>
      <c r="I336">
        <v>7.5011000000000001</v>
      </c>
      <c r="J336">
        <v>10.0007</v>
      </c>
      <c r="L336">
        <f t="shared" si="2"/>
        <v>383.7</v>
      </c>
      <c r="M336">
        <f t="shared" si="3"/>
        <v>1056.5999999999999</v>
      </c>
      <c r="N336">
        <f t="shared" si="4"/>
        <v>1569.6000000000001</v>
      </c>
      <c r="O336">
        <f t="shared" si="5"/>
        <v>2485.1</v>
      </c>
      <c r="P336">
        <f t="shared" si="6"/>
        <v>3682.2</v>
      </c>
      <c r="Q336">
        <f t="shared" si="7"/>
        <v>5137</v>
      </c>
      <c r="R336">
        <f t="shared" si="8"/>
        <v>6408.9</v>
      </c>
      <c r="S336">
        <f t="shared" si="9"/>
        <v>7501.1</v>
      </c>
      <c r="T336">
        <f t="shared" si="10"/>
        <v>10000.700000000001</v>
      </c>
    </row>
    <row r="337" spans="1:20" x14ac:dyDescent="0.4">
      <c r="A337">
        <v>2037</v>
      </c>
      <c r="B337">
        <v>0.40770000000000001</v>
      </c>
      <c r="C337">
        <v>1.0452999999999999</v>
      </c>
      <c r="D337">
        <v>1.5145999999999999</v>
      </c>
      <c r="E337">
        <v>2.4247999999999998</v>
      </c>
      <c r="F337">
        <v>3.5771000000000002</v>
      </c>
      <c r="G337">
        <v>4.9404000000000003</v>
      </c>
      <c r="H337">
        <v>6.6096000000000004</v>
      </c>
      <c r="I337">
        <v>7.3265000000000002</v>
      </c>
      <c r="J337">
        <v>10.074299999999999</v>
      </c>
      <c r="L337">
        <f t="shared" si="2"/>
        <v>407.7</v>
      </c>
      <c r="M337">
        <f t="shared" si="3"/>
        <v>1045.3</v>
      </c>
      <c r="N337">
        <f t="shared" si="4"/>
        <v>1514.6</v>
      </c>
      <c r="O337">
        <f t="shared" si="5"/>
        <v>2424.7999999999997</v>
      </c>
      <c r="P337">
        <f t="shared" si="6"/>
        <v>3577.1000000000004</v>
      </c>
      <c r="Q337">
        <f t="shared" si="7"/>
        <v>4940.4000000000005</v>
      </c>
      <c r="R337">
        <f t="shared" si="8"/>
        <v>6609.6</v>
      </c>
      <c r="S337">
        <f t="shared" si="9"/>
        <v>7326.5</v>
      </c>
      <c r="T337">
        <f t="shared" si="10"/>
        <v>10074.299999999999</v>
      </c>
    </row>
    <row r="338" spans="1:20" x14ac:dyDescent="0.4">
      <c r="A338">
        <v>2038</v>
      </c>
      <c r="B338">
        <v>0.51119999999999999</v>
      </c>
      <c r="C338">
        <v>1.1777</v>
      </c>
      <c r="D338">
        <v>1.5356000000000001</v>
      </c>
      <c r="E338">
        <v>2.3138000000000001</v>
      </c>
      <c r="F338">
        <v>3.6309999999999998</v>
      </c>
      <c r="G338">
        <v>5.0049000000000001</v>
      </c>
      <c r="H338">
        <v>6.4016000000000002</v>
      </c>
      <c r="I338">
        <v>7.2004999999999999</v>
      </c>
      <c r="J338">
        <v>10.149699999999999</v>
      </c>
      <c r="L338">
        <f t="shared" si="2"/>
        <v>511.2</v>
      </c>
      <c r="M338">
        <f t="shared" si="3"/>
        <v>1177.7</v>
      </c>
      <c r="N338">
        <f t="shared" si="4"/>
        <v>1535.6000000000001</v>
      </c>
      <c r="O338">
        <f t="shared" si="5"/>
        <v>2313.8000000000002</v>
      </c>
      <c r="P338">
        <f t="shared" si="6"/>
        <v>3631</v>
      </c>
      <c r="Q338">
        <f t="shared" si="7"/>
        <v>5004.9000000000005</v>
      </c>
      <c r="R338">
        <f t="shared" si="8"/>
        <v>6401.6</v>
      </c>
      <c r="S338">
        <f t="shared" si="9"/>
        <v>7200.5</v>
      </c>
      <c r="T338">
        <f t="shared" si="10"/>
        <v>10149.699999999999</v>
      </c>
    </row>
    <row r="339" spans="1:20" x14ac:dyDescent="0.4">
      <c r="A339">
        <v>2039</v>
      </c>
      <c r="B339">
        <v>0.31769999999999998</v>
      </c>
      <c r="C339">
        <v>1.0955999999999999</v>
      </c>
      <c r="D339">
        <v>1.5613999999999999</v>
      </c>
      <c r="E339">
        <v>2.3633000000000002</v>
      </c>
      <c r="F339">
        <v>3.6269999999999998</v>
      </c>
      <c r="G339">
        <v>5.0694999999999997</v>
      </c>
      <c r="H339">
        <v>6.3964999999999996</v>
      </c>
      <c r="I339">
        <v>7.1989000000000001</v>
      </c>
      <c r="J339">
        <v>10.224</v>
      </c>
      <c r="L339">
        <f t="shared" si="2"/>
        <v>317.7</v>
      </c>
      <c r="M339">
        <f t="shared" si="3"/>
        <v>1095.5999999999999</v>
      </c>
      <c r="N339">
        <f t="shared" si="4"/>
        <v>1561.3999999999999</v>
      </c>
      <c r="O339">
        <f t="shared" si="5"/>
        <v>2363.3000000000002</v>
      </c>
      <c r="P339">
        <f t="shared" si="6"/>
        <v>3627</v>
      </c>
      <c r="Q339">
        <f t="shared" si="7"/>
        <v>5069.5</v>
      </c>
      <c r="R339">
        <f t="shared" si="8"/>
        <v>6396.5</v>
      </c>
      <c r="S339">
        <f t="shared" si="9"/>
        <v>7198.9</v>
      </c>
      <c r="T339">
        <f t="shared" si="10"/>
        <v>10224</v>
      </c>
    </row>
    <row r="340" spans="1:20" x14ac:dyDescent="0.4">
      <c r="A340">
        <v>2040</v>
      </c>
      <c r="B340">
        <v>0.21440000000000001</v>
      </c>
      <c r="C340">
        <v>0.98360000000000003</v>
      </c>
      <c r="D340">
        <v>1.4784999999999999</v>
      </c>
      <c r="E340">
        <v>2.4076</v>
      </c>
      <c r="F340">
        <v>3.6189</v>
      </c>
      <c r="G340">
        <v>5.0210999999999997</v>
      </c>
      <c r="H340">
        <v>6.5590999999999999</v>
      </c>
      <c r="I340">
        <v>7.5972</v>
      </c>
      <c r="J340">
        <v>9.8140000000000001</v>
      </c>
      <c r="L340">
        <f t="shared" si="2"/>
        <v>214.4</v>
      </c>
      <c r="M340">
        <f t="shared" si="3"/>
        <v>983.6</v>
      </c>
      <c r="N340">
        <f t="shared" si="4"/>
        <v>1478.5</v>
      </c>
      <c r="O340">
        <f t="shared" si="5"/>
        <v>2407.6</v>
      </c>
      <c r="P340">
        <f t="shared" si="6"/>
        <v>3618.9</v>
      </c>
      <c r="Q340">
        <f t="shared" si="7"/>
        <v>5021.0999999999995</v>
      </c>
      <c r="R340">
        <f t="shared" si="8"/>
        <v>6559.1</v>
      </c>
      <c r="S340">
        <f t="shared" si="9"/>
        <v>7597.2</v>
      </c>
      <c r="T340">
        <f t="shared" si="10"/>
        <v>9814</v>
      </c>
    </row>
    <row r="341" spans="1:20" x14ac:dyDescent="0.4">
      <c r="A341">
        <v>2041</v>
      </c>
      <c r="B341">
        <v>0.27060000000000001</v>
      </c>
      <c r="C341">
        <v>0.9798</v>
      </c>
      <c r="D341">
        <v>1.4592000000000001</v>
      </c>
      <c r="E341">
        <v>2.4055</v>
      </c>
      <c r="F341">
        <v>3.6757</v>
      </c>
      <c r="G341">
        <v>4.9909999999999997</v>
      </c>
      <c r="H341">
        <v>6.4535</v>
      </c>
      <c r="I341">
        <v>7.3746999999999998</v>
      </c>
      <c r="J341">
        <v>10.6098</v>
      </c>
      <c r="L341">
        <f t="shared" si="2"/>
        <v>270.60000000000002</v>
      </c>
      <c r="M341">
        <f t="shared" si="3"/>
        <v>979.8</v>
      </c>
      <c r="N341">
        <f t="shared" si="4"/>
        <v>1459.2</v>
      </c>
      <c r="O341">
        <f t="shared" si="5"/>
        <v>2405.5</v>
      </c>
      <c r="P341">
        <f t="shared" si="6"/>
        <v>3675.7</v>
      </c>
      <c r="Q341">
        <f t="shared" si="7"/>
        <v>4991</v>
      </c>
      <c r="R341">
        <f t="shared" si="8"/>
        <v>6453.5</v>
      </c>
      <c r="S341">
        <f t="shared" si="9"/>
        <v>7374.7</v>
      </c>
      <c r="T341">
        <f t="shared" si="10"/>
        <v>10609.8</v>
      </c>
    </row>
    <row r="342" spans="1:20" x14ac:dyDescent="0.4">
      <c r="A342">
        <v>2042</v>
      </c>
      <c r="B342">
        <v>0.249</v>
      </c>
      <c r="C342">
        <v>0.8972</v>
      </c>
      <c r="D342">
        <v>1.4144000000000001</v>
      </c>
      <c r="E342">
        <v>2.4068999999999998</v>
      </c>
      <c r="F342">
        <v>3.6351</v>
      </c>
      <c r="G342">
        <v>5.0833000000000004</v>
      </c>
      <c r="H342">
        <v>6.5556999999999999</v>
      </c>
      <c r="I342">
        <v>7.4447999999999999</v>
      </c>
      <c r="J342">
        <v>10.3931</v>
      </c>
      <c r="L342">
        <f t="shared" si="2"/>
        <v>249</v>
      </c>
      <c r="M342">
        <f t="shared" si="3"/>
        <v>897.2</v>
      </c>
      <c r="N342">
        <f t="shared" si="4"/>
        <v>1414.4</v>
      </c>
      <c r="O342">
        <f t="shared" si="5"/>
        <v>2406.8999999999996</v>
      </c>
      <c r="P342">
        <f t="shared" si="6"/>
        <v>3635.1</v>
      </c>
      <c r="Q342">
        <f t="shared" si="7"/>
        <v>5083.3</v>
      </c>
      <c r="R342">
        <f t="shared" si="8"/>
        <v>6555.7</v>
      </c>
      <c r="S342">
        <f t="shared" si="9"/>
        <v>7444.8</v>
      </c>
      <c r="T342">
        <f t="shared" si="10"/>
        <v>10393.1</v>
      </c>
    </row>
    <row r="343" spans="1:20" x14ac:dyDescent="0.4">
      <c r="A343">
        <v>2043</v>
      </c>
      <c r="B343">
        <v>0.21859999999999999</v>
      </c>
      <c r="C343">
        <v>0.79320000000000002</v>
      </c>
      <c r="D343">
        <v>1.3802000000000001</v>
      </c>
      <c r="E343">
        <v>2.38</v>
      </c>
      <c r="F343">
        <v>3.5952999999999999</v>
      </c>
      <c r="G343">
        <v>5.077</v>
      </c>
      <c r="H343">
        <v>6.5613000000000001</v>
      </c>
      <c r="I343">
        <v>7.6788999999999996</v>
      </c>
      <c r="J343">
        <v>10.2074</v>
      </c>
      <c r="L343">
        <f t="shared" si="2"/>
        <v>218.6</v>
      </c>
      <c r="M343">
        <f t="shared" si="3"/>
        <v>793.2</v>
      </c>
      <c r="N343">
        <f t="shared" si="4"/>
        <v>1380.2</v>
      </c>
      <c r="O343">
        <f t="shared" si="5"/>
        <v>2380</v>
      </c>
      <c r="P343">
        <f t="shared" si="6"/>
        <v>3595.2999999999997</v>
      </c>
      <c r="Q343">
        <f t="shared" si="7"/>
        <v>5077</v>
      </c>
      <c r="R343">
        <f t="shared" si="8"/>
        <v>6561.3</v>
      </c>
      <c r="S343">
        <f t="shared" si="9"/>
        <v>7678.9</v>
      </c>
      <c r="T343">
        <f t="shared" si="10"/>
        <v>10207.4</v>
      </c>
    </row>
    <row r="344" spans="1:20" x14ac:dyDescent="0.4">
      <c r="A344">
        <v>2044</v>
      </c>
      <c r="B344">
        <v>0.18410000000000001</v>
      </c>
      <c r="C344">
        <v>0.83799999999999997</v>
      </c>
      <c r="D344">
        <v>1.3090999999999999</v>
      </c>
      <c r="E344">
        <v>2.3767</v>
      </c>
      <c r="F344">
        <v>3.6964000000000001</v>
      </c>
      <c r="G344">
        <v>5.0450999999999997</v>
      </c>
      <c r="H344">
        <v>6.6284000000000001</v>
      </c>
      <c r="I344">
        <v>7.6764000000000001</v>
      </c>
      <c r="J344">
        <v>9.9501000000000008</v>
      </c>
      <c r="L344">
        <f t="shared" si="2"/>
        <v>184.10000000000002</v>
      </c>
      <c r="M344">
        <f t="shared" si="3"/>
        <v>838</v>
      </c>
      <c r="N344">
        <f t="shared" si="4"/>
        <v>1309.0999999999999</v>
      </c>
      <c r="O344">
        <f t="shared" si="5"/>
        <v>2376.6999999999998</v>
      </c>
      <c r="P344">
        <f t="shared" si="6"/>
        <v>3696.4</v>
      </c>
      <c r="Q344">
        <f t="shared" si="7"/>
        <v>5045.0999999999995</v>
      </c>
      <c r="R344">
        <f t="shared" si="8"/>
        <v>6628.4</v>
      </c>
      <c r="S344">
        <f t="shared" si="9"/>
        <v>7676.4000000000005</v>
      </c>
      <c r="T344">
        <f t="shared" si="10"/>
        <v>9950.1</v>
      </c>
    </row>
    <row r="345" spans="1:20" x14ac:dyDescent="0.4">
      <c r="A345">
        <v>2045</v>
      </c>
      <c r="B345">
        <v>0.17249999999999999</v>
      </c>
      <c r="C345">
        <v>0.76819999999999999</v>
      </c>
      <c r="D345">
        <v>1.3148</v>
      </c>
      <c r="E345">
        <v>2.3624999999999998</v>
      </c>
      <c r="F345">
        <v>3.6808999999999998</v>
      </c>
      <c r="G345">
        <v>5.1668000000000003</v>
      </c>
      <c r="H345">
        <v>6.5552999999999999</v>
      </c>
      <c r="I345">
        <v>7.3841999999999999</v>
      </c>
      <c r="J345">
        <v>9.7382000000000009</v>
      </c>
      <c r="L345">
        <f t="shared" si="2"/>
        <v>172.5</v>
      </c>
      <c r="M345">
        <f t="shared" si="3"/>
        <v>768.2</v>
      </c>
      <c r="N345">
        <f t="shared" si="4"/>
        <v>1314.8</v>
      </c>
      <c r="O345">
        <f t="shared" si="5"/>
        <v>2362.5</v>
      </c>
      <c r="P345">
        <f t="shared" si="6"/>
        <v>3680.8999999999996</v>
      </c>
      <c r="Q345">
        <f t="shared" si="7"/>
        <v>5166.8</v>
      </c>
      <c r="R345">
        <f t="shared" si="8"/>
        <v>6555.3</v>
      </c>
      <c r="S345">
        <f t="shared" si="9"/>
        <v>7384.2</v>
      </c>
      <c r="T345">
        <f t="shared" si="10"/>
        <v>9738.2000000000007</v>
      </c>
    </row>
    <row r="346" spans="1:20" x14ac:dyDescent="0.4">
      <c r="A346">
        <v>2046</v>
      </c>
      <c r="B346">
        <v>8.43E-2</v>
      </c>
      <c r="C346">
        <v>0.70950000000000002</v>
      </c>
      <c r="D346">
        <v>1.2650999999999999</v>
      </c>
      <c r="E346">
        <v>2.3308</v>
      </c>
      <c r="F346">
        <v>3.6149</v>
      </c>
      <c r="G346">
        <v>5.1573000000000002</v>
      </c>
      <c r="H346">
        <v>6.569</v>
      </c>
      <c r="I346">
        <v>7.6243999999999996</v>
      </c>
      <c r="J346">
        <v>10.3674</v>
      </c>
      <c r="L346">
        <f t="shared" si="2"/>
        <v>84.3</v>
      </c>
      <c r="M346">
        <f t="shared" si="3"/>
        <v>709.5</v>
      </c>
      <c r="N346">
        <f t="shared" si="4"/>
        <v>1265.0999999999999</v>
      </c>
      <c r="O346">
        <f t="shared" si="5"/>
        <v>2330.8000000000002</v>
      </c>
      <c r="P346">
        <f t="shared" si="6"/>
        <v>3614.9</v>
      </c>
      <c r="Q346">
        <f t="shared" si="7"/>
        <v>5157.3</v>
      </c>
      <c r="R346">
        <f t="shared" si="8"/>
        <v>6569</v>
      </c>
      <c r="S346">
        <f t="shared" si="9"/>
        <v>7624.4</v>
      </c>
      <c r="T346">
        <f t="shared" si="10"/>
        <v>10367.4</v>
      </c>
    </row>
    <row r="347" spans="1:20" x14ac:dyDescent="0.4">
      <c r="A347">
        <v>2047</v>
      </c>
      <c r="B347">
        <v>7.8799999999999995E-2</v>
      </c>
      <c r="C347">
        <v>0.80710000000000004</v>
      </c>
      <c r="D347">
        <v>1.3035000000000001</v>
      </c>
      <c r="E347">
        <v>2.3359000000000001</v>
      </c>
      <c r="F347">
        <v>3.6497999999999999</v>
      </c>
      <c r="G347">
        <v>5.0125000000000002</v>
      </c>
      <c r="H347">
        <v>6.5065</v>
      </c>
      <c r="I347">
        <v>7.6654</v>
      </c>
      <c r="J347">
        <v>10.761799999999999</v>
      </c>
      <c r="L347">
        <f t="shared" si="2"/>
        <v>78.8</v>
      </c>
      <c r="M347">
        <f t="shared" si="3"/>
        <v>807.1</v>
      </c>
      <c r="N347">
        <f t="shared" si="4"/>
        <v>1303.5</v>
      </c>
      <c r="O347">
        <f t="shared" si="5"/>
        <v>2335.9</v>
      </c>
      <c r="P347">
        <f t="shared" si="6"/>
        <v>3649.7999999999997</v>
      </c>
      <c r="Q347">
        <f t="shared" si="7"/>
        <v>5012.5</v>
      </c>
      <c r="R347">
        <f t="shared" si="8"/>
        <v>6506.5</v>
      </c>
      <c r="S347">
        <f t="shared" si="9"/>
        <v>7665.4</v>
      </c>
      <c r="T347">
        <f t="shared" si="10"/>
        <v>10761.8</v>
      </c>
    </row>
    <row r="348" spans="1:20" x14ac:dyDescent="0.4">
      <c r="A348">
        <v>2048</v>
      </c>
      <c r="B348">
        <v>3.61E-2</v>
      </c>
      <c r="C348">
        <v>0.7127</v>
      </c>
      <c r="D348">
        <v>1.3392999999999999</v>
      </c>
      <c r="E348">
        <v>2.3843999999999999</v>
      </c>
      <c r="F348">
        <v>3.6606999999999998</v>
      </c>
      <c r="G348">
        <v>5.0114000000000001</v>
      </c>
      <c r="H348">
        <v>6.3579999999999997</v>
      </c>
      <c r="I348">
        <v>7.3756000000000004</v>
      </c>
      <c r="J348">
        <v>9.9376999999999995</v>
      </c>
      <c r="L348">
        <f t="shared" si="2"/>
        <v>36.1</v>
      </c>
      <c r="M348">
        <f t="shared" si="3"/>
        <v>712.7</v>
      </c>
      <c r="N348">
        <f t="shared" si="4"/>
        <v>1339.3</v>
      </c>
      <c r="O348">
        <f t="shared" si="5"/>
        <v>2384.3999999999996</v>
      </c>
      <c r="P348">
        <f t="shared" si="6"/>
        <v>3660.7</v>
      </c>
      <c r="Q348">
        <f t="shared" si="7"/>
        <v>5011.3999999999996</v>
      </c>
      <c r="R348">
        <f t="shared" si="8"/>
        <v>6358</v>
      </c>
      <c r="S348">
        <f t="shared" si="9"/>
        <v>7375.6</v>
      </c>
      <c r="T348">
        <f t="shared" si="10"/>
        <v>9937.6999999999989</v>
      </c>
    </row>
    <row r="349" spans="1:20" x14ac:dyDescent="0.4">
      <c r="A349">
        <v>2049</v>
      </c>
      <c r="B349">
        <v>1E-3</v>
      </c>
      <c r="C349">
        <v>0.69699999999999995</v>
      </c>
      <c r="D349">
        <v>1.3972</v>
      </c>
      <c r="E349">
        <v>2.3123</v>
      </c>
      <c r="F349">
        <v>3.6236999999999999</v>
      </c>
      <c r="G349">
        <v>5.0434999999999999</v>
      </c>
      <c r="H349">
        <v>6.4542000000000002</v>
      </c>
      <c r="I349">
        <v>7.4749999999999996</v>
      </c>
      <c r="J349">
        <v>9.9863</v>
      </c>
      <c r="L349">
        <f t="shared" si="2"/>
        <v>1</v>
      </c>
      <c r="M349">
        <f t="shared" si="3"/>
        <v>697</v>
      </c>
      <c r="N349">
        <f t="shared" si="4"/>
        <v>1397.2</v>
      </c>
      <c r="O349">
        <f t="shared" si="5"/>
        <v>2312.3000000000002</v>
      </c>
      <c r="P349">
        <f t="shared" si="6"/>
        <v>3623.7</v>
      </c>
      <c r="Q349">
        <f t="shared" si="7"/>
        <v>5043.5</v>
      </c>
      <c r="R349">
        <f t="shared" si="8"/>
        <v>6454.2</v>
      </c>
      <c r="S349">
        <f t="shared" si="9"/>
        <v>7475</v>
      </c>
      <c r="T349">
        <f t="shared" si="10"/>
        <v>9986.2999999999993</v>
      </c>
    </row>
    <row r="350" spans="1:20" x14ac:dyDescent="0.4">
      <c r="A350">
        <v>2050</v>
      </c>
      <c r="B350">
        <v>1E-3</v>
      </c>
      <c r="C350">
        <v>0.75739999999999996</v>
      </c>
      <c r="D350">
        <v>1.2684</v>
      </c>
      <c r="E350">
        <v>2.2610000000000001</v>
      </c>
      <c r="F350">
        <v>3.6634000000000002</v>
      </c>
      <c r="G350">
        <v>5.1837</v>
      </c>
      <c r="H350">
        <v>6.3932000000000002</v>
      </c>
      <c r="I350">
        <v>7.3948</v>
      </c>
      <c r="J350">
        <v>9.6606000000000005</v>
      </c>
      <c r="L350">
        <f t="shared" si="2"/>
        <v>1</v>
      </c>
      <c r="M350">
        <f t="shared" si="3"/>
        <v>757.4</v>
      </c>
      <c r="N350">
        <f t="shared" si="4"/>
        <v>1268.3999999999999</v>
      </c>
      <c r="O350">
        <f t="shared" si="5"/>
        <v>2261</v>
      </c>
      <c r="P350">
        <f t="shared" si="6"/>
        <v>3663.4</v>
      </c>
      <c r="Q350">
        <f t="shared" si="7"/>
        <v>5183.7</v>
      </c>
      <c r="R350">
        <f t="shared" si="8"/>
        <v>6393.2</v>
      </c>
      <c r="S350">
        <f t="shared" si="9"/>
        <v>7394.8</v>
      </c>
      <c r="T350">
        <f t="shared" si="10"/>
        <v>9660.6</v>
      </c>
    </row>
    <row r="351" spans="1:20" x14ac:dyDescent="0.4">
      <c r="A351">
        <v>2051</v>
      </c>
      <c r="B351">
        <v>1E-3</v>
      </c>
      <c r="C351">
        <v>0.69320000000000004</v>
      </c>
      <c r="D351">
        <v>1.2009000000000001</v>
      </c>
      <c r="E351">
        <v>2.2616999999999998</v>
      </c>
      <c r="F351">
        <v>3.6389</v>
      </c>
      <c r="G351">
        <v>5.0326000000000004</v>
      </c>
      <c r="H351">
        <v>6.5213000000000001</v>
      </c>
      <c r="I351">
        <v>7.4516</v>
      </c>
      <c r="J351">
        <v>9.3917000000000002</v>
      </c>
      <c r="L351">
        <f t="shared" si="2"/>
        <v>1</v>
      </c>
      <c r="M351">
        <f t="shared" si="3"/>
        <v>693.2</v>
      </c>
      <c r="N351">
        <f t="shared" si="4"/>
        <v>1200.9000000000001</v>
      </c>
      <c r="O351">
        <f t="shared" si="5"/>
        <v>2261.6999999999998</v>
      </c>
      <c r="P351">
        <f t="shared" si="6"/>
        <v>3638.9</v>
      </c>
      <c r="Q351">
        <f t="shared" si="7"/>
        <v>5032.6000000000004</v>
      </c>
      <c r="R351">
        <f t="shared" si="8"/>
        <v>6521.3</v>
      </c>
      <c r="S351">
        <f t="shared" si="9"/>
        <v>7451.6</v>
      </c>
      <c r="T351">
        <f t="shared" si="10"/>
        <v>9391.7000000000007</v>
      </c>
    </row>
    <row r="352" spans="1:20" x14ac:dyDescent="0.4">
      <c r="A352">
        <v>2052</v>
      </c>
      <c r="B352">
        <v>1E-3</v>
      </c>
      <c r="C352">
        <v>0.62960000000000005</v>
      </c>
      <c r="D352">
        <v>1.2665</v>
      </c>
      <c r="E352">
        <v>2.262</v>
      </c>
      <c r="F352">
        <v>3.6113</v>
      </c>
      <c r="G352">
        <v>5.1162999999999998</v>
      </c>
      <c r="H352">
        <v>6.4596</v>
      </c>
      <c r="I352">
        <v>7.2840999999999996</v>
      </c>
      <c r="J352">
        <v>9.2967999999999993</v>
      </c>
      <c r="L352">
        <f t="shared" si="2"/>
        <v>1</v>
      </c>
      <c r="M352">
        <f t="shared" si="3"/>
        <v>629.6</v>
      </c>
      <c r="N352">
        <f t="shared" si="4"/>
        <v>1266.5</v>
      </c>
      <c r="O352">
        <f t="shared" si="5"/>
        <v>2262</v>
      </c>
      <c r="P352">
        <f t="shared" si="6"/>
        <v>3611.3</v>
      </c>
      <c r="Q352">
        <f t="shared" si="7"/>
        <v>5116.3</v>
      </c>
      <c r="R352">
        <f t="shared" si="8"/>
        <v>6459.6</v>
      </c>
      <c r="S352">
        <f t="shared" si="9"/>
        <v>7284.0999999999995</v>
      </c>
      <c r="T352">
        <f t="shared" si="10"/>
        <v>9296.7999999999993</v>
      </c>
    </row>
    <row r="353" spans="1:20" x14ac:dyDescent="0.4">
      <c r="A353">
        <v>2053</v>
      </c>
      <c r="B353">
        <v>1E-3</v>
      </c>
      <c r="C353">
        <v>0.68169999999999997</v>
      </c>
      <c r="D353">
        <v>1.236</v>
      </c>
      <c r="E353">
        <v>2.2532999999999999</v>
      </c>
      <c r="F353">
        <v>3.6926000000000001</v>
      </c>
      <c r="G353">
        <v>5.1006</v>
      </c>
      <c r="H353">
        <v>6.3573000000000004</v>
      </c>
      <c r="I353">
        <v>7.2384000000000004</v>
      </c>
      <c r="J353">
        <v>9.2665000000000006</v>
      </c>
      <c r="L353">
        <f t="shared" si="2"/>
        <v>1</v>
      </c>
      <c r="M353">
        <f t="shared" si="3"/>
        <v>681.69999999999993</v>
      </c>
      <c r="N353">
        <f t="shared" si="4"/>
        <v>1236</v>
      </c>
      <c r="O353">
        <f t="shared" si="5"/>
        <v>2253.2999999999997</v>
      </c>
      <c r="P353">
        <f t="shared" si="6"/>
        <v>3692.6</v>
      </c>
      <c r="Q353">
        <f t="shared" si="7"/>
        <v>5100.6000000000004</v>
      </c>
      <c r="R353">
        <f t="shared" si="8"/>
        <v>6357.3</v>
      </c>
      <c r="S353">
        <f t="shared" si="9"/>
        <v>7238.4000000000005</v>
      </c>
      <c r="T353">
        <f t="shared" si="10"/>
        <v>9266.5</v>
      </c>
    </row>
    <row r="354" spans="1:20" x14ac:dyDescent="0.4">
      <c r="A354">
        <v>2054</v>
      </c>
      <c r="B354">
        <v>1E-3</v>
      </c>
      <c r="C354">
        <v>0.6321</v>
      </c>
      <c r="D354">
        <v>1.1887000000000001</v>
      </c>
      <c r="E354">
        <v>2.2797000000000001</v>
      </c>
      <c r="F354">
        <v>3.6122999999999998</v>
      </c>
      <c r="G354">
        <v>5.0959000000000003</v>
      </c>
      <c r="H354">
        <v>6.3434999999999997</v>
      </c>
      <c r="I354">
        <v>7.3474000000000004</v>
      </c>
      <c r="J354">
        <v>8.7899999999999991</v>
      </c>
      <c r="L354">
        <f t="shared" si="2"/>
        <v>1</v>
      </c>
      <c r="M354">
        <f t="shared" si="3"/>
        <v>632.1</v>
      </c>
      <c r="N354">
        <f t="shared" si="4"/>
        <v>1188.7</v>
      </c>
      <c r="O354">
        <f t="shared" si="5"/>
        <v>2279.7000000000003</v>
      </c>
      <c r="P354">
        <f t="shared" si="6"/>
        <v>3612.2999999999997</v>
      </c>
      <c r="Q354">
        <f t="shared" si="7"/>
        <v>5095.9000000000005</v>
      </c>
      <c r="R354">
        <f t="shared" si="8"/>
        <v>6343.5</v>
      </c>
      <c r="S354">
        <f t="shared" si="9"/>
        <v>7347.4000000000005</v>
      </c>
      <c r="T354">
        <f t="shared" si="10"/>
        <v>8790</v>
      </c>
    </row>
    <row r="355" spans="1:20" x14ac:dyDescent="0.4">
      <c r="A355">
        <v>2055</v>
      </c>
      <c r="B355">
        <v>1E-3</v>
      </c>
      <c r="C355">
        <v>0.63639999999999997</v>
      </c>
      <c r="D355">
        <v>1.1795</v>
      </c>
      <c r="E355">
        <v>2.3813</v>
      </c>
      <c r="F355">
        <v>3.6959</v>
      </c>
      <c r="G355">
        <v>5.1658999999999997</v>
      </c>
      <c r="H355">
        <v>6.5488</v>
      </c>
      <c r="I355">
        <v>7.3747999999999996</v>
      </c>
      <c r="J355">
        <v>9.4596999999999998</v>
      </c>
      <c r="L355">
        <f t="shared" si="2"/>
        <v>1</v>
      </c>
      <c r="M355">
        <f t="shared" si="3"/>
        <v>636.4</v>
      </c>
      <c r="N355">
        <f t="shared" si="4"/>
        <v>1179.5</v>
      </c>
      <c r="O355">
        <f t="shared" si="5"/>
        <v>2381.3000000000002</v>
      </c>
      <c r="P355">
        <f t="shared" si="6"/>
        <v>3695.9</v>
      </c>
      <c r="Q355">
        <f t="shared" si="7"/>
        <v>5165.8999999999996</v>
      </c>
      <c r="R355">
        <f t="shared" si="8"/>
        <v>6548.8</v>
      </c>
      <c r="S355">
        <f t="shared" si="9"/>
        <v>7374.7999999999993</v>
      </c>
      <c r="T355">
        <f t="shared" si="10"/>
        <v>9459.6999999999989</v>
      </c>
    </row>
    <row r="356" spans="1:20" x14ac:dyDescent="0.4">
      <c r="A356">
        <v>2056</v>
      </c>
      <c r="B356">
        <v>1E-3</v>
      </c>
      <c r="C356">
        <v>0.76200000000000001</v>
      </c>
      <c r="D356">
        <v>1.3387</v>
      </c>
      <c r="E356">
        <v>2.3799000000000001</v>
      </c>
      <c r="F356">
        <v>3.6909000000000001</v>
      </c>
      <c r="G356">
        <v>5.2735000000000003</v>
      </c>
      <c r="H356">
        <v>6.6651999999999996</v>
      </c>
      <c r="I356">
        <v>7.4584000000000001</v>
      </c>
      <c r="J356">
        <v>9.3613</v>
      </c>
      <c r="L356">
        <f t="shared" si="2"/>
        <v>1</v>
      </c>
      <c r="M356">
        <f t="shared" si="3"/>
        <v>762</v>
      </c>
      <c r="N356">
        <f t="shared" si="4"/>
        <v>1338.7</v>
      </c>
      <c r="O356">
        <f t="shared" si="5"/>
        <v>2379.9</v>
      </c>
      <c r="P356">
        <f t="shared" si="6"/>
        <v>3690.9</v>
      </c>
      <c r="Q356">
        <f t="shared" si="7"/>
        <v>5273.5</v>
      </c>
      <c r="R356">
        <f t="shared" si="8"/>
        <v>6665.2</v>
      </c>
      <c r="S356">
        <f t="shared" si="9"/>
        <v>7458.4000000000005</v>
      </c>
      <c r="T356">
        <f t="shared" si="10"/>
        <v>9361.2999999999993</v>
      </c>
    </row>
    <row r="357" spans="1:20" x14ac:dyDescent="0.4">
      <c r="A357">
        <v>2057</v>
      </c>
      <c r="B357">
        <v>1E-3</v>
      </c>
      <c r="C357">
        <v>0.77339999999999998</v>
      </c>
      <c r="D357">
        <v>1.4416</v>
      </c>
      <c r="E357">
        <v>2.4411</v>
      </c>
      <c r="F357">
        <v>3.6829000000000001</v>
      </c>
      <c r="G357">
        <v>5.2568999999999999</v>
      </c>
      <c r="H357">
        <v>6.5848000000000004</v>
      </c>
      <c r="I357">
        <v>7.4034000000000004</v>
      </c>
      <c r="J357">
        <v>9.5662000000000003</v>
      </c>
      <c r="L357">
        <f t="shared" si="2"/>
        <v>1</v>
      </c>
      <c r="M357">
        <f t="shared" si="3"/>
        <v>773.4</v>
      </c>
      <c r="N357">
        <f t="shared" si="4"/>
        <v>1441.6</v>
      </c>
      <c r="O357">
        <f t="shared" si="5"/>
        <v>2441.1</v>
      </c>
      <c r="P357">
        <f t="shared" si="6"/>
        <v>3682.9</v>
      </c>
      <c r="Q357">
        <f t="shared" si="7"/>
        <v>5256.9</v>
      </c>
      <c r="R357">
        <f t="shared" si="8"/>
        <v>6584.8</v>
      </c>
      <c r="S357">
        <f t="shared" si="9"/>
        <v>7403.4000000000005</v>
      </c>
      <c r="T357">
        <f t="shared" si="10"/>
        <v>9566.2000000000007</v>
      </c>
    </row>
    <row r="358" spans="1:20" x14ac:dyDescent="0.4">
      <c r="A358">
        <v>2058</v>
      </c>
      <c r="B358">
        <v>1E-3</v>
      </c>
      <c r="C358">
        <v>0.78039999999999998</v>
      </c>
      <c r="D358">
        <v>1.3582000000000001</v>
      </c>
      <c r="E358">
        <v>2.3319000000000001</v>
      </c>
      <c r="F358">
        <v>3.6177999999999999</v>
      </c>
      <c r="G358">
        <v>5.1238999999999999</v>
      </c>
      <c r="H358">
        <v>6.4084000000000003</v>
      </c>
      <c r="I358">
        <v>7.4035000000000002</v>
      </c>
      <c r="J358">
        <v>9.8514999999999997</v>
      </c>
      <c r="L358">
        <f t="shared" si="2"/>
        <v>1</v>
      </c>
      <c r="M358">
        <f t="shared" si="3"/>
        <v>780.4</v>
      </c>
      <c r="N358">
        <f t="shared" si="4"/>
        <v>1358.2</v>
      </c>
      <c r="O358">
        <f t="shared" si="5"/>
        <v>2331.9</v>
      </c>
      <c r="P358">
        <f t="shared" si="6"/>
        <v>3617.7999999999997</v>
      </c>
      <c r="Q358">
        <f t="shared" si="7"/>
        <v>5123.8999999999996</v>
      </c>
      <c r="R358">
        <f t="shared" si="8"/>
        <v>6408.4000000000005</v>
      </c>
      <c r="S358">
        <f t="shared" si="9"/>
        <v>7403.5</v>
      </c>
      <c r="T358">
        <f t="shared" si="10"/>
        <v>9851.5</v>
      </c>
    </row>
    <row r="359" spans="1:20" x14ac:dyDescent="0.4">
      <c r="A359">
        <v>2059</v>
      </c>
      <c r="B359">
        <v>1E-3</v>
      </c>
      <c r="C359">
        <v>0.65690000000000004</v>
      </c>
      <c r="D359">
        <v>1.2948999999999999</v>
      </c>
      <c r="E359">
        <v>2.3047</v>
      </c>
      <c r="F359">
        <v>3.6789000000000001</v>
      </c>
      <c r="G359">
        <v>5.1422999999999996</v>
      </c>
      <c r="H359">
        <v>6.3864000000000001</v>
      </c>
      <c r="I359">
        <v>7.3792</v>
      </c>
      <c r="J359">
        <v>10.3012</v>
      </c>
      <c r="L359">
        <f t="shared" si="2"/>
        <v>1</v>
      </c>
      <c r="M359">
        <f t="shared" si="3"/>
        <v>656.90000000000009</v>
      </c>
      <c r="N359">
        <f t="shared" si="4"/>
        <v>1294.8999999999999</v>
      </c>
      <c r="O359">
        <f t="shared" si="5"/>
        <v>2304.6999999999998</v>
      </c>
      <c r="P359">
        <f t="shared" si="6"/>
        <v>3678.9</v>
      </c>
      <c r="Q359">
        <f t="shared" si="7"/>
        <v>5142.2999999999993</v>
      </c>
      <c r="R359">
        <f t="shared" si="8"/>
        <v>6386.4</v>
      </c>
      <c r="S359">
        <f t="shared" si="9"/>
        <v>7379.2</v>
      </c>
      <c r="T359">
        <f t="shared" si="10"/>
        <v>10301.199999999999</v>
      </c>
    </row>
    <row r="360" spans="1:20" x14ac:dyDescent="0.4">
      <c r="A360">
        <v>2060</v>
      </c>
      <c r="B360">
        <v>1E-3</v>
      </c>
      <c r="C360">
        <v>0.49519999999999997</v>
      </c>
      <c r="D360">
        <v>1.1720999999999999</v>
      </c>
      <c r="E360">
        <v>2.3245</v>
      </c>
      <c r="F360">
        <v>3.6787000000000001</v>
      </c>
      <c r="G360">
        <v>5.0670000000000002</v>
      </c>
      <c r="H360">
        <v>6.3842999999999996</v>
      </c>
      <c r="I360">
        <v>7.4005999999999998</v>
      </c>
      <c r="J360">
        <v>11.055199999999999</v>
      </c>
      <c r="L360">
        <f t="shared" si="2"/>
        <v>1</v>
      </c>
      <c r="M360">
        <f t="shared" si="3"/>
        <v>495.2</v>
      </c>
      <c r="N360">
        <f t="shared" si="4"/>
        <v>1172.0999999999999</v>
      </c>
      <c r="O360">
        <f t="shared" si="5"/>
        <v>2324.5</v>
      </c>
      <c r="P360">
        <f t="shared" si="6"/>
        <v>3678.7000000000003</v>
      </c>
      <c r="Q360">
        <f t="shared" si="7"/>
        <v>5067</v>
      </c>
      <c r="R360">
        <f t="shared" si="8"/>
        <v>6384.2999999999993</v>
      </c>
      <c r="S360">
        <f t="shared" si="9"/>
        <v>7400.5999999999995</v>
      </c>
      <c r="T360">
        <f t="shared" si="10"/>
        <v>11055.199999999999</v>
      </c>
    </row>
    <row r="361" spans="1:20" x14ac:dyDescent="0.4">
      <c r="A361">
        <v>2061</v>
      </c>
      <c r="B361">
        <v>1E-3</v>
      </c>
      <c r="C361">
        <v>0.48089999999999999</v>
      </c>
      <c r="D361">
        <v>1.0806</v>
      </c>
      <c r="E361">
        <v>2.3424999999999998</v>
      </c>
      <c r="F361">
        <v>3.6065999999999998</v>
      </c>
      <c r="G361">
        <v>5.0279999999999996</v>
      </c>
      <c r="H361">
        <v>6.3498999999999999</v>
      </c>
      <c r="I361">
        <v>7.5065</v>
      </c>
      <c r="J361">
        <v>10.861800000000001</v>
      </c>
      <c r="L361">
        <f t="shared" si="2"/>
        <v>1</v>
      </c>
      <c r="M361">
        <f t="shared" si="3"/>
        <v>480.9</v>
      </c>
      <c r="N361">
        <f t="shared" si="4"/>
        <v>1080.5999999999999</v>
      </c>
      <c r="O361">
        <f t="shared" si="5"/>
        <v>2342.5</v>
      </c>
      <c r="P361">
        <f t="shared" si="6"/>
        <v>3606.6</v>
      </c>
      <c r="Q361">
        <f t="shared" si="7"/>
        <v>5028</v>
      </c>
      <c r="R361">
        <f t="shared" si="8"/>
        <v>6349.9</v>
      </c>
      <c r="S361">
        <f t="shared" si="9"/>
        <v>7506.5</v>
      </c>
      <c r="T361">
        <f t="shared" si="10"/>
        <v>10861.800000000001</v>
      </c>
    </row>
    <row r="362" spans="1:20" x14ac:dyDescent="0.4">
      <c r="A362">
        <v>2062</v>
      </c>
      <c r="B362">
        <v>1E-3</v>
      </c>
      <c r="C362">
        <v>0.40600000000000003</v>
      </c>
      <c r="D362">
        <v>1.1532</v>
      </c>
      <c r="E362">
        <v>2.2631000000000001</v>
      </c>
      <c r="F362">
        <v>3.6082999999999998</v>
      </c>
      <c r="G362">
        <v>4.9383999999999997</v>
      </c>
      <c r="H362">
        <v>6.3487</v>
      </c>
      <c r="I362">
        <v>7.5136000000000003</v>
      </c>
      <c r="J362">
        <v>10.781599999999999</v>
      </c>
      <c r="L362">
        <f t="shared" si="2"/>
        <v>1</v>
      </c>
      <c r="M362">
        <f t="shared" si="3"/>
        <v>406</v>
      </c>
      <c r="N362">
        <f t="shared" si="4"/>
        <v>1153.2</v>
      </c>
      <c r="O362">
        <f t="shared" si="5"/>
        <v>2263.1</v>
      </c>
      <c r="P362">
        <f t="shared" si="6"/>
        <v>3608.2999999999997</v>
      </c>
      <c r="Q362">
        <f t="shared" si="7"/>
        <v>4938.3999999999996</v>
      </c>
      <c r="R362">
        <f t="shared" si="8"/>
        <v>6348.7</v>
      </c>
      <c r="S362">
        <f t="shared" si="9"/>
        <v>7513.6</v>
      </c>
      <c r="T362">
        <f t="shared" si="10"/>
        <v>10781.599999999999</v>
      </c>
    </row>
    <row r="363" spans="1:20" x14ac:dyDescent="0.4">
      <c r="A363">
        <v>2063</v>
      </c>
      <c r="B363">
        <v>1E-3</v>
      </c>
      <c r="C363">
        <v>0.51470000000000005</v>
      </c>
      <c r="D363">
        <v>1.1760999999999999</v>
      </c>
      <c r="E363">
        <v>2.2471999999999999</v>
      </c>
      <c r="F363">
        <v>3.4824999999999999</v>
      </c>
      <c r="G363">
        <v>4.9405000000000001</v>
      </c>
      <c r="H363">
        <v>6.4005999999999998</v>
      </c>
      <c r="I363">
        <v>7.3006000000000002</v>
      </c>
      <c r="J363">
        <v>9.6257999999999999</v>
      </c>
      <c r="L363">
        <f t="shared" si="2"/>
        <v>1</v>
      </c>
      <c r="M363">
        <f t="shared" si="3"/>
        <v>514.70000000000005</v>
      </c>
      <c r="N363">
        <f t="shared" si="4"/>
        <v>1176.0999999999999</v>
      </c>
      <c r="O363">
        <f t="shared" si="5"/>
        <v>2247.1999999999998</v>
      </c>
      <c r="P363">
        <f t="shared" si="6"/>
        <v>3482.5</v>
      </c>
      <c r="Q363">
        <f t="shared" si="7"/>
        <v>4940.5</v>
      </c>
      <c r="R363">
        <f t="shared" si="8"/>
        <v>6400.5999999999995</v>
      </c>
      <c r="S363">
        <f t="shared" si="9"/>
        <v>7300.6</v>
      </c>
      <c r="T363">
        <f t="shared" si="10"/>
        <v>9625.7999999999993</v>
      </c>
    </row>
    <row r="364" spans="1:20" x14ac:dyDescent="0.4">
      <c r="A364">
        <v>2064</v>
      </c>
      <c r="B364">
        <v>1E-3</v>
      </c>
      <c r="C364">
        <v>0.56499999999999995</v>
      </c>
      <c r="D364">
        <v>1.1055999999999999</v>
      </c>
      <c r="E364">
        <v>2.1337999999999999</v>
      </c>
      <c r="F364">
        <v>3.5739999999999998</v>
      </c>
      <c r="G364">
        <v>4.899</v>
      </c>
      <c r="H364">
        <v>6.4503000000000004</v>
      </c>
      <c r="I364">
        <v>7.4212999999999996</v>
      </c>
      <c r="J364">
        <v>9.1135999999999999</v>
      </c>
      <c r="L364">
        <f t="shared" si="2"/>
        <v>1</v>
      </c>
      <c r="M364">
        <f t="shared" si="3"/>
        <v>565</v>
      </c>
      <c r="N364">
        <f t="shared" si="4"/>
        <v>1105.5999999999999</v>
      </c>
      <c r="O364">
        <f t="shared" si="5"/>
        <v>2133.7999999999997</v>
      </c>
      <c r="P364">
        <f t="shared" si="6"/>
        <v>3574</v>
      </c>
      <c r="Q364">
        <f t="shared" si="7"/>
        <v>4899</v>
      </c>
      <c r="R364">
        <f t="shared" si="8"/>
        <v>6450.3</v>
      </c>
      <c r="S364">
        <f t="shared" si="9"/>
        <v>7421.2999999999993</v>
      </c>
      <c r="T364">
        <f t="shared" si="10"/>
        <v>9113.6</v>
      </c>
    </row>
    <row r="365" spans="1:20" x14ac:dyDescent="0.4">
      <c r="A365">
        <v>2065</v>
      </c>
      <c r="B365">
        <v>1E-3</v>
      </c>
      <c r="C365">
        <v>0.48380000000000001</v>
      </c>
      <c r="D365">
        <v>1.0826</v>
      </c>
      <c r="E365">
        <v>2.0754999999999999</v>
      </c>
      <c r="F365">
        <v>3.5385</v>
      </c>
      <c r="G365">
        <v>4.8837000000000002</v>
      </c>
      <c r="H365">
        <v>6.3749000000000002</v>
      </c>
      <c r="I365">
        <v>7.3380999999999998</v>
      </c>
      <c r="J365">
        <v>9.6156000000000006</v>
      </c>
      <c r="L365">
        <f t="shared" si="2"/>
        <v>1</v>
      </c>
      <c r="M365">
        <f t="shared" si="3"/>
        <v>483.8</v>
      </c>
      <c r="N365">
        <f t="shared" si="4"/>
        <v>1082.5999999999999</v>
      </c>
      <c r="O365">
        <f t="shared" si="5"/>
        <v>2075.5</v>
      </c>
      <c r="P365">
        <f t="shared" si="6"/>
        <v>3538.5</v>
      </c>
      <c r="Q365">
        <f t="shared" si="7"/>
        <v>4883.7</v>
      </c>
      <c r="R365">
        <f t="shared" si="8"/>
        <v>6374.9000000000005</v>
      </c>
      <c r="S365">
        <f t="shared" si="9"/>
        <v>7338.0999999999995</v>
      </c>
      <c r="T365">
        <f t="shared" si="10"/>
        <v>9615.6</v>
      </c>
    </row>
    <row r="366" spans="1:20" x14ac:dyDescent="0.4">
      <c r="A366">
        <v>2066</v>
      </c>
      <c r="B366">
        <v>1E-3</v>
      </c>
      <c r="C366">
        <v>0.54890000000000005</v>
      </c>
      <c r="D366">
        <v>1.0963000000000001</v>
      </c>
      <c r="E366">
        <v>2.1324000000000001</v>
      </c>
      <c r="F366">
        <v>3.5032000000000001</v>
      </c>
      <c r="G366">
        <v>4.9097999999999997</v>
      </c>
      <c r="H366">
        <v>6.1708999999999996</v>
      </c>
      <c r="I366">
        <v>7.3194999999999997</v>
      </c>
      <c r="J366">
        <v>9.2018000000000004</v>
      </c>
      <c r="L366">
        <f t="shared" si="2"/>
        <v>1</v>
      </c>
      <c r="M366">
        <f t="shared" si="3"/>
        <v>548.90000000000009</v>
      </c>
      <c r="N366">
        <f t="shared" si="4"/>
        <v>1096.3</v>
      </c>
      <c r="O366">
        <f t="shared" si="5"/>
        <v>2132.4</v>
      </c>
      <c r="P366">
        <f t="shared" si="6"/>
        <v>3503.2000000000003</v>
      </c>
      <c r="Q366">
        <f t="shared" si="7"/>
        <v>4909.7999999999993</v>
      </c>
      <c r="R366">
        <f t="shared" si="8"/>
        <v>6170.9</v>
      </c>
      <c r="S366">
        <f t="shared" si="9"/>
        <v>7319.5</v>
      </c>
      <c r="T366">
        <f t="shared" si="10"/>
        <v>9201.8000000000011</v>
      </c>
    </row>
    <row r="367" spans="1:20" x14ac:dyDescent="0.4">
      <c r="A367">
        <v>2067</v>
      </c>
      <c r="B367">
        <v>1E-3</v>
      </c>
      <c r="C367">
        <v>0.51259999999999994</v>
      </c>
      <c r="D367">
        <v>1.0955999999999999</v>
      </c>
      <c r="E367">
        <v>2.1526000000000001</v>
      </c>
      <c r="F367">
        <v>3.4249000000000001</v>
      </c>
      <c r="G367">
        <v>4.9779</v>
      </c>
      <c r="H367">
        <v>6.3451000000000004</v>
      </c>
      <c r="I367">
        <v>7.3162000000000003</v>
      </c>
      <c r="J367">
        <v>9.5632000000000001</v>
      </c>
      <c r="L367">
        <f t="shared" si="2"/>
        <v>1</v>
      </c>
      <c r="M367">
        <f t="shared" si="3"/>
        <v>512.59999999999991</v>
      </c>
      <c r="N367">
        <f t="shared" si="4"/>
        <v>1095.5999999999999</v>
      </c>
      <c r="O367">
        <f t="shared" si="5"/>
        <v>2152.6</v>
      </c>
      <c r="P367">
        <f t="shared" si="6"/>
        <v>3424.9</v>
      </c>
      <c r="Q367">
        <f t="shared" si="7"/>
        <v>4977.8999999999996</v>
      </c>
      <c r="R367">
        <f t="shared" si="8"/>
        <v>6345.1</v>
      </c>
      <c r="S367">
        <f t="shared" si="9"/>
        <v>7316.2</v>
      </c>
      <c r="T367">
        <f t="shared" si="10"/>
        <v>9563.2000000000007</v>
      </c>
    </row>
    <row r="368" spans="1:20" x14ac:dyDescent="0.4">
      <c r="A368">
        <v>2068</v>
      </c>
      <c r="B368">
        <v>1E-3</v>
      </c>
      <c r="C368">
        <v>0.42630000000000001</v>
      </c>
      <c r="D368">
        <v>1.0737000000000001</v>
      </c>
      <c r="E368">
        <v>2.1819000000000002</v>
      </c>
      <c r="F368">
        <v>3.4590000000000001</v>
      </c>
      <c r="G368">
        <v>4.9527000000000001</v>
      </c>
      <c r="H368">
        <v>6.3955000000000002</v>
      </c>
      <c r="I368">
        <v>7.0970000000000004</v>
      </c>
      <c r="J368">
        <v>9.2337000000000007</v>
      </c>
      <c r="L368">
        <f t="shared" si="2"/>
        <v>1</v>
      </c>
      <c r="M368">
        <f t="shared" si="3"/>
        <v>426.3</v>
      </c>
      <c r="N368">
        <f t="shared" si="4"/>
        <v>1073.7</v>
      </c>
      <c r="O368">
        <f t="shared" si="5"/>
        <v>2181.9</v>
      </c>
      <c r="P368">
        <f t="shared" si="6"/>
        <v>3459</v>
      </c>
      <c r="Q368">
        <f t="shared" si="7"/>
        <v>4952.7</v>
      </c>
      <c r="R368">
        <f t="shared" si="8"/>
        <v>6395.5</v>
      </c>
      <c r="S368">
        <f t="shared" si="9"/>
        <v>7097</v>
      </c>
      <c r="T368">
        <f t="shared" si="10"/>
        <v>9233.7000000000007</v>
      </c>
    </row>
    <row r="369" spans="1:20" x14ac:dyDescent="0.4">
      <c r="A369">
        <v>2069</v>
      </c>
      <c r="B369">
        <v>1E-3</v>
      </c>
      <c r="C369">
        <v>0.48549999999999999</v>
      </c>
      <c r="D369">
        <v>1.1919</v>
      </c>
      <c r="E369">
        <v>2.2058</v>
      </c>
      <c r="F369">
        <v>3.5198</v>
      </c>
      <c r="G369">
        <v>4.9691000000000001</v>
      </c>
      <c r="H369">
        <v>6.3526999999999996</v>
      </c>
      <c r="I369">
        <v>7.2190000000000003</v>
      </c>
      <c r="J369">
        <v>9.4382999999999999</v>
      </c>
      <c r="L369">
        <f t="shared" si="2"/>
        <v>1</v>
      </c>
      <c r="M369">
        <f t="shared" si="3"/>
        <v>485.5</v>
      </c>
      <c r="N369">
        <f t="shared" si="4"/>
        <v>1191.8999999999999</v>
      </c>
      <c r="O369">
        <f t="shared" si="5"/>
        <v>2205.8000000000002</v>
      </c>
      <c r="P369">
        <f t="shared" si="6"/>
        <v>3519.8</v>
      </c>
      <c r="Q369">
        <f t="shared" si="7"/>
        <v>4969.1000000000004</v>
      </c>
      <c r="R369">
        <f t="shared" si="8"/>
        <v>6352.7</v>
      </c>
      <c r="S369">
        <f t="shared" si="9"/>
        <v>7219</v>
      </c>
      <c r="T369">
        <f t="shared" si="10"/>
        <v>9438.2999999999993</v>
      </c>
    </row>
    <row r="370" spans="1:20" x14ac:dyDescent="0.4">
      <c r="A370">
        <v>2070</v>
      </c>
      <c r="B370">
        <v>1E-3</v>
      </c>
      <c r="C370">
        <v>0.46160000000000001</v>
      </c>
      <c r="D370">
        <v>1.2002999999999999</v>
      </c>
      <c r="E370">
        <v>2.2400000000000002</v>
      </c>
      <c r="F370">
        <v>3.5038</v>
      </c>
      <c r="G370">
        <v>4.9519000000000002</v>
      </c>
      <c r="H370">
        <v>6.3334999999999999</v>
      </c>
      <c r="I370">
        <v>7.2004999999999999</v>
      </c>
      <c r="J370">
        <v>9.7498000000000005</v>
      </c>
      <c r="L370">
        <f t="shared" si="2"/>
        <v>1</v>
      </c>
      <c r="M370">
        <f t="shared" si="3"/>
        <v>461.6</v>
      </c>
      <c r="N370">
        <f t="shared" si="4"/>
        <v>1200.3</v>
      </c>
      <c r="O370">
        <f t="shared" si="5"/>
        <v>2240</v>
      </c>
      <c r="P370">
        <f t="shared" si="6"/>
        <v>3503.8</v>
      </c>
      <c r="Q370">
        <f t="shared" si="7"/>
        <v>4951.9000000000005</v>
      </c>
      <c r="R370">
        <f t="shared" si="8"/>
        <v>6333.5</v>
      </c>
      <c r="S370">
        <f t="shared" si="9"/>
        <v>7200.5</v>
      </c>
      <c r="T370">
        <f t="shared" si="10"/>
        <v>9749.8000000000011</v>
      </c>
    </row>
    <row r="371" spans="1:20" x14ac:dyDescent="0.4">
      <c r="A371">
        <v>2071</v>
      </c>
      <c r="B371">
        <v>1E-3</v>
      </c>
      <c r="C371">
        <v>0.4869</v>
      </c>
      <c r="D371">
        <v>1.1454</v>
      </c>
      <c r="E371">
        <v>2.2376999999999998</v>
      </c>
      <c r="F371">
        <v>3.4735999999999998</v>
      </c>
      <c r="G371">
        <v>4.9702000000000002</v>
      </c>
      <c r="H371">
        <v>6.3304</v>
      </c>
      <c r="I371">
        <v>7.2449000000000003</v>
      </c>
      <c r="J371">
        <v>9.4311000000000007</v>
      </c>
      <c r="L371">
        <f t="shared" si="2"/>
        <v>1</v>
      </c>
      <c r="M371">
        <f t="shared" si="3"/>
        <v>486.9</v>
      </c>
      <c r="N371">
        <f t="shared" si="4"/>
        <v>1145.3999999999999</v>
      </c>
      <c r="O371">
        <f t="shared" si="5"/>
        <v>2237.6999999999998</v>
      </c>
      <c r="P371">
        <f t="shared" si="6"/>
        <v>3473.6</v>
      </c>
      <c r="Q371">
        <f t="shared" si="7"/>
        <v>4970.2</v>
      </c>
      <c r="R371">
        <f t="shared" si="8"/>
        <v>6330.4</v>
      </c>
      <c r="S371">
        <f t="shared" si="9"/>
        <v>7244.9000000000005</v>
      </c>
      <c r="T371">
        <f t="shared" si="10"/>
        <v>9431.1</v>
      </c>
    </row>
    <row r="372" spans="1:20" x14ac:dyDescent="0.4">
      <c r="A372">
        <v>2072</v>
      </c>
      <c r="B372">
        <v>1E-3</v>
      </c>
      <c r="C372">
        <v>0.38979999999999998</v>
      </c>
      <c r="D372">
        <v>1.1218999999999999</v>
      </c>
      <c r="E372">
        <v>2.2469999999999999</v>
      </c>
      <c r="F372">
        <v>3.5295999999999998</v>
      </c>
      <c r="G372">
        <v>4.9889999999999999</v>
      </c>
      <c r="H372">
        <v>6.3061999999999996</v>
      </c>
      <c r="I372">
        <v>7.4240000000000004</v>
      </c>
      <c r="J372">
        <v>9.6327999999999996</v>
      </c>
      <c r="L372">
        <f t="shared" si="2"/>
        <v>1</v>
      </c>
      <c r="M372">
        <f t="shared" si="3"/>
        <v>389.79999999999995</v>
      </c>
      <c r="N372">
        <f t="shared" si="4"/>
        <v>1121.8999999999999</v>
      </c>
      <c r="O372">
        <f t="shared" si="5"/>
        <v>2247</v>
      </c>
      <c r="P372">
        <f t="shared" si="6"/>
        <v>3529.6</v>
      </c>
      <c r="Q372">
        <f t="shared" si="7"/>
        <v>4989</v>
      </c>
      <c r="R372">
        <f t="shared" si="8"/>
        <v>6306.2</v>
      </c>
      <c r="S372">
        <f t="shared" si="9"/>
        <v>7424</v>
      </c>
      <c r="T372">
        <f t="shared" si="10"/>
        <v>9632.7999999999993</v>
      </c>
    </row>
    <row r="373" spans="1:20" x14ac:dyDescent="0.4">
      <c r="A373">
        <v>2073</v>
      </c>
      <c r="B373">
        <v>1E-3</v>
      </c>
      <c r="C373">
        <v>0.38169999999999998</v>
      </c>
      <c r="D373">
        <v>1.0833999999999999</v>
      </c>
      <c r="E373">
        <v>2.2492000000000001</v>
      </c>
      <c r="F373">
        <v>3.51</v>
      </c>
      <c r="G373">
        <v>5.0388999999999999</v>
      </c>
      <c r="H373">
        <v>6.3287000000000004</v>
      </c>
      <c r="I373">
        <v>7.4523000000000001</v>
      </c>
      <c r="J373">
        <v>9.5494000000000003</v>
      </c>
      <c r="L373">
        <f t="shared" si="2"/>
        <v>1</v>
      </c>
      <c r="M373">
        <f t="shared" si="3"/>
        <v>381.7</v>
      </c>
      <c r="N373">
        <f t="shared" si="4"/>
        <v>1083.3999999999999</v>
      </c>
      <c r="O373">
        <f t="shared" si="5"/>
        <v>2249.2000000000003</v>
      </c>
      <c r="P373">
        <f t="shared" si="6"/>
        <v>3510</v>
      </c>
      <c r="Q373">
        <f t="shared" si="7"/>
        <v>5038.8999999999996</v>
      </c>
      <c r="R373">
        <f t="shared" si="8"/>
        <v>6328.7000000000007</v>
      </c>
      <c r="S373">
        <f t="shared" si="9"/>
        <v>7452.3</v>
      </c>
      <c r="T373">
        <f t="shared" si="10"/>
        <v>9549.4</v>
      </c>
    </row>
    <row r="374" spans="1:20" x14ac:dyDescent="0.4">
      <c r="A374">
        <v>2074</v>
      </c>
      <c r="B374">
        <v>1E-3</v>
      </c>
      <c r="C374">
        <v>0.2596</v>
      </c>
      <c r="D374">
        <v>1.1625000000000001</v>
      </c>
      <c r="E374">
        <v>2.2204000000000002</v>
      </c>
      <c r="F374">
        <v>3.5518000000000001</v>
      </c>
      <c r="G374">
        <v>5.1048999999999998</v>
      </c>
      <c r="H374">
        <v>6.5121000000000002</v>
      </c>
      <c r="I374">
        <v>7.2925000000000004</v>
      </c>
      <c r="J374">
        <v>9.8813999999999993</v>
      </c>
      <c r="L374">
        <f t="shared" si="2"/>
        <v>1</v>
      </c>
      <c r="M374">
        <f t="shared" si="3"/>
        <v>259.60000000000002</v>
      </c>
      <c r="N374">
        <f t="shared" si="4"/>
        <v>1162.5</v>
      </c>
      <c r="O374">
        <f t="shared" si="5"/>
        <v>2220.4</v>
      </c>
      <c r="P374">
        <f t="shared" si="6"/>
        <v>3551.8</v>
      </c>
      <c r="Q374">
        <f t="shared" si="7"/>
        <v>5104.8999999999996</v>
      </c>
      <c r="R374">
        <f t="shared" si="8"/>
        <v>6512.1</v>
      </c>
      <c r="S374">
        <f t="shared" si="9"/>
        <v>7292.5</v>
      </c>
      <c r="T374">
        <f t="shared" si="10"/>
        <v>9881.4</v>
      </c>
    </row>
    <row r="375" spans="1:20" x14ac:dyDescent="0.4">
      <c r="A375">
        <v>2075</v>
      </c>
      <c r="B375">
        <v>1E-3</v>
      </c>
      <c r="C375">
        <v>0.44579999999999997</v>
      </c>
      <c r="D375">
        <v>1.0548</v>
      </c>
      <c r="E375">
        <v>2.2650000000000001</v>
      </c>
      <c r="F375">
        <v>3.6006</v>
      </c>
      <c r="G375">
        <v>5.1604999999999999</v>
      </c>
      <c r="H375">
        <v>6.4278000000000004</v>
      </c>
      <c r="I375">
        <v>7.2274000000000003</v>
      </c>
      <c r="J375">
        <v>9.5559999999999992</v>
      </c>
      <c r="L375">
        <f t="shared" si="2"/>
        <v>1</v>
      </c>
      <c r="M375">
        <f t="shared" si="3"/>
        <v>445.79999999999995</v>
      </c>
      <c r="N375">
        <f t="shared" si="4"/>
        <v>1054.8</v>
      </c>
      <c r="O375">
        <f t="shared" si="5"/>
        <v>2265</v>
      </c>
      <c r="P375">
        <f t="shared" si="6"/>
        <v>3600.6</v>
      </c>
      <c r="Q375">
        <f t="shared" si="7"/>
        <v>5160.5</v>
      </c>
      <c r="R375">
        <f t="shared" si="8"/>
        <v>6427.8</v>
      </c>
      <c r="S375">
        <f t="shared" si="9"/>
        <v>7227.4000000000005</v>
      </c>
      <c r="T375">
        <f t="shared" si="10"/>
        <v>9556</v>
      </c>
    </row>
    <row r="377" spans="1:20" x14ac:dyDescent="0.4">
      <c r="A377" s="1">
        <v>45658</v>
      </c>
      <c r="B377" t="s">
        <v>3</v>
      </c>
      <c r="C377" t="s">
        <v>6</v>
      </c>
      <c r="D377" t="s">
        <v>36</v>
      </c>
      <c r="E377">
        <v>1000</v>
      </c>
      <c r="F377" t="s">
        <v>35</v>
      </c>
    </row>
    <row r="379" spans="1:20" x14ac:dyDescent="0.4">
      <c r="A379" t="s">
        <v>22</v>
      </c>
      <c r="B379" t="s">
        <v>34</v>
      </c>
      <c r="C379" t="s">
        <v>33</v>
      </c>
    </row>
    <row r="380" spans="1:20" x14ac:dyDescent="0.4">
      <c r="A380">
        <v>2021</v>
      </c>
      <c r="B380">
        <v>9.3162000000000003</v>
      </c>
      <c r="C380">
        <v>1.5725</v>
      </c>
    </row>
    <row r="381" spans="1:20" x14ac:dyDescent="0.4">
      <c r="A381">
        <v>2022</v>
      </c>
      <c r="B381">
        <v>10.598699999999999</v>
      </c>
      <c r="C381">
        <v>1.9853000000000001</v>
      </c>
    </row>
    <row r="382" spans="1:20" x14ac:dyDescent="0.4">
      <c r="A382">
        <v>2023</v>
      </c>
      <c r="B382">
        <v>11.512</v>
      </c>
      <c r="C382">
        <v>2.3405999999999998</v>
      </c>
    </row>
    <row r="383" spans="1:20" x14ac:dyDescent="0.4">
      <c r="A383">
        <v>2024</v>
      </c>
      <c r="B383">
        <v>11.894399999999999</v>
      </c>
      <c r="C383">
        <v>2.6598999999999999</v>
      </c>
    </row>
    <row r="384" spans="1:20" x14ac:dyDescent="0.4">
      <c r="A384">
        <v>2025</v>
      </c>
      <c r="B384">
        <v>11.730399999999999</v>
      </c>
      <c r="C384">
        <v>2.8105000000000002</v>
      </c>
    </row>
    <row r="385" spans="1:3" x14ac:dyDescent="0.4">
      <c r="A385">
        <v>2026</v>
      </c>
      <c r="B385">
        <v>11.314500000000001</v>
      </c>
      <c r="C385">
        <v>2.9325000000000001</v>
      </c>
    </row>
    <row r="386" spans="1:3" x14ac:dyDescent="0.4">
      <c r="A386">
        <v>2027</v>
      </c>
      <c r="B386">
        <v>10.9701</v>
      </c>
      <c r="C386">
        <v>2.9933999999999998</v>
      </c>
    </row>
    <row r="387" spans="1:3" x14ac:dyDescent="0.4">
      <c r="A387">
        <v>2028</v>
      </c>
      <c r="B387">
        <v>10.6662</v>
      </c>
      <c r="C387">
        <v>2.9923999999999999</v>
      </c>
    </row>
    <row r="388" spans="1:3" x14ac:dyDescent="0.4">
      <c r="A388">
        <v>2029</v>
      </c>
      <c r="B388">
        <v>10.474</v>
      </c>
      <c r="C388">
        <v>3.0042</v>
      </c>
    </row>
    <row r="389" spans="1:3" x14ac:dyDescent="0.4">
      <c r="A389">
        <v>2030</v>
      </c>
      <c r="B389">
        <v>10.3172</v>
      </c>
      <c r="C389">
        <v>3.0714000000000001</v>
      </c>
    </row>
    <row r="390" spans="1:3" x14ac:dyDescent="0.4">
      <c r="A390">
        <v>2031</v>
      </c>
      <c r="B390">
        <v>10.222099999999999</v>
      </c>
      <c r="C390">
        <v>3.1177000000000001</v>
      </c>
    </row>
    <row r="391" spans="1:3" x14ac:dyDescent="0.4">
      <c r="A391">
        <v>2032</v>
      </c>
      <c r="B391">
        <v>10.1439</v>
      </c>
      <c r="C391">
        <v>3.1360000000000001</v>
      </c>
    </row>
    <row r="392" spans="1:3" x14ac:dyDescent="0.4">
      <c r="A392">
        <v>2033</v>
      </c>
      <c r="B392">
        <v>10.0078</v>
      </c>
      <c r="C392">
        <v>3.1103999999999998</v>
      </c>
    </row>
    <row r="393" spans="1:3" x14ac:dyDescent="0.4">
      <c r="A393">
        <v>2034</v>
      </c>
      <c r="B393">
        <v>9.9362999999999992</v>
      </c>
      <c r="C393">
        <v>3.0752000000000002</v>
      </c>
    </row>
    <row r="394" spans="1:3" x14ac:dyDescent="0.4">
      <c r="A394">
        <v>2035</v>
      </c>
      <c r="B394">
        <v>9.8594000000000008</v>
      </c>
      <c r="C394">
        <v>3.0306999999999999</v>
      </c>
    </row>
    <row r="395" spans="1:3" x14ac:dyDescent="0.4">
      <c r="A395">
        <v>2036</v>
      </c>
      <c r="B395">
        <v>9.7506000000000004</v>
      </c>
      <c r="C395">
        <v>3.0059999999999998</v>
      </c>
    </row>
    <row r="396" spans="1:3" x14ac:dyDescent="0.4">
      <c r="A396">
        <v>2037</v>
      </c>
      <c r="B396">
        <v>9.7532999999999994</v>
      </c>
      <c r="C396">
        <v>3.0070000000000001</v>
      </c>
    </row>
    <row r="397" spans="1:3" x14ac:dyDescent="0.4">
      <c r="A397">
        <v>2038</v>
      </c>
      <c r="B397">
        <v>9.7657000000000007</v>
      </c>
      <c r="C397">
        <v>3.0529000000000002</v>
      </c>
    </row>
    <row r="398" spans="1:3" x14ac:dyDescent="0.4">
      <c r="A398">
        <v>2039</v>
      </c>
      <c r="B398">
        <v>9.7815999999999992</v>
      </c>
      <c r="C398">
        <v>3.1939000000000002</v>
      </c>
    </row>
    <row r="399" spans="1:3" x14ac:dyDescent="0.4">
      <c r="A399">
        <v>2040</v>
      </c>
      <c r="B399">
        <v>9.7736999999999998</v>
      </c>
      <c r="C399">
        <v>3.1884000000000001</v>
      </c>
    </row>
    <row r="400" spans="1:3" x14ac:dyDescent="0.4">
      <c r="A400">
        <v>2041</v>
      </c>
      <c r="B400">
        <v>9.7818000000000005</v>
      </c>
      <c r="C400">
        <v>3.3250999999999999</v>
      </c>
    </row>
    <row r="401" spans="1:3" x14ac:dyDescent="0.4">
      <c r="A401">
        <v>2042</v>
      </c>
      <c r="B401">
        <v>9.7384000000000004</v>
      </c>
      <c r="C401">
        <v>3.2759</v>
      </c>
    </row>
    <row r="402" spans="1:3" x14ac:dyDescent="0.4">
      <c r="A402">
        <v>2043</v>
      </c>
      <c r="B402">
        <v>9.7171000000000003</v>
      </c>
      <c r="C402">
        <v>3.2968999999999999</v>
      </c>
    </row>
    <row r="403" spans="1:3" x14ac:dyDescent="0.4">
      <c r="A403">
        <v>2044</v>
      </c>
      <c r="B403">
        <v>9.7373999999999992</v>
      </c>
      <c r="C403">
        <v>3.2705000000000002</v>
      </c>
    </row>
    <row r="404" spans="1:3" x14ac:dyDescent="0.4">
      <c r="A404">
        <v>2045</v>
      </c>
      <c r="B404">
        <v>9.7125000000000004</v>
      </c>
      <c r="C404">
        <v>3.2694999999999999</v>
      </c>
    </row>
    <row r="405" spans="1:3" x14ac:dyDescent="0.4">
      <c r="A405">
        <v>2046</v>
      </c>
      <c r="B405">
        <v>9.6765000000000008</v>
      </c>
      <c r="C405">
        <v>3.2795999999999998</v>
      </c>
    </row>
    <row r="406" spans="1:3" x14ac:dyDescent="0.4">
      <c r="A406">
        <v>2047</v>
      </c>
      <c r="B406">
        <v>9.6789000000000005</v>
      </c>
      <c r="C406">
        <v>3.2585999999999999</v>
      </c>
    </row>
    <row r="407" spans="1:3" x14ac:dyDescent="0.4">
      <c r="A407">
        <v>2048</v>
      </c>
      <c r="B407">
        <v>9.6552000000000007</v>
      </c>
      <c r="C407">
        <v>3.2706</v>
      </c>
    </row>
    <row r="408" spans="1:3" x14ac:dyDescent="0.4">
      <c r="A408">
        <v>2049</v>
      </c>
      <c r="B408">
        <v>9.6117000000000008</v>
      </c>
      <c r="C408">
        <v>3.2772000000000001</v>
      </c>
    </row>
    <row r="409" spans="1:3" x14ac:dyDescent="0.4">
      <c r="A409">
        <v>2050</v>
      </c>
      <c r="B409">
        <v>9.5751000000000008</v>
      </c>
      <c r="C409">
        <v>3.2153</v>
      </c>
    </row>
    <row r="410" spans="1:3" x14ac:dyDescent="0.4">
      <c r="A410">
        <v>2051</v>
      </c>
      <c r="B410">
        <v>9.5909999999999993</v>
      </c>
      <c r="C410">
        <v>3.2263000000000002</v>
      </c>
    </row>
    <row r="411" spans="1:3" x14ac:dyDescent="0.4">
      <c r="A411">
        <v>2052</v>
      </c>
      <c r="B411">
        <v>9.5062999999999995</v>
      </c>
      <c r="C411">
        <v>3.2086999999999999</v>
      </c>
    </row>
    <row r="412" spans="1:3" x14ac:dyDescent="0.4">
      <c r="A412">
        <v>2053</v>
      </c>
      <c r="B412">
        <v>9.5701999999999998</v>
      </c>
      <c r="C412">
        <v>3.2029000000000001</v>
      </c>
    </row>
    <row r="413" spans="1:3" x14ac:dyDescent="0.4">
      <c r="A413">
        <v>2054</v>
      </c>
      <c r="B413">
        <v>9.6262000000000008</v>
      </c>
      <c r="C413">
        <v>3.2736999999999998</v>
      </c>
    </row>
    <row r="414" spans="1:3" x14ac:dyDescent="0.4">
      <c r="A414">
        <v>2055</v>
      </c>
      <c r="B414">
        <v>9.7142999999999997</v>
      </c>
      <c r="C414">
        <v>3.2827000000000002</v>
      </c>
    </row>
    <row r="415" spans="1:3" x14ac:dyDescent="0.4">
      <c r="A415">
        <v>2056</v>
      </c>
      <c r="B415">
        <v>9.6623999999999999</v>
      </c>
      <c r="C415">
        <v>3.2677999999999998</v>
      </c>
    </row>
    <row r="416" spans="1:3" x14ac:dyDescent="0.4">
      <c r="A416">
        <v>2057</v>
      </c>
      <c r="B416">
        <v>9.6767000000000003</v>
      </c>
      <c r="C416">
        <v>3.3319999999999999</v>
      </c>
    </row>
    <row r="417" spans="1:3" x14ac:dyDescent="0.4">
      <c r="A417">
        <v>2058</v>
      </c>
      <c r="B417">
        <v>9.6204999999999998</v>
      </c>
      <c r="C417">
        <v>3.3881999999999999</v>
      </c>
    </row>
    <row r="418" spans="1:3" x14ac:dyDescent="0.4">
      <c r="A418">
        <v>2059</v>
      </c>
      <c r="B418">
        <v>9.577</v>
      </c>
      <c r="C418">
        <v>3.4860000000000002</v>
      </c>
    </row>
    <row r="419" spans="1:3" x14ac:dyDescent="0.4">
      <c r="A419">
        <v>2060</v>
      </c>
      <c r="B419">
        <v>9.5361999999999991</v>
      </c>
      <c r="C419">
        <v>3.5156000000000001</v>
      </c>
    </row>
    <row r="420" spans="1:3" x14ac:dyDescent="0.4">
      <c r="A420">
        <v>2061</v>
      </c>
      <c r="B420">
        <v>9.4349000000000007</v>
      </c>
      <c r="C420">
        <v>3.4289000000000001</v>
      </c>
    </row>
    <row r="421" spans="1:3" x14ac:dyDescent="0.4">
      <c r="A421">
        <v>2062</v>
      </c>
      <c r="B421">
        <v>9.4136000000000006</v>
      </c>
      <c r="C421">
        <v>3.4041999999999999</v>
      </c>
    </row>
    <row r="422" spans="1:3" x14ac:dyDescent="0.4">
      <c r="A422">
        <v>2063</v>
      </c>
      <c r="B422">
        <v>9.3617000000000008</v>
      </c>
      <c r="C422">
        <v>3.4266999999999999</v>
      </c>
    </row>
    <row r="423" spans="1:3" x14ac:dyDescent="0.4">
      <c r="A423">
        <v>2064</v>
      </c>
      <c r="B423">
        <v>9.2889999999999997</v>
      </c>
      <c r="C423">
        <v>3.3832</v>
      </c>
    </row>
    <row r="424" spans="1:3" x14ac:dyDescent="0.4">
      <c r="A424">
        <v>2065</v>
      </c>
      <c r="B424">
        <v>9.2995000000000001</v>
      </c>
      <c r="C424">
        <v>3.3574999999999999</v>
      </c>
    </row>
    <row r="425" spans="1:3" x14ac:dyDescent="0.4">
      <c r="A425">
        <v>2066</v>
      </c>
      <c r="B425">
        <v>9.2978000000000005</v>
      </c>
      <c r="C425">
        <v>3.3862999999999999</v>
      </c>
    </row>
    <row r="426" spans="1:3" x14ac:dyDescent="0.4">
      <c r="A426">
        <v>2067</v>
      </c>
      <c r="B426">
        <v>9.3059999999999992</v>
      </c>
      <c r="C426">
        <v>3.3582000000000001</v>
      </c>
    </row>
    <row r="427" spans="1:3" x14ac:dyDescent="0.4">
      <c r="A427">
        <v>2068</v>
      </c>
      <c r="B427">
        <v>9.3059999999999992</v>
      </c>
      <c r="C427">
        <v>3.3441999999999998</v>
      </c>
    </row>
    <row r="428" spans="1:3" x14ac:dyDescent="0.4">
      <c r="A428">
        <v>2069</v>
      </c>
      <c r="B428">
        <v>9.3424999999999994</v>
      </c>
      <c r="C428">
        <v>3.3656000000000001</v>
      </c>
    </row>
    <row r="429" spans="1:3" x14ac:dyDescent="0.4">
      <c r="A429">
        <v>2070</v>
      </c>
      <c r="B429">
        <v>9.3452999999999999</v>
      </c>
      <c r="C429">
        <v>3.4358</v>
      </c>
    </row>
    <row r="430" spans="1:3" x14ac:dyDescent="0.4">
      <c r="A430">
        <v>2071</v>
      </c>
      <c r="B430">
        <v>9.3321000000000005</v>
      </c>
      <c r="C430">
        <v>3.4674</v>
      </c>
    </row>
    <row r="431" spans="1:3" x14ac:dyDescent="0.4">
      <c r="A431">
        <v>2072</v>
      </c>
      <c r="B431">
        <v>9.3766999999999996</v>
      </c>
      <c r="C431">
        <v>3.4910999999999999</v>
      </c>
    </row>
    <row r="432" spans="1:3" x14ac:dyDescent="0.4">
      <c r="A432">
        <v>2073</v>
      </c>
      <c r="B432">
        <v>9.4101999999999997</v>
      </c>
      <c r="C432">
        <v>3.5301</v>
      </c>
    </row>
    <row r="433" spans="1:10" x14ac:dyDescent="0.4">
      <c r="A433">
        <v>2074</v>
      </c>
      <c r="B433">
        <v>9.4055</v>
      </c>
      <c r="C433">
        <v>3.4780000000000002</v>
      </c>
    </row>
    <row r="434" spans="1:10" x14ac:dyDescent="0.4">
      <c r="A434">
        <v>2075</v>
      </c>
      <c r="B434">
        <v>9.4185999999999996</v>
      </c>
      <c r="C434">
        <v>3.5343</v>
      </c>
    </row>
    <row r="436" spans="1:10" x14ac:dyDescent="0.4">
      <c r="A436" s="1">
        <v>45658</v>
      </c>
      <c r="B436" t="s">
        <v>3</v>
      </c>
      <c r="C436" t="s">
        <v>6</v>
      </c>
      <c r="D436" t="s">
        <v>32</v>
      </c>
    </row>
    <row r="438" spans="1:10" x14ac:dyDescent="0.4">
      <c r="A438" t="s">
        <v>22</v>
      </c>
      <c r="B438" s="2">
        <v>0.01</v>
      </c>
      <c r="C438" s="2">
        <v>0.05</v>
      </c>
      <c r="D438" s="2">
        <v>0.1</v>
      </c>
      <c r="E438" s="2">
        <v>0.25</v>
      </c>
      <c r="F438" s="2">
        <v>0.5</v>
      </c>
      <c r="G438" s="2">
        <v>0.75</v>
      </c>
      <c r="H438" s="2">
        <v>0.9</v>
      </c>
      <c r="I438" s="2">
        <v>0.95</v>
      </c>
      <c r="J438" s="2">
        <v>0.99</v>
      </c>
    </row>
    <row r="439" spans="1:10" x14ac:dyDescent="0.4">
      <c r="A439">
        <v>2021</v>
      </c>
      <c r="B439">
        <v>6.3414000000000001</v>
      </c>
      <c r="C439">
        <v>6.8841000000000001</v>
      </c>
      <c r="D439">
        <v>7.3646000000000003</v>
      </c>
      <c r="E439">
        <v>8.2377000000000002</v>
      </c>
      <c r="F439">
        <v>9.2330000000000005</v>
      </c>
      <c r="G439">
        <v>10.127000000000001</v>
      </c>
      <c r="H439">
        <v>11.541399999999999</v>
      </c>
      <c r="I439">
        <v>12.1652</v>
      </c>
      <c r="J439">
        <v>13.5909</v>
      </c>
    </row>
    <row r="440" spans="1:10" x14ac:dyDescent="0.4">
      <c r="A440">
        <v>2022</v>
      </c>
      <c r="B440">
        <v>6.8609</v>
      </c>
      <c r="C440">
        <v>7.5346000000000002</v>
      </c>
      <c r="D440">
        <v>8.1089000000000002</v>
      </c>
      <c r="E440">
        <v>9.2210999999999999</v>
      </c>
      <c r="F440">
        <v>10.4161</v>
      </c>
      <c r="G440">
        <v>11.8522</v>
      </c>
      <c r="H440">
        <v>13.3187</v>
      </c>
      <c r="I440">
        <v>14.059100000000001</v>
      </c>
      <c r="J440">
        <v>15.650499999999999</v>
      </c>
    </row>
    <row r="441" spans="1:10" x14ac:dyDescent="0.4">
      <c r="A441">
        <v>2023</v>
      </c>
      <c r="B441">
        <v>6.9843999999999999</v>
      </c>
      <c r="C441">
        <v>7.9602000000000004</v>
      </c>
      <c r="D441">
        <v>8.6166999999999998</v>
      </c>
      <c r="E441">
        <v>9.7746999999999993</v>
      </c>
      <c r="F441">
        <v>11.3477</v>
      </c>
      <c r="G441">
        <v>12.947800000000001</v>
      </c>
      <c r="H441">
        <v>14.713200000000001</v>
      </c>
      <c r="I441">
        <v>15.535600000000001</v>
      </c>
      <c r="J441">
        <v>17.598700000000001</v>
      </c>
    </row>
    <row r="442" spans="1:10" x14ac:dyDescent="0.4">
      <c r="A442">
        <v>2024</v>
      </c>
      <c r="B442">
        <v>6.6338999999999997</v>
      </c>
      <c r="C442">
        <v>7.8856999999999999</v>
      </c>
      <c r="D442">
        <v>8.5350000000000001</v>
      </c>
      <c r="E442">
        <v>9.9155999999999995</v>
      </c>
      <c r="F442">
        <v>11.758800000000001</v>
      </c>
      <c r="G442">
        <v>13.5527</v>
      </c>
      <c r="H442">
        <v>15.2568</v>
      </c>
      <c r="I442">
        <v>16.433800000000002</v>
      </c>
      <c r="J442">
        <v>18.504200000000001</v>
      </c>
    </row>
    <row r="443" spans="1:10" x14ac:dyDescent="0.4">
      <c r="A443">
        <v>2025</v>
      </c>
      <c r="B443">
        <v>5.8498000000000001</v>
      </c>
      <c r="C443">
        <v>7.3361000000000001</v>
      </c>
      <c r="D443">
        <v>8.2510999999999992</v>
      </c>
      <c r="E443">
        <v>9.7588000000000008</v>
      </c>
      <c r="F443">
        <v>11.6526</v>
      </c>
      <c r="G443">
        <v>13.4313</v>
      </c>
      <c r="H443">
        <v>15.122199999999999</v>
      </c>
      <c r="I443">
        <v>16.539400000000001</v>
      </c>
      <c r="J443">
        <v>18.414300000000001</v>
      </c>
    </row>
    <row r="444" spans="1:10" x14ac:dyDescent="0.4">
      <c r="A444">
        <v>2026</v>
      </c>
      <c r="B444">
        <v>5.2066999999999997</v>
      </c>
      <c r="C444">
        <v>6.7282000000000002</v>
      </c>
      <c r="D444">
        <v>7.7458999999999998</v>
      </c>
      <c r="E444">
        <v>9.3130000000000006</v>
      </c>
      <c r="F444">
        <v>11.1631</v>
      </c>
      <c r="G444">
        <v>13.128399999999999</v>
      </c>
      <c r="H444">
        <v>15.1136</v>
      </c>
      <c r="I444">
        <v>16.280999999999999</v>
      </c>
      <c r="J444">
        <v>18.627600000000001</v>
      </c>
    </row>
    <row r="445" spans="1:10" x14ac:dyDescent="0.4">
      <c r="A445">
        <v>2027</v>
      </c>
      <c r="B445">
        <v>4.8696999999999999</v>
      </c>
      <c r="C445">
        <v>6.5892999999999997</v>
      </c>
      <c r="D445">
        <v>7.1970000000000001</v>
      </c>
      <c r="E445">
        <v>8.8443000000000005</v>
      </c>
      <c r="F445">
        <v>10.814500000000001</v>
      </c>
      <c r="G445">
        <v>12.753299999999999</v>
      </c>
      <c r="H445">
        <v>14.855499999999999</v>
      </c>
      <c r="I445">
        <v>16.157800000000002</v>
      </c>
      <c r="J445">
        <v>18.408000000000001</v>
      </c>
    </row>
    <row r="446" spans="1:10" x14ac:dyDescent="0.4">
      <c r="A446">
        <v>2028</v>
      </c>
      <c r="B446">
        <v>4.7252000000000001</v>
      </c>
      <c r="C446">
        <v>6.0609999999999999</v>
      </c>
      <c r="D446">
        <v>6.8688000000000002</v>
      </c>
      <c r="E446">
        <v>8.6098999999999997</v>
      </c>
      <c r="F446">
        <v>10.4373</v>
      </c>
      <c r="G446">
        <v>12.5907</v>
      </c>
      <c r="H446">
        <v>14.677199999999999</v>
      </c>
      <c r="I446">
        <v>15.654</v>
      </c>
      <c r="J446">
        <v>17.927600000000002</v>
      </c>
    </row>
    <row r="447" spans="1:10" x14ac:dyDescent="0.4">
      <c r="A447">
        <v>2029</v>
      </c>
      <c r="B447">
        <v>4.4978999999999996</v>
      </c>
      <c r="C447">
        <v>6.0388999999999999</v>
      </c>
      <c r="D447">
        <v>6.8289999999999997</v>
      </c>
      <c r="E447">
        <v>8.2605000000000004</v>
      </c>
      <c r="F447">
        <v>10.2682</v>
      </c>
      <c r="G447">
        <v>12.3536</v>
      </c>
      <c r="H447">
        <v>14.534599999999999</v>
      </c>
      <c r="I447">
        <v>15.5838</v>
      </c>
      <c r="J447">
        <v>18.468</v>
      </c>
    </row>
    <row r="448" spans="1:10" x14ac:dyDescent="0.4">
      <c r="A448">
        <v>2030</v>
      </c>
      <c r="B448">
        <v>4.3426</v>
      </c>
      <c r="C448">
        <v>5.8224</v>
      </c>
      <c r="D448">
        <v>6.5861999999999998</v>
      </c>
      <c r="E448">
        <v>8.1925000000000008</v>
      </c>
      <c r="F448">
        <v>10.0709</v>
      </c>
      <c r="G448">
        <v>12.205500000000001</v>
      </c>
      <c r="H448">
        <v>14.2142</v>
      </c>
      <c r="I448">
        <v>15.572100000000001</v>
      </c>
      <c r="J448">
        <v>18.825199999999999</v>
      </c>
    </row>
    <row r="449" spans="1:10" x14ac:dyDescent="0.4">
      <c r="A449">
        <v>2031</v>
      </c>
      <c r="B449">
        <v>4.0514999999999999</v>
      </c>
      <c r="C449">
        <v>5.4379999999999997</v>
      </c>
      <c r="D449">
        <v>6.4710999999999999</v>
      </c>
      <c r="E449">
        <v>8.1289999999999996</v>
      </c>
      <c r="F449">
        <v>9.9582999999999995</v>
      </c>
      <c r="G449">
        <v>12.0428</v>
      </c>
      <c r="H449">
        <v>14.260899999999999</v>
      </c>
      <c r="I449">
        <v>15.425599999999999</v>
      </c>
      <c r="J449">
        <v>19.006799999999998</v>
      </c>
    </row>
    <row r="450" spans="1:10" x14ac:dyDescent="0.4">
      <c r="A450">
        <v>2032</v>
      </c>
      <c r="B450">
        <v>4.0163000000000002</v>
      </c>
      <c r="C450">
        <v>5.3941999999999997</v>
      </c>
      <c r="D450">
        <v>6.2537000000000003</v>
      </c>
      <c r="E450">
        <v>8.0358000000000001</v>
      </c>
      <c r="F450">
        <v>9.8774999999999995</v>
      </c>
      <c r="G450">
        <v>11.866099999999999</v>
      </c>
      <c r="H450">
        <v>14.0762</v>
      </c>
      <c r="I450">
        <v>15.3813</v>
      </c>
      <c r="J450">
        <v>18.879100000000001</v>
      </c>
    </row>
    <row r="451" spans="1:10" x14ac:dyDescent="0.4">
      <c r="A451">
        <v>2033</v>
      </c>
      <c r="B451">
        <v>4.0510999999999999</v>
      </c>
      <c r="C451">
        <v>5.4659000000000004</v>
      </c>
      <c r="D451">
        <v>6.2918000000000003</v>
      </c>
      <c r="E451">
        <v>7.9481000000000002</v>
      </c>
      <c r="F451">
        <v>9.7836999999999996</v>
      </c>
      <c r="G451">
        <v>11.8592</v>
      </c>
      <c r="H451">
        <v>13.9772</v>
      </c>
      <c r="I451">
        <v>15.289</v>
      </c>
      <c r="J451">
        <v>19.1114</v>
      </c>
    </row>
    <row r="452" spans="1:10" x14ac:dyDescent="0.4">
      <c r="A452">
        <v>2034</v>
      </c>
      <c r="B452">
        <v>3.9232999999999998</v>
      </c>
      <c r="C452">
        <v>5.2881999999999998</v>
      </c>
      <c r="D452">
        <v>6.2141999999999999</v>
      </c>
      <c r="E452">
        <v>7.8578000000000001</v>
      </c>
      <c r="F452">
        <v>9.7659000000000002</v>
      </c>
      <c r="G452">
        <v>11.618499999999999</v>
      </c>
      <c r="H452">
        <v>13.9472</v>
      </c>
      <c r="I452">
        <v>15.2209</v>
      </c>
      <c r="J452">
        <v>18.886500000000002</v>
      </c>
    </row>
    <row r="453" spans="1:10" x14ac:dyDescent="0.4">
      <c r="A453">
        <v>2035</v>
      </c>
      <c r="B453">
        <v>4.0201000000000002</v>
      </c>
      <c r="C453">
        <v>5.3071000000000002</v>
      </c>
      <c r="D453">
        <v>6.3087999999999997</v>
      </c>
      <c r="E453">
        <v>7.7847</v>
      </c>
      <c r="F453">
        <v>9.5807000000000002</v>
      </c>
      <c r="G453">
        <v>11.683199999999999</v>
      </c>
      <c r="H453">
        <v>13.684900000000001</v>
      </c>
      <c r="I453">
        <v>15.2545</v>
      </c>
      <c r="J453">
        <v>18.405200000000001</v>
      </c>
    </row>
    <row r="454" spans="1:10" x14ac:dyDescent="0.4">
      <c r="A454">
        <v>2036</v>
      </c>
      <c r="B454">
        <v>3.8203999999999998</v>
      </c>
      <c r="C454">
        <v>5.2773000000000003</v>
      </c>
      <c r="D454">
        <v>6.1212999999999997</v>
      </c>
      <c r="E454">
        <v>7.6935000000000002</v>
      </c>
      <c r="F454">
        <v>9.5245999999999995</v>
      </c>
      <c r="G454">
        <v>11.558999999999999</v>
      </c>
      <c r="H454">
        <v>13.466200000000001</v>
      </c>
      <c r="I454">
        <v>14.9986</v>
      </c>
      <c r="J454">
        <v>18.358599999999999</v>
      </c>
    </row>
    <row r="455" spans="1:10" x14ac:dyDescent="0.4">
      <c r="A455">
        <v>2037</v>
      </c>
      <c r="B455">
        <v>4.1346999999999996</v>
      </c>
      <c r="C455">
        <v>5.5519999999999996</v>
      </c>
      <c r="D455">
        <v>6.2253999999999996</v>
      </c>
      <c r="E455">
        <v>7.5248999999999997</v>
      </c>
      <c r="F455">
        <v>9.4564000000000004</v>
      </c>
      <c r="G455">
        <v>11.5448</v>
      </c>
      <c r="H455">
        <v>13.643700000000001</v>
      </c>
      <c r="I455">
        <v>14.878500000000001</v>
      </c>
      <c r="J455">
        <v>19.875399999999999</v>
      </c>
    </row>
    <row r="456" spans="1:10" x14ac:dyDescent="0.4">
      <c r="A456">
        <v>2038</v>
      </c>
      <c r="B456">
        <v>3.5865</v>
      </c>
      <c r="C456">
        <v>5.4396000000000004</v>
      </c>
      <c r="D456">
        <v>6.1383999999999999</v>
      </c>
      <c r="E456">
        <v>7.5523999999999996</v>
      </c>
      <c r="F456">
        <v>9.5198</v>
      </c>
      <c r="G456">
        <v>11.704599999999999</v>
      </c>
      <c r="H456">
        <v>13.5152</v>
      </c>
      <c r="I456">
        <v>14.746600000000001</v>
      </c>
      <c r="J456">
        <v>19.229800000000001</v>
      </c>
    </row>
    <row r="457" spans="1:10" x14ac:dyDescent="0.4">
      <c r="A457">
        <v>2039</v>
      </c>
      <c r="B457">
        <v>3.4550000000000001</v>
      </c>
      <c r="C457">
        <v>5.4288999999999996</v>
      </c>
      <c r="D457">
        <v>6.0467000000000004</v>
      </c>
      <c r="E457">
        <v>7.6113</v>
      </c>
      <c r="F457">
        <v>9.6021999999999998</v>
      </c>
      <c r="G457">
        <v>11.634399999999999</v>
      </c>
      <c r="H457">
        <v>13.4216</v>
      </c>
      <c r="I457">
        <v>15.0634</v>
      </c>
      <c r="J457">
        <v>18.9542</v>
      </c>
    </row>
    <row r="458" spans="1:10" x14ac:dyDescent="0.4">
      <c r="A458">
        <v>2040</v>
      </c>
      <c r="B458">
        <v>3.3824000000000001</v>
      </c>
      <c r="C458">
        <v>5.2763999999999998</v>
      </c>
      <c r="D458">
        <v>5.9985999999999997</v>
      </c>
      <c r="E458">
        <v>7.6825999999999999</v>
      </c>
      <c r="F458">
        <v>9.5048999999999992</v>
      </c>
      <c r="G458">
        <v>11.543900000000001</v>
      </c>
      <c r="H458">
        <v>13.5252</v>
      </c>
      <c r="I458">
        <v>14.9346</v>
      </c>
      <c r="J458">
        <v>19.066299999999998</v>
      </c>
    </row>
    <row r="459" spans="1:10" x14ac:dyDescent="0.4">
      <c r="A459">
        <v>2041</v>
      </c>
      <c r="B459">
        <v>3.3647</v>
      </c>
      <c r="C459">
        <v>5.0674999999999999</v>
      </c>
      <c r="D459">
        <v>6.0187999999999997</v>
      </c>
      <c r="E459">
        <v>7.6394000000000002</v>
      </c>
      <c r="F459">
        <v>9.5131999999999994</v>
      </c>
      <c r="G459">
        <v>11.6221</v>
      </c>
      <c r="H459">
        <v>13.610099999999999</v>
      </c>
      <c r="I459">
        <v>15.1065</v>
      </c>
      <c r="J459">
        <v>20.020299999999999</v>
      </c>
    </row>
    <row r="460" spans="1:10" x14ac:dyDescent="0.4">
      <c r="A460">
        <v>2042</v>
      </c>
      <c r="B460">
        <v>3.1743999999999999</v>
      </c>
      <c r="C460">
        <v>4.7907999999999999</v>
      </c>
      <c r="D460">
        <v>5.8875000000000002</v>
      </c>
      <c r="E460">
        <v>7.6577000000000002</v>
      </c>
      <c r="F460">
        <v>9.5044000000000004</v>
      </c>
      <c r="G460">
        <v>11.5747</v>
      </c>
      <c r="H460">
        <v>13.8414</v>
      </c>
      <c r="I460">
        <v>15.362</v>
      </c>
      <c r="J460">
        <v>18.171500000000002</v>
      </c>
    </row>
    <row r="461" spans="1:10" x14ac:dyDescent="0.4">
      <c r="A461">
        <v>2043</v>
      </c>
      <c r="B461">
        <v>3.0036999999999998</v>
      </c>
      <c r="C461">
        <v>4.8948</v>
      </c>
      <c r="D461">
        <v>5.6997</v>
      </c>
      <c r="E461">
        <v>7.5957999999999997</v>
      </c>
      <c r="F461">
        <v>9.5386000000000006</v>
      </c>
      <c r="G461">
        <v>11.5031</v>
      </c>
      <c r="H461">
        <v>13.742000000000001</v>
      </c>
      <c r="I461">
        <v>15.4406</v>
      </c>
      <c r="J461">
        <v>18.265799999999999</v>
      </c>
    </row>
    <row r="462" spans="1:10" x14ac:dyDescent="0.4">
      <c r="A462">
        <v>2044</v>
      </c>
      <c r="B462">
        <v>3.4598</v>
      </c>
      <c r="C462">
        <v>4.7346000000000004</v>
      </c>
      <c r="D462">
        <v>5.6936</v>
      </c>
      <c r="E462">
        <v>7.5213999999999999</v>
      </c>
      <c r="F462">
        <v>9.5907</v>
      </c>
      <c r="G462">
        <v>11.661099999999999</v>
      </c>
      <c r="H462">
        <v>13.731</v>
      </c>
      <c r="I462">
        <v>15.0669</v>
      </c>
      <c r="J462">
        <v>19.043399999999998</v>
      </c>
    </row>
    <row r="463" spans="1:10" x14ac:dyDescent="0.4">
      <c r="A463">
        <v>2045</v>
      </c>
      <c r="B463">
        <v>2.9405000000000001</v>
      </c>
      <c r="C463">
        <v>4.7309000000000001</v>
      </c>
      <c r="D463">
        <v>5.7840999999999996</v>
      </c>
      <c r="E463">
        <v>7.4984000000000002</v>
      </c>
      <c r="F463">
        <v>9.5235000000000003</v>
      </c>
      <c r="G463">
        <v>11.656000000000001</v>
      </c>
      <c r="H463">
        <v>13.701700000000001</v>
      </c>
      <c r="I463">
        <v>15.124000000000001</v>
      </c>
      <c r="J463">
        <v>18.928799999999999</v>
      </c>
    </row>
    <row r="464" spans="1:10" x14ac:dyDescent="0.4">
      <c r="A464">
        <v>2046</v>
      </c>
      <c r="B464">
        <v>2.6427</v>
      </c>
      <c r="C464">
        <v>4.8120000000000003</v>
      </c>
      <c r="D464">
        <v>5.9271000000000003</v>
      </c>
      <c r="E464">
        <v>7.4886999999999997</v>
      </c>
      <c r="F464">
        <v>9.4625000000000004</v>
      </c>
      <c r="G464">
        <v>11.5069</v>
      </c>
      <c r="H464">
        <v>13.588900000000001</v>
      </c>
      <c r="I464">
        <v>14.9475</v>
      </c>
      <c r="J464">
        <v>18.793700000000001</v>
      </c>
    </row>
    <row r="465" spans="1:10" x14ac:dyDescent="0.4">
      <c r="A465">
        <v>2047</v>
      </c>
      <c r="B465">
        <v>2.7267000000000001</v>
      </c>
      <c r="C465">
        <v>4.6323999999999996</v>
      </c>
      <c r="D465">
        <v>5.9771000000000001</v>
      </c>
      <c r="E465">
        <v>7.5983000000000001</v>
      </c>
      <c r="F465">
        <v>9.5513999999999992</v>
      </c>
      <c r="G465">
        <v>11.436199999999999</v>
      </c>
      <c r="H465">
        <v>13.590400000000001</v>
      </c>
      <c r="I465">
        <v>14.930899999999999</v>
      </c>
      <c r="J465">
        <v>18.499500000000001</v>
      </c>
    </row>
    <row r="466" spans="1:10" x14ac:dyDescent="0.4">
      <c r="A466">
        <v>2048</v>
      </c>
      <c r="B466">
        <v>2.4746000000000001</v>
      </c>
      <c r="C466">
        <v>4.8089000000000004</v>
      </c>
      <c r="D466">
        <v>5.8375000000000004</v>
      </c>
      <c r="E466">
        <v>7.5324999999999998</v>
      </c>
      <c r="F466">
        <v>9.4550999999999998</v>
      </c>
      <c r="G466">
        <v>11.587999999999999</v>
      </c>
      <c r="H466">
        <v>13.7204</v>
      </c>
      <c r="I466">
        <v>14.7288</v>
      </c>
      <c r="J466">
        <v>18.165400000000002</v>
      </c>
    </row>
    <row r="467" spans="1:10" x14ac:dyDescent="0.4">
      <c r="A467">
        <v>2049</v>
      </c>
      <c r="B467">
        <v>2.0461999999999998</v>
      </c>
      <c r="C467">
        <v>4.7515999999999998</v>
      </c>
      <c r="D467">
        <v>5.7849000000000004</v>
      </c>
      <c r="E467">
        <v>7.3350999999999997</v>
      </c>
      <c r="F467">
        <v>9.5937999999999999</v>
      </c>
      <c r="G467">
        <v>11.5861</v>
      </c>
      <c r="H467">
        <v>13.5822</v>
      </c>
      <c r="I467">
        <v>14.955299999999999</v>
      </c>
      <c r="J467">
        <v>18.798100000000002</v>
      </c>
    </row>
    <row r="468" spans="1:10" x14ac:dyDescent="0.4">
      <c r="A468">
        <v>2050</v>
      </c>
      <c r="B468">
        <v>1E-3</v>
      </c>
      <c r="C468">
        <v>4.8353999999999999</v>
      </c>
      <c r="D468">
        <v>5.6584000000000003</v>
      </c>
      <c r="E468">
        <v>7.4476000000000004</v>
      </c>
      <c r="F468">
        <v>9.4677000000000007</v>
      </c>
      <c r="G468">
        <v>11.5571</v>
      </c>
      <c r="H468">
        <v>13.6235</v>
      </c>
      <c r="I468">
        <v>14.9139</v>
      </c>
      <c r="J468">
        <v>17.7362</v>
      </c>
    </row>
    <row r="469" spans="1:10" x14ac:dyDescent="0.4">
      <c r="A469">
        <v>2051</v>
      </c>
      <c r="B469">
        <v>1E-3</v>
      </c>
      <c r="C469">
        <v>4.5370999999999997</v>
      </c>
      <c r="D469">
        <v>5.7062999999999997</v>
      </c>
      <c r="E469">
        <v>7.4367000000000001</v>
      </c>
      <c r="F469">
        <v>9.5106000000000002</v>
      </c>
      <c r="G469">
        <v>11.8071</v>
      </c>
      <c r="H469">
        <v>13.349</v>
      </c>
      <c r="I469">
        <v>14.4916</v>
      </c>
      <c r="J469">
        <v>17.470500000000001</v>
      </c>
    </row>
    <row r="470" spans="1:10" x14ac:dyDescent="0.4">
      <c r="A470">
        <v>2052</v>
      </c>
      <c r="B470">
        <v>1E-3</v>
      </c>
      <c r="C470">
        <v>4.6590999999999996</v>
      </c>
      <c r="D470">
        <v>5.5477999999999996</v>
      </c>
      <c r="E470">
        <v>7.3468999999999998</v>
      </c>
      <c r="F470">
        <v>9.4374000000000002</v>
      </c>
      <c r="G470">
        <v>11.663399999999999</v>
      </c>
      <c r="H470">
        <v>13.4237</v>
      </c>
      <c r="I470">
        <v>14.777900000000001</v>
      </c>
      <c r="J470">
        <v>16.9848</v>
      </c>
    </row>
    <row r="471" spans="1:10" x14ac:dyDescent="0.4">
      <c r="A471">
        <v>2053</v>
      </c>
      <c r="B471">
        <v>1E-3</v>
      </c>
      <c r="C471">
        <v>4.5553999999999997</v>
      </c>
      <c r="D471">
        <v>5.5659000000000001</v>
      </c>
      <c r="E471">
        <v>7.5266999999999999</v>
      </c>
      <c r="F471">
        <v>9.4707000000000008</v>
      </c>
      <c r="G471">
        <v>11.627000000000001</v>
      </c>
      <c r="H471">
        <v>13.5101</v>
      </c>
      <c r="I471">
        <v>14.9337</v>
      </c>
      <c r="J471">
        <v>17.437000000000001</v>
      </c>
    </row>
    <row r="472" spans="1:10" x14ac:dyDescent="0.4">
      <c r="A472">
        <v>2054</v>
      </c>
      <c r="B472">
        <v>1E-3</v>
      </c>
      <c r="C472">
        <v>4.6159999999999997</v>
      </c>
      <c r="D472">
        <v>5.5130999999999997</v>
      </c>
      <c r="E472">
        <v>7.5289999999999999</v>
      </c>
      <c r="F472">
        <v>9.6435999999999993</v>
      </c>
      <c r="G472">
        <v>11.692299999999999</v>
      </c>
      <c r="H472">
        <v>13.7462</v>
      </c>
      <c r="I472">
        <v>14.9078</v>
      </c>
      <c r="J472">
        <v>17.546099999999999</v>
      </c>
    </row>
    <row r="473" spans="1:10" x14ac:dyDescent="0.4">
      <c r="A473">
        <v>2055</v>
      </c>
      <c r="B473">
        <v>1E-3</v>
      </c>
      <c r="C473">
        <v>4.4781000000000004</v>
      </c>
      <c r="D473">
        <v>5.8791000000000002</v>
      </c>
      <c r="E473">
        <v>7.6098999999999997</v>
      </c>
      <c r="F473">
        <v>9.6523000000000003</v>
      </c>
      <c r="G473">
        <v>11.916399999999999</v>
      </c>
      <c r="H473">
        <v>14.000500000000001</v>
      </c>
      <c r="I473">
        <v>15.1568</v>
      </c>
      <c r="J473">
        <v>17.418399999999998</v>
      </c>
    </row>
    <row r="474" spans="1:10" x14ac:dyDescent="0.4">
      <c r="A474">
        <v>2056</v>
      </c>
      <c r="B474">
        <v>1E-3</v>
      </c>
      <c r="C474">
        <v>4.7664</v>
      </c>
      <c r="D474">
        <v>5.9366000000000003</v>
      </c>
      <c r="E474">
        <v>7.6010999999999997</v>
      </c>
      <c r="F474">
        <v>9.4908999999999999</v>
      </c>
      <c r="G474">
        <v>11.7776</v>
      </c>
      <c r="H474">
        <v>13.760899999999999</v>
      </c>
      <c r="I474">
        <v>14.8391</v>
      </c>
      <c r="J474">
        <v>17.952300000000001</v>
      </c>
    </row>
    <row r="475" spans="1:10" x14ac:dyDescent="0.4">
      <c r="A475">
        <v>2057</v>
      </c>
      <c r="B475">
        <v>1E-3</v>
      </c>
      <c r="C475">
        <v>4.7976000000000001</v>
      </c>
      <c r="D475">
        <v>5.9813999999999998</v>
      </c>
      <c r="E475">
        <v>7.5519999999999996</v>
      </c>
      <c r="F475">
        <v>9.6318000000000001</v>
      </c>
      <c r="G475">
        <v>11.795199999999999</v>
      </c>
      <c r="H475">
        <v>13.6813</v>
      </c>
      <c r="I475">
        <v>15.0793</v>
      </c>
      <c r="J475">
        <v>19.063500000000001</v>
      </c>
    </row>
    <row r="476" spans="1:10" x14ac:dyDescent="0.4">
      <c r="A476">
        <v>2058</v>
      </c>
      <c r="B476">
        <v>1E-3</v>
      </c>
      <c r="C476">
        <v>4.5561999999999996</v>
      </c>
      <c r="D476">
        <v>5.7202999999999999</v>
      </c>
      <c r="E476">
        <v>7.4897999999999998</v>
      </c>
      <c r="F476">
        <v>9.6395</v>
      </c>
      <c r="G476">
        <v>11.5588</v>
      </c>
      <c r="H476">
        <v>13.558</v>
      </c>
      <c r="I476">
        <v>14.8895</v>
      </c>
      <c r="J476">
        <v>18.456</v>
      </c>
    </row>
    <row r="477" spans="1:10" x14ac:dyDescent="0.4">
      <c r="A477">
        <v>2059</v>
      </c>
      <c r="B477">
        <v>1E-3</v>
      </c>
      <c r="C477">
        <v>4.2930000000000001</v>
      </c>
      <c r="D477">
        <v>5.5221</v>
      </c>
      <c r="E477">
        <v>7.47</v>
      </c>
      <c r="F477">
        <v>9.5371000000000006</v>
      </c>
      <c r="G477">
        <v>11.638999999999999</v>
      </c>
      <c r="H477">
        <v>13.394500000000001</v>
      </c>
      <c r="I477">
        <v>15.092599999999999</v>
      </c>
      <c r="J477">
        <v>19.278600000000001</v>
      </c>
    </row>
    <row r="478" spans="1:10" x14ac:dyDescent="0.4">
      <c r="A478">
        <v>2060</v>
      </c>
      <c r="B478">
        <v>1E-3</v>
      </c>
      <c r="C478">
        <v>4.2564000000000002</v>
      </c>
      <c r="D478">
        <v>5.4245999999999999</v>
      </c>
      <c r="E478">
        <v>7.4672000000000001</v>
      </c>
      <c r="F478">
        <v>9.4773999999999994</v>
      </c>
      <c r="G478">
        <v>11.4649</v>
      </c>
      <c r="H478">
        <v>13.657299999999999</v>
      </c>
      <c r="I478">
        <v>14.6767</v>
      </c>
      <c r="J478">
        <v>19.203700000000001</v>
      </c>
    </row>
    <row r="479" spans="1:10" x14ac:dyDescent="0.4">
      <c r="A479">
        <v>2061</v>
      </c>
      <c r="B479">
        <v>1E-3</v>
      </c>
      <c r="C479">
        <v>4.0174000000000003</v>
      </c>
      <c r="D479">
        <v>5.4599000000000002</v>
      </c>
      <c r="E479">
        <v>7.3147000000000002</v>
      </c>
      <c r="F479">
        <v>9.3556000000000008</v>
      </c>
      <c r="G479">
        <v>11.3857</v>
      </c>
      <c r="H479">
        <v>13.407</v>
      </c>
      <c r="I479">
        <v>14.9474</v>
      </c>
      <c r="J479">
        <v>19.1496</v>
      </c>
    </row>
    <row r="480" spans="1:10" x14ac:dyDescent="0.4">
      <c r="A480">
        <v>2062</v>
      </c>
      <c r="B480">
        <v>1E-3</v>
      </c>
      <c r="C480">
        <v>4.1984000000000004</v>
      </c>
      <c r="D480">
        <v>5.5326000000000004</v>
      </c>
      <c r="E480">
        <v>7.3943000000000003</v>
      </c>
      <c r="F480">
        <v>9.2924000000000007</v>
      </c>
      <c r="G480">
        <v>11.339</v>
      </c>
      <c r="H480">
        <v>13.6465</v>
      </c>
      <c r="I480">
        <v>14.802199999999999</v>
      </c>
      <c r="J480">
        <v>18.186800000000002</v>
      </c>
    </row>
    <row r="481" spans="1:10" x14ac:dyDescent="0.4">
      <c r="A481">
        <v>2063</v>
      </c>
      <c r="B481">
        <v>1E-3</v>
      </c>
      <c r="C481">
        <v>4.3337000000000003</v>
      </c>
      <c r="D481">
        <v>5.5274000000000001</v>
      </c>
      <c r="E481">
        <v>7.2965</v>
      </c>
      <c r="F481">
        <v>9.3869000000000007</v>
      </c>
      <c r="G481">
        <v>11.306900000000001</v>
      </c>
      <c r="H481">
        <v>13.668799999999999</v>
      </c>
      <c r="I481">
        <v>14.906700000000001</v>
      </c>
      <c r="J481">
        <v>17.8934</v>
      </c>
    </row>
    <row r="482" spans="1:10" x14ac:dyDescent="0.4">
      <c r="A482">
        <v>2064</v>
      </c>
      <c r="B482">
        <v>1E-3</v>
      </c>
      <c r="C482">
        <v>4.0538999999999996</v>
      </c>
      <c r="D482">
        <v>5.4962999999999997</v>
      </c>
      <c r="E482">
        <v>7.1196000000000002</v>
      </c>
      <c r="F482">
        <v>9.3025000000000002</v>
      </c>
      <c r="G482">
        <v>11.333399999999999</v>
      </c>
      <c r="H482">
        <v>13.257099999999999</v>
      </c>
      <c r="I482">
        <v>14.6501</v>
      </c>
      <c r="J482">
        <v>18.319500000000001</v>
      </c>
    </row>
    <row r="483" spans="1:10" x14ac:dyDescent="0.4">
      <c r="A483">
        <v>2065</v>
      </c>
      <c r="B483">
        <v>1E-3</v>
      </c>
      <c r="C483">
        <v>4.3708</v>
      </c>
      <c r="D483">
        <v>5.6612</v>
      </c>
      <c r="E483">
        <v>7.1727999999999996</v>
      </c>
      <c r="F483">
        <v>9.2895000000000003</v>
      </c>
      <c r="G483">
        <v>11.289400000000001</v>
      </c>
      <c r="H483">
        <v>13.438499999999999</v>
      </c>
      <c r="I483">
        <v>14.461600000000001</v>
      </c>
      <c r="J483">
        <v>18.3873</v>
      </c>
    </row>
    <row r="484" spans="1:10" x14ac:dyDescent="0.4">
      <c r="A484">
        <v>2066</v>
      </c>
      <c r="B484">
        <v>1E-3</v>
      </c>
      <c r="C484">
        <v>4.2439999999999998</v>
      </c>
      <c r="D484">
        <v>5.4633000000000003</v>
      </c>
      <c r="E484">
        <v>7.2051999999999996</v>
      </c>
      <c r="F484">
        <v>9.2121999999999993</v>
      </c>
      <c r="G484">
        <v>11.3361</v>
      </c>
      <c r="H484">
        <v>13.266</v>
      </c>
      <c r="I484">
        <v>14.644</v>
      </c>
      <c r="J484">
        <v>17.8491</v>
      </c>
    </row>
    <row r="485" spans="1:10" x14ac:dyDescent="0.4">
      <c r="A485">
        <v>2067</v>
      </c>
      <c r="B485">
        <v>1E-3</v>
      </c>
      <c r="C485">
        <v>4.1330999999999998</v>
      </c>
      <c r="D485">
        <v>5.4371</v>
      </c>
      <c r="E485">
        <v>7.3109999999999999</v>
      </c>
      <c r="F485">
        <v>9.2369000000000003</v>
      </c>
      <c r="G485">
        <v>11.390499999999999</v>
      </c>
      <c r="H485">
        <v>13.3209</v>
      </c>
      <c r="I485">
        <v>14.7509</v>
      </c>
      <c r="J485">
        <v>17.252600000000001</v>
      </c>
    </row>
    <row r="486" spans="1:10" x14ac:dyDescent="0.4">
      <c r="A486">
        <v>2068</v>
      </c>
      <c r="B486">
        <v>1E-3</v>
      </c>
      <c r="C486">
        <v>4.0945</v>
      </c>
      <c r="D486">
        <v>5.7115</v>
      </c>
      <c r="E486">
        <v>7.3875000000000002</v>
      </c>
      <c r="F486">
        <v>9.2736999999999998</v>
      </c>
      <c r="G486">
        <v>11.444599999999999</v>
      </c>
      <c r="H486">
        <v>13.323499999999999</v>
      </c>
      <c r="I486">
        <v>14.434100000000001</v>
      </c>
      <c r="J486">
        <v>16.929200000000002</v>
      </c>
    </row>
    <row r="487" spans="1:10" x14ac:dyDescent="0.4">
      <c r="A487">
        <v>2069</v>
      </c>
      <c r="B487">
        <v>1E-3</v>
      </c>
      <c r="C487">
        <v>4.2138</v>
      </c>
      <c r="D487">
        <v>5.6292</v>
      </c>
      <c r="E487">
        <v>7.4560000000000004</v>
      </c>
      <c r="F487">
        <v>9.2258999999999993</v>
      </c>
      <c r="G487">
        <v>11.5006</v>
      </c>
      <c r="H487">
        <v>13.290800000000001</v>
      </c>
      <c r="I487">
        <v>14.327999999999999</v>
      </c>
      <c r="J487">
        <v>17.578600000000002</v>
      </c>
    </row>
    <row r="488" spans="1:10" x14ac:dyDescent="0.4">
      <c r="A488">
        <v>2070</v>
      </c>
      <c r="B488">
        <v>1E-3</v>
      </c>
      <c r="C488">
        <v>4.0666000000000002</v>
      </c>
      <c r="D488">
        <v>5.3795000000000002</v>
      </c>
      <c r="E488">
        <v>7.3731999999999998</v>
      </c>
      <c r="F488">
        <v>9.3016000000000005</v>
      </c>
      <c r="G488">
        <v>11.583</v>
      </c>
      <c r="H488">
        <v>13.3208</v>
      </c>
      <c r="I488">
        <v>14.726599999999999</v>
      </c>
      <c r="J488">
        <v>17.496099999999998</v>
      </c>
    </row>
    <row r="489" spans="1:10" x14ac:dyDescent="0.4">
      <c r="A489">
        <v>2071</v>
      </c>
      <c r="B489">
        <v>1E-3</v>
      </c>
      <c r="C489">
        <v>3.923</v>
      </c>
      <c r="D489">
        <v>5.4036</v>
      </c>
      <c r="E489">
        <v>7.3171999999999997</v>
      </c>
      <c r="F489">
        <v>9.2811000000000003</v>
      </c>
      <c r="G489">
        <v>11.516299999999999</v>
      </c>
      <c r="H489">
        <v>13.351599999999999</v>
      </c>
      <c r="I489">
        <v>14.888299999999999</v>
      </c>
      <c r="J489">
        <v>18.299199999999999</v>
      </c>
    </row>
    <row r="490" spans="1:10" x14ac:dyDescent="0.4">
      <c r="A490">
        <v>2072</v>
      </c>
      <c r="B490">
        <v>1E-3</v>
      </c>
      <c r="C490">
        <v>4.0271999999999997</v>
      </c>
      <c r="D490">
        <v>5.4919000000000002</v>
      </c>
      <c r="E490">
        <v>7.3270999999999997</v>
      </c>
      <c r="F490">
        <v>9.3475999999999999</v>
      </c>
      <c r="G490">
        <v>11.581899999999999</v>
      </c>
      <c r="H490">
        <v>13.3645</v>
      </c>
      <c r="I490">
        <v>14.8283</v>
      </c>
      <c r="J490">
        <v>17.987400000000001</v>
      </c>
    </row>
    <row r="491" spans="1:10" x14ac:dyDescent="0.4">
      <c r="A491">
        <v>2073</v>
      </c>
      <c r="B491">
        <v>1E-3</v>
      </c>
      <c r="C491">
        <v>3.5876999999999999</v>
      </c>
      <c r="D491">
        <v>5.3403999999999998</v>
      </c>
      <c r="E491">
        <v>7.2916999999999996</v>
      </c>
      <c r="F491">
        <v>9.4559999999999995</v>
      </c>
      <c r="G491">
        <v>11.717000000000001</v>
      </c>
      <c r="H491">
        <v>13.452999999999999</v>
      </c>
      <c r="I491">
        <v>14.6554</v>
      </c>
      <c r="J491">
        <v>18.094899999999999</v>
      </c>
    </row>
    <row r="492" spans="1:10" x14ac:dyDescent="0.4">
      <c r="A492">
        <v>2074</v>
      </c>
      <c r="B492">
        <v>1E-3</v>
      </c>
      <c r="C492">
        <v>3.9127999999999998</v>
      </c>
      <c r="D492">
        <v>5.3978000000000002</v>
      </c>
      <c r="E492">
        <v>7.3682999999999996</v>
      </c>
      <c r="F492">
        <v>9.4728999999999992</v>
      </c>
      <c r="G492">
        <v>11.6563</v>
      </c>
      <c r="H492">
        <v>13.3454</v>
      </c>
      <c r="I492">
        <v>14.65</v>
      </c>
      <c r="J492">
        <v>17.405200000000001</v>
      </c>
    </row>
    <row r="493" spans="1:10" x14ac:dyDescent="0.4">
      <c r="A493">
        <v>2075</v>
      </c>
      <c r="B493">
        <v>1E-3</v>
      </c>
      <c r="C493">
        <v>4.1578999999999997</v>
      </c>
      <c r="D493">
        <v>5.3943000000000003</v>
      </c>
      <c r="E493">
        <v>7.3609999999999998</v>
      </c>
      <c r="F493">
        <v>9.4365000000000006</v>
      </c>
      <c r="G493">
        <v>11.6059</v>
      </c>
      <c r="H493">
        <v>13.6614</v>
      </c>
      <c r="I493">
        <v>14.708500000000001</v>
      </c>
      <c r="J493">
        <v>17.681000000000001</v>
      </c>
    </row>
    <row r="495" spans="1:10" x14ac:dyDescent="0.4">
      <c r="A495" t="s">
        <v>9</v>
      </c>
      <c r="B495" t="s">
        <v>6</v>
      </c>
      <c r="C495" t="s">
        <v>36</v>
      </c>
      <c r="D495">
        <v>1000</v>
      </c>
      <c r="E495" t="s">
        <v>35</v>
      </c>
    </row>
    <row r="497" spans="1:3" x14ac:dyDescent="0.4">
      <c r="A497" t="s">
        <v>22</v>
      </c>
      <c r="B497" t="s">
        <v>34</v>
      </c>
      <c r="C497" t="s">
        <v>33</v>
      </c>
    </row>
    <row r="498" spans="1:3" x14ac:dyDescent="0.4">
      <c r="A498">
        <v>2021</v>
      </c>
      <c r="B498">
        <v>9.0376999999999992</v>
      </c>
      <c r="C498">
        <v>1.6931</v>
      </c>
    </row>
    <row r="499" spans="1:3" x14ac:dyDescent="0.4">
      <c r="A499">
        <v>2022</v>
      </c>
      <c r="B499">
        <v>10.126799999999999</v>
      </c>
      <c r="C499">
        <v>2.0989</v>
      </c>
    </row>
    <row r="500" spans="1:3" x14ac:dyDescent="0.4">
      <c r="A500">
        <v>2023</v>
      </c>
      <c r="B500">
        <v>10.7525</v>
      </c>
      <c r="C500">
        <v>2.4426000000000001</v>
      </c>
    </row>
    <row r="501" spans="1:3" x14ac:dyDescent="0.4">
      <c r="A501">
        <v>2024</v>
      </c>
      <c r="B501">
        <v>10.7821</v>
      </c>
      <c r="C501">
        <v>2.6901000000000002</v>
      </c>
    </row>
    <row r="502" spans="1:3" x14ac:dyDescent="0.4">
      <c r="A502">
        <v>2025</v>
      </c>
      <c r="B502">
        <v>10.482799999999999</v>
      </c>
      <c r="C502">
        <v>2.7881999999999998</v>
      </c>
    </row>
    <row r="503" spans="1:3" x14ac:dyDescent="0.4">
      <c r="A503">
        <v>2026</v>
      </c>
      <c r="B503">
        <v>10.1015</v>
      </c>
      <c r="C503">
        <v>2.9422000000000001</v>
      </c>
    </row>
    <row r="504" spans="1:3" x14ac:dyDescent="0.4">
      <c r="A504">
        <v>2027</v>
      </c>
      <c r="B504">
        <v>9.7613000000000003</v>
      </c>
      <c r="C504">
        <v>2.9464999999999999</v>
      </c>
    </row>
    <row r="505" spans="1:3" x14ac:dyDescent="0.4">
      <c r="A505">
        <v>2028</v>
      </c>
      <c r="B505">
        <v>9.4977</v>
      </c>
      <c r="C505">
        <v>2.9674999999999998</v>
      </c>
    </row>
    <row r="506" spans="1:3" x14ac:dyDescent="0.4">
      <c r="A506">
        <v>2029</v>
      </c>
      <c r="B506">
        <v>9.3312000000000008</v>
      </c>
      <c r="C506">
        <v>2.9853000000000001</v>
      </c>
    </row>
    <row r="507" spans="1:3" x14ac:dyDescent="0.4">
      <c r="A507">
        <v>2030</v>
      </c>
      <c r="B507">
        <v>9.1984999999999992</v>
      </c>
      <c r="C507">
        <v>3.0234000000000001</v>
      </c>
    </row>
    <row r="508" spans="1:3" x14ac:dyDescent="0.4">
      <c r="A508">
        <v>2031</v>
      </c>
      <c r="B508">
        <v>9.0976999999999997</v>
      </c>
      <c r="C508">
        <v>3.0468999999999999</v>
      </c>
    </row>
    <row r="509" spans="1:3" x14ac:dyDescent="0.4">
      <c r="A509">
        <v>2032</v>
      </c>
      <c r="B509">
        <v>9.0360999999999994</v>
      </c>
      <c r="C509">
        <v>3.0558999999999998</v>
      </c>
    </row>
    <row r="510" spans="1:3" x14ac:dyDescent="0.4">
      <c r="A510">
        <v>2033</v>
      </c>
      <c r="B510">
        <v>8.9093999999999998</v>
      </c>
      <c r="C510">
        <v>3.0169000000000001</v>
      </c>
    </row>
    <row r="511" spans="1:3" x14ac:dyDescent="0.4">
      <c r="A511">
        <v>2034</v>
      </c>
      <c r="B511">
        <v>8.8361999999999998</v>
      </c>
      <c r="C511">
        <v>2.9689000000000001</v>
      </c>
    </row>
    <row r="512" spans="1:3" x14ac:dyDescent="0.4">
      <c r="A512">
        <v>2035</v>
      </c>
      <c r="B512">
        <v>8.7556999999999992</v>
      </c>
      <c r="C512">
        <v>2.9477000000000002</v>
      </c>
    </row>
    <row r="513" spans="1:3" x14ac:dyDescent="0.4">
      <c r="A513">
        <v>2036</v>
      </c>
      <c r="B513">
        <v>8.6760000000000002</v>
      </c>
      <c r="C513">
        <v>2.9472999999999998</v>
      </c>
    </row>
    <row r="514" spans="1:3" x14ac:dyDescent="0.4">
      <c r="A514">
        <v>2037</v>
      </c>
      <c r="B514">
        <v>8.6808999999999994</v>
      </c>
      <c r="C514">
        <v>2.9460000000000002</v>
      </c>
    </row>
    <row r="515" spans="1:3" x14ac:dyDescent="0.4">
      <c r="A515">
        <v>2038</v>
      </c>
      <c r="B515">
        <v>8.7087000000000003</v>
      </c>
      <c r="C515">
        <v>3.0297000000000001</v>
      </c>
    </row>
    <row r="516" spans="1:3" x14ac:dyDescent="0.4">
      <c r="A516">
        <v>2039</v>
      </c>
      <c r="B516">
        <v>8.7344000000000008</v>
      </c>
      <c r="C516">
        <v>3.2014</v>
      </c>
    </row>
    <row r="517" spans="1:3" x14ac:dyDescent="0.4">
      <c r="A517">
        <v>2040</v>
      </c>
      <c r="B517">
        <v>8.7060999999999993</v>
      </c>
      <c r="C517">
        <v>3.1993</v>
      </c>
    </row>
    <row r="518" spans="1:3" x14ac:dyDescent="0.4">
      <c r="A518">
        <v>2041</v>
      </c>
      <c r="B518">
        <v>8.7231000000000005</v>
      </c>
      <c r="C518">
        <v>3.2806000000000002</v>
      </c>
    </row>
    <row r="519" spans="1:3" x14ac:dyDescent="0.4">
      <c r="A519">
        <v>2042</v>
      </c>
      <c r="B519">
        <v>8.6842000000000006</v>
      </c>
      <c r="C519">
        <v>3.2332000000000001</v>
      </c>
    </row>
    <row r="520" spans="1:3" x14ac:dyDescent="0.4">
      <c r="A520">
        <v>2043</v>
      </c>
      <c r="B520">
        <v>8.6416000000000004</v>
      </c>
      <c r="C520">
        <v>3.2069000000000001</v>
      </c>
    </row>
    <row r="521" spans="1:3" x14ac:dyDescent="0.4">
      <c r="A521">
        <v>2044</v>
      </c>
      <c r="B521">
        <v>8.6683000000000003</v>
      </c>
      <c r="C521">
        <v>3.1539000000000001</v>
      </c>
    </row>
    <row r="522" spans="1:3" x14ac:dyDescent="0.4">
      <c r="A522">
        <v>2045</v>
      </c>
      <c r="B522">
        <v>8.6516999999999999</v>
      </c>
      <c r="C522">
        <v>3.1949000000000001</v>
      </c>
    </row>
    <row r="523" spans="1:3" x14ac:dyDescent="0.4">
      <c r="A523">
        <v>2046</v>
      </c>
      <c r="B523">
        <v>8.6068999999999996</v>
      </c>
      <c r="C523">
        <v>3.2073999999999998</v>
      </c>
    </row>
    <row r="524" spans="1:3" x14ac:dyDescent="0.4">
      <c r="A524">
        <v>2047</v>
      </c>
      <c r="B524">
        <v>8.6273</v>
      </c>
      <c r="C524">
        <v>3.1964000000000001</v>
      </c>
    </row>
    <row r="525" spans="1:3" x14ac:dyDescent="0.4">
      <c r="A525">
        <v>2048</v>
      </c>
      <c r="B525">
        <v>8.5967000000000002</v>
      </c>
      <c r="C525">
        <v>3.1875</v>
      </c>
    </row>
    <row r="526" spans="1:3" x14ac:dyDescent="0.4">
      <c r="A526">
        <v>2049</v>
      </c>
      <c r="B526">
        <v>8.5559999999999992</v>
      </c>
      <c r="C526">
        <v>3.2061999999999999</v>
      </c>
    </row>
    <row r="527" spans="1:3" x14ac:dyDescent="0.4">
      <c r="A527">
        <v>2050</v>
      </c>
      <c r="B527">
        <v>8.5335999999999999</v>
      </c>
      <c r="C527">
        <v>3.1533000000000002</v>
      </c>
    </row>
    <row r="528" spans="1:3" x14ac:dyDescent="0.4">
      <c r="A528">
        <v>2051</v>
      </c>
      <c r="B528">
        <v>8.5296000000000003</v>
      </c>
      <c r="C528">
        <v>3.1387</v>
      </c>
    </row>
    <row r="529" spans="1:3" x14ac:dyDescent="0.4">
      <c r="A529">
        <v>2052</v>
      </c>
      <c r="B529">
        <v>8.4680999999999997</v>
      </c>
      <c r="C529">
        <v>3.133</v>
      </c>
    </row>
    <row r="530" spans="1:3" x14ac:dyDescent="0.4">
      <c r="A530">
        <v>2053</v>
      </c>
      <c r="B530">
        <v>8.5267999999999997</v>
      </c>
      <c r="C530">
        <v>3.1393</v>
      </c>
    </row>
    <row r="531" spans="1:3" x14ac:dyDescent="0.4">
      <c r="A531">
        <v>2054</v>
      </c>
      <c r="B531">
        <v>8.5827000000000009</v>
      </c>
      <c r="C531">
        <v>3.1911</v>
      </c>
    </row>
    <row r="532" spans="1:3" x14ac:dyDescent="0.4">
      <c r="A532">
        <v>2055</v>
      </c>
      <c r="B532">
        <v>8.6842000000000006</v>
      </c>
      <c r="C532">
        <v>3.2002000000000002</v>
      </c>
    </row>
    <row r="533" spans="1:3" x14ac:dyDescent="0.4">
      <c r="A533">
        <v>2056</v>
      </c>
      <c r="B533">
        <v>8.6168999999999993</v>
      </c>
      <c r="C533">
        <v>3.1436999999999999</v>
      </c>
    </row>
    <row r="534" spans="1:3" x14ac:dyDescent="0.4">
      <c r="A534">
        <v>2057</v>
      </c>
      <c r="B534">
        <v>8.6206999999999994</v>
      </c>
      <c r="C534">
        <v>3.2321</v>
      </c>
    </row>
    <row r="535" spans="1:3" x14ac:dyDescent="0.4">
      <c r="A535">
        <v>2058</v>
      </c>
      <c r="B535">
        <v>8.5891000000000002</v>
      </c>
      <c r="C535">
        <v>3.3370000000000002</v>
      </c>
    </row>
    <row r="536" spans="1:3" x14ac:dyDescent="0.4">
      <c r="A536">
        <v>2059</v>
      </c>
      <c r="B536">
        <v>8.5297999999999998</v>
      </c>
      <c r="C536">
        <v>3.3738000000000001</v>
      </c>
    </row>
    <row r="537" spans="1:3" x14ac:dyDescent="0.4">
      <c r="A537">
        <v>2060</v>
      </c>
      <c r="B537">
        <v>8.4756</v>
      </c>
      <c r="C537">
        <v>3.3854000000000002</v>
      </c>
    </row>
    <row r="538" spans="1:3" x14ac:dyDescent="0.4">
      <c r="A538">
        <v>2061</v>
      </c>
      <c r="B538">
        <v>8.4047999999999998</v>
      </c>
      <c r="C538">
        <v>3.3218999999999999</v>
      </c>
    </row>
    <row r="539" spans="1:3" x14ac:dyDescent="0.4">
      <c r="A539">
        <v>2062</v>
      </c>
      <c r="B539">
        <v>8.3640000000000008</v>
      </c>
      <c r="C539">
        <v>3.2892999999999999</v>
      </c>
    </row>
    <row r="540" spans="1:3" x14ac:dyDescent="0.4">
      <c r="A540">
        <v>2063</v>
      </c>
      <c r="B540">
        <v>8.3257999999999992</v>
      </c>
      <c r="C540">
        <v>3.3071999999999999</v>
      </c>
    </row>
    <row r="541" spans="1:3" x14ac:dyDescent="0.4">
      <c r="A541">
        <v>2064</v>
      </c>
      <c r="B541">
        <v>8.2569999999999997</v>
      </c>
      <c r="C541">
        <v>3.2746</v>
      </c>
    </row>
    <row r="542" spans="1:3" x14ac:dyDescent="0.4">
      <c r="A542">
        <v>2065</v>
      </c>
      <c r="B542">
        <v>8.2802000000000007</v>
      </c>
      <c r="C542">
        <v>3.2462</v>
      </c>
    </row>
    <row r="543" spans="1:3" x14ac:dyDescent="0.4">
      <c r="A543">
        <v>2066</v>
      </c>
      <c r="B543">
        <v>8.2652000000000001</v>
      </c>
      <c r="C543">
        <v>3.2440000000000002</v>
      </c>
    </row>
    <row r="544" spans="1:3" x14ac:dyDescent="0.4">
      <c r="A544">
        <v>2067</v>
      </c>
      <c r="B544">
        <v>8.3003999999999998</v>
      </c>
      <c r="C544">
        <v>3.2553999999999998</v>
      </c>
    </row>
    <row r="545" spans="1:10" x14ac:dyDescent="0.4">
      <c r="A545">
        <v>2068</v>
      </c>
      <c r="B545">
        <v>8.2939000000000007</v>
      </c>
      <c r="C545">
        <v>3.2307000000000001</v>
      </c>
    </row>
    <row r="546" spans="1:10" x14ac:dyDescent="0.4">
      <c r="A546">
        <v>2069</v>
      </c>
      <c r="B546">
        <v>8.3253000000000004</v>
      </c>
      <c r="C546">
        <v>3.242</v>
      </c>
    </row>
    <row r="547" spans="1:10" x14ac:dyDescent="0.4">
      <c r="A547">
        <v>2070</v>
      </c>
      <c r="B547">
        <v>8.3321000000000005</v>
      </c>
      <c r="C547">
        <v>3.3391999999999999</v>
      </c>
    </row>
    <row r="548" spans="1:10" x14ac:dyDescent="0.4">
      <c r="A548">
        <v>2071</v>
      </c>
      <c r="B548">
        <v>8.3132000000000001</v>
      </c>
      <c r="C548">
        <v>3.3521000000000001</v>
      </c>
    </row>
    <row r="549" spans="1:10" x14ac:dyDescent="0.4">
      <c r="A549">
        <v>2072</v>
      </c>
      <c r="B549">
        <v>8.3734999999999999</v>
      </c>
      <c r="C549">
        <v>3.3763999999999998</v>
      </c>
    </row>
    <row r="550" spans="1:10" x14ac:dyDescent="0.4">
      <c r="A550">
        <v>2073</v>
      </c>
      <c r="B550">
        <v>8.4032</v>
      </c>
      <c r="C550">
        <v>3.4039999999999999</v>
      </c>
    </row>
    <row r="551" spans="1:10" x14ac:dyDescent="0.4">
      <c r="A551">
        <v>2074</v>
      </c>
      <c r="B551">
        <v>8.3884000000000007</v>
      </c>
      <c r="C551">
        <v>3.3249</v>
      </c>
    </row>
    <row r="552" spans="1:10" x14ac:dyDescent="0.4">
      <c r="A552">
        <v>2075</v>
      </c>
      <c r="B552">
        <v>8.4262999999999995</v>
      </c>
      <c r="C552">
        <v>3.468</v>
      </c>
    </row>
    <row r="554" spans="1:10" x14ac:dyDescent="0.4">
      <c r="A554" t="s">
        <v>9</v>
      </c>
      <c r="B554" t="s">
        <v>6</v>
      </c>
      <c r="C554" t="s">
        <v>32</v>
      </c>
    </row>
    <row r="556" spans="1:10" x14ac:dyDescent="0.4">
      <c r="A556" t="s">
        <v>22</v>
      </c>
      <c r="B556" s="2">
        <v>0.01</v>
      </c>
      <c r="C556" s="2">
        <v>0.05</v>
      </c>
      <c r="D556" s="2">
        <v>0.1</v>
      </c>
      <c r="E556" s="2">
        <v>0.25</v>
      </c>
      <c r="F556" s="2">
        <v>0.5</v>
      </c>
      <c r="G556" s="2">
        <v>0.75</v>
      </c>
      <c r="H556" s="2">
        <v>0.9</v>
      </c>
      <c r="I556" s="2">
        <v>0.95</v>
      </c>
      <c r="J556" s="2">
        <v>0.99</v>
      </c>
    </row>
    <row r="557" spans="1:10" x14ac:dyDescent="0.4">
      <c r="A557">
        <v>2021</v>
      </c>
      <c r="B557">
        <v>5.8285999999999998</v>
      </c>
      <c r="C557">
        <v>6.5071000000000003</v>
      </c>
      <c r="D557">
        <v>7.0004999999999997</v>
      </c>
      <c r="E557">
        <v>7.8377999999999997</v>
      </c>
      <c r="F557">
        <v>8.8823000000000008</v>
      </c>
      <c r="G557">
        <v>9.9649999999999999</v>
      </c>
      <c r="H557">
        <v>11.4003</v>
      </c>
      <c r="I557">
        <v>12.1622</v>
      </c>
      <c r="J557">
        <v>13.371499999999999</v>
      </c>
    </row>
    <row r="558" spans="1:10" x14ac:dyDescent="0.4">
      <c r="A558">
        <v>2022</v>
      </c>
      <c r="B558">
        <v>6.0963000000000003</v>
      </c>
      <c r="C558">
        <v>6.9657999999999998</v>
      </c>
      <c r="D558">
        <v>7.4898999999999996</v>
      </c>
      <c r="E558">
        <v>8.5846999999999998</v>
      </c>
      <c r="F558">
        <v>9.9681999999999995</v>
      </c>
      <c r="G558">
        <v>11.434100000000001</v>
      </c>
      <c r="H558">
        <v>12.923299999999999</v>
      </c>
      <c r="I558">
        <v>13.7676</v>
      </c>
      <c r="J558">
        <v>15.6282</v>
      </c>
    </row>
    <row r="559" spans="1:10" x14ac:dyDescent="0.4">
      <c r="A559">
        <v>2023</v>
      </c>
      <c r="B559">
        <v>5.9329000000000001</v>
      </c>
      <c r="C559">
        <v>7.1182999999999996</v>
      </c>
      <c r="D559">
        <v>7.6893000000000002</v>
      </c>
      <c r="E559">
        <v>8.9611000000000001</v>
      </c>
      <c r="F559">
        <v>10.6389</v>
      </c>
      <c r="G559">
        <v>12.349399999999999</v>
      </c>
      <c r="H559">
        <v>13.842499999999999</v>
      </c>
      <c r="I559">
        <v>14.823499999999999</v>
      </c>
      <c r="J559">
        <v>16.934999999999999</v>
      </c>
    </row>
    <row r="560" spans="1:10" x14ac:dyDescent="0.4">
      <c r="A560">
        <v>2024</v>
      </c>
      <c r="B560">
        <v>5.375</v>
      </c>
      <c r="C560">
        <v>6.6920000000000002</v>
      </c>
      <c r="D560">
        <v>7.3941999999999997</v>
      </c>
      <c r="E560">
        <v>8.8621999999999996</v>
      </c>
      <c r="F560">
        <v>10.6335</v>
      </c>
      <c r="G560">
        <v>12.4764</v>
      </c>
      <c r="H560">
        <v>14.119899999999999</v>
      </c>
      <c r="I560">
        <v>15.2555</v>
      </c>
      <c r="J560">
        <v>17.292300000000001</v>
      </c>
    </row>
    <row r="561" spans="1:10" x14ac:dyDescent="0.4">
      <c r="A561">
        <v>2025</v>
      </c>
      <c r="B561">
        <v>4.4165999999999999</v>
      </c>
      <c r="C561">
        <v>6.0895000000000001</v>
      </c>
      <c r="D561">
        <v>7.0540000000000003</v>
      </c>
      <c r="E561">
        <v>8.6029</v>
      </c>
      <c r="F561">
        <v>10.456099999999999</v>
      </c>
      <c r="G561">
        <v>12.251300000000001</v>
      </c>
      <c r="H561">
        <v>14.0282</v>
      </c>
      <c r="I561">
        <v>14.964600000000001</v>
      </c>
      <c r="J561">
        <v>17.457799999999999</v>
      </c>
    </row>
    <row r="562" spans="1:10" x14ac:dyDescent="0.4">
      <c r="A562">
        <v>2026</v>
      </c>
      <c r="B562">
        <v>4.2385999999999999</v>
      </c>
      <c r="C562">
        <v>5.5993000000000004</v>
      </c>
      <c r="D562">
        <v>6.4981</v>
      </c>
      <c r="E562">
        <v>7.9946999999999999</v>
      </c>
      <c r="F562">
        <v>9.9202999999999992</v>
      </c>
      <c r="G562">
        <v>11.950200000000001</v>
      </c>
      <c r="H562">
        <v>13.9801</v>
      </c>
      <c r="I562">
        <v>15.028700000000001</v>
      </c>
      <c r="J562">
        <v>17.561499999999999</v>
      </c>
    </row>
    <row r="563" spans="1:10" x14ac:dyDescent="0.4">
      <c r="A563">
        <v>2027</v>
      </c>
      <c r="B563">
        <v>3.8469000000000002</v>
      </c>
      <c r="C563">
        <v>5.3295000000000003</v>
      </c>
      <c r="D563">
        <v>6.1036999999999999</v>
      </c>
      <c r="E563">
        <v>7.7690000000000001</v>
      </c>
      <c r="F563">
        <v>9.5676000000000005</v>
      </c>
      <c r="G563">
        <v>11.545</v>
      </c>
      <c r="H563">
        <v>13.4472</v>
      </c>
      <c r="I563">
        <v>14.896800000000001</v>
      </c>
      <c r="J563">
        <v>17.059899999999999</v>
      </c>
    </row>
    <row r="564" spans="1:10" x14ac:dyDescent="0.4">
      <c r="A564">
        <v>2028</v>
      </c>
      <c r="B564">
        <v>3.6160999999999999</v>
      </c>
      <c r="C564">
        <v>5.0313999999999997</v>
      </c>
      <c r="D564">
        <v>5.8692000000000002</v>
      </c>
      <c r="E564">
        <v>7.2960000000000003</v>
      </c>
      <c r="F564">
        <v>9.2629000000000001</v>
      </c>
      <c r="G564">
        <v>11.4077</v>
      </c>
      <c r="H564">
        <v>13.4278</v>
      </c>
      <c r="I564">
        <v>14.454000000000001</v>
      </c>
      <c r="J564">
        <v>17.346900000000002</v>
      </c>
    </row>
    <row r="565" spans="1:10" x14ac:dyDescent="0.4">
      <c r="A565">
        <v>2029</v>
      </c>
      <c r="B565">
        <v>3.5331000000000001</v>
      </c>
      <c r="C565">
        <v>5.024</v>
      </c>
      <c r="D565">
        <v>5.7618</v>
      </c>
      <c r="E565">
        <v>7.0693000000000001</v>
      </c>
      <c r="F565">
        <v>9.2262000000000004</v>
      </c>
      <c r="G565">
        <v>11.0656</v>
      </c>
      <c r="H565">
        <v>13.1189</v>
      </c>
      <c r="I565">
        <v>14.2308</v>
      </c>
      <c r="J565">
        <v>18.087399999999999</v>
      </c>
    </row>
    <row r="566" spans="1:10" x14ac:dyDescent="0.4">
      <c r="A566">
        <v>2030</v>
      </c>
      <c r="B566">
        <v>3.1896</v>
      </c>
      <c r="C566">
        <v>4.6481000000000003</v>
      </c>
      <c r="D566">
        <v>5.5911999999999997</v>
      </c>
      <c r="E566">
        <v>7.0941000000000001</v>
      </c>
      <c r="F566">
        <v>8.9671000000000003</v>
      </c>
      <c r="G566">
        <v>11.057700000000001</v>
      </c>
      <c r="H566">
        <v>12.9032</v>
      </c>
      <c r="I566">
        <v>14.389200000000001</v>
      </c>
      <c r="J566">
        <v>17.7011</v>
      </c>
    </row>
    <row r="567" spans="1:10" x14ac:dyDescent="0.4">
      <c r="A567">
        <v>2031</v>
      </c>
      <c r="B567">
        <v>2.9903</v>
      </c>
      <c r="C567">
        <v>4.4736000000000002</v>
      </c>
      <c r="D567">
        <v>5.3170000000000002</v>
      </c>
      <c r="E567">
        <v>7.0556000000000001</v>
      </c>
      <c r="F567">
        <v>8.8085000000000004</v>
      </c>
      <c r="G567">
        <v>10.895300000000001</v>
      </c>
      <c r="H567">
        <v>12.847099999999999</v>
      </c>
      <c r="I567">
        <v>14.2302</v>
      </c>
      <c r="J567">
        <v>17.3765</v>
      </c>
    </row>
    <row r="568" spans="1:10" x14ac:dyDescent="0.4">
      <c r="A568">
        <v>2032</v>
      </c>
      <c r="B568">
        <v>2.8460999999999999</v>
      </c>
      <c r="C568">
        <v>4.5010000000000003</v>
      </c>
      <c r="D568">
        <v>5.3463000000000003</v>
      </c>
      <c r="E568">
        <v>6.9505999999999997</v>
      </c>
      <c r="F568">
        <v>8.8247</v>
      </c>
      <c r="G568">
        <v>10.8879</v>
      </c>
      <c r="H568">
        <v>12.9504</v>
      </c>
      <c r="I568">
        <v>14.0947</v>
      </c>
      <c r="J568">
        <v>18.291399999999999</v>
      </c>
    </row>
    <row r="569" spans="1:10" x14ac:dyDescent="0.4">
      <c r="A569">
        <v>2033</v>
      </c>
      <c r="B569">
        <v>2.9180999999999999</v>
      </c>
      <c r="C569">
        <v>4.5058999999999996</v>
      </c>
      <c r="D569">
        <v>5.3719000000000001</v>
      </c>
      <c r="E569">
        <v>6.6961000000000004</v>
      </c>
      <c r="F569">
        <v>8.6761999999999997</v>
      </c>
      <c r="G569">
        <v>10.723699999999999</v>
      </c>
      <c r="H569">
        <v>12.738200000000001</v>
      </c>
      <c r="I569">
        <v>13.972</v>
      </c>
      <c r="J569">
        <v>17.755500000000001</v>
      </c>
    </row>
    <row r="570" spans="1:10" x14ac:dyDescent="0.4">
      <c r="A570">
        <v>2034</v>
      </c>
      <c r="B570">
        <v>2.9946000000000002</v>
      </c>
      <c r="C570">
        <v>4.3783000000000003</v>
      </c>
      <c r="D570">
        <v>5.1984000000000004</v>
      </c>
      <c r="E570">
        <v>6.8018999999999998</v>
      </c>
      <c r="F570">
        <v>8.6586999999999996</v>
      </c>
      <c r="G570">
        <v>10.592499999999999</v>
      </c>
      <c r="H570">
        <v>12.5473</v>
      </c>
      <c r="I570">
        <v>13.9376</v>
      </c>
      <c r="J570">
        <v>16.933700000000002</v>
      </c>
    </row>
    <row r="571" spans="1:10" x14ac:dyDescent="0.4">
      <c r="A571">
        <v>2035</v>
      </c>
      <c r="B571">
        <v>3.0928</v>
      </c>
      <c r="C571">
        <v>4.4032999999999998</v>
      </c>
      <c r="D571">
        <v>5.2316000000000003</v>
      </c>
      <c r="E571">
        <v>6.7686999999999999</v>
      </c>
      <c r="F571">
        <v>8.4565000000000001</v>
      </c>
      <c r="G571">
        <v>10.600300000000001</v>
      </c>
      <c r="H571">
        <v>12.3851</v>
      </c>
      <c r="I571">
        <v>14.1523</v>
      </c>
      <c r="J571">
        <v>16.8779</v>
      </c>
    </row>
    <row r="572" spans="1:10" x14ac:dyDescent="0.4">
      <c r="A572">
        <v>2036</v>
      </c>
      <c r="B572">
        <v>2.8597000000000001</v>
      </c>
      <c r="C572">
        <v>4.4340999999999999</v>
      </c>
      <c r="D572">
        <v>5.0963000000000003</v>
      </c>
      <c r="E572">
        <v>6.6077000000000004</v>
      </c>
      <c r="F572">
        <v>8.4189000000000007</v>
      </c>
      <c r="G572">
        <v>10.3552</v>
      </c>
      <c r="H572">
        <v>12.373699999999999</v>
      </c>
      <c r="I572">
        <v>13.785399999999999</v>
      </c>
      <c r="J572">
        <v>17.922499999999999</v>
      </c>
    </row>
    <row r="573" spans="1:10" x14ac:dyDescent="0.4">
      <c r="A573">
        <v>2037</v>
      </c>
      <c r="B573">
        <v>3.4131999999999998</v>
      </c>
      <c r="C573">
        <v>4.6063999999999998</v>
      </c>
      <c r="D573">
        <v>5.1436999999999999</v>
      </c>
      <c r="E573">
        <v>6.5334000000000003</v>
      </c>
      <c r="F573">
        <v>8.3773999999999997</v>
      </c>
      <c r="G573">
        <v>10.493499999999999</v>
      </c>
      <c r="H573">
        <v>12.3704</v>
      </c>
      <c r="I573">
        <v>13.595800000000001</v>
      </c>
      <c r="J573">
        <v>18.312000000000001</v>
      </c>
    </row>
    <row r="574" spans="1:10" x14ac:dyDescent="0.4">
      <c r="A574">
        <v>2038</v>
      </c>
      <c r="B574">
        <v>2.762</v>
      </c>
      <c r="C574">
        <v>4.2782999999999998</v>
      </c>
      <c r="D574">
        <v>5.2117000000000004</v>
      </c>
      <c r="E574">
        <v>6.6237000000000004</v>
      </c>
      <c r="F574">
        <v>8.4121000000000006</v>
      </c>
      <c r="G574">
        <v>10.546900000000001</v>
      </c>
      <c r="H574">
        <v>12.4322</v>
      </c>
      <c r="I574">
        <v>13.9184</v>
      </c>
      <c r="J574">
        <v>17.919499999999999</v>
      </c>
    </row>
    <row r="575" spans="1:10" x14ac:dyDescent="0.4">
      <c r="A575">
        <v>2039</v>
      </c>
      <c r="B575">
        <v>2.5409999999999999</v>
      </c>
      <c r="C575">
        <v>4.3338999999999999</v>
      </c>
      <c r="D575">
        <v>5.1013000000000002</v>
      </c>
      <c r="E575">
        <v>6.6379000000000001</v>
      </c>
      <c r="F575">
        <v>8.4841999999999995</v>
      </c>
      <c r="G575">
        <v>10.3752</v>
      </c>
      <c r="H575">
        <v>12.421099999999999</v>
      </c>
      <c r="I575">
        <v>14.0146</v>
      </c>
      <c r="J575">
        <v>17.854399999999998</v>
      </c>
    </row>
    <row r="576" spans="1:10" x14ac:dyDescent="0.4">
      <c r="A576">
        <v>2040</v>
      </c>
      <c r="B576">
        <v>2.3774000000000002</v>
      </c>
      <c r="C576">
        <v>4.3727999999999998</v>
      </c>
      <c r="D576">
        <v>5.0643000000000002</v>
      </c>
      <c r="E576">
        <v>6.6515000000000004</v>
      </c>
      <c r="F576">
        <v>8.4351000000000003</v>
      </c>
      <c r="G576">
        <v>10.2829</v>
      </c>
      <c r="H576">
        <v>12.542400000000001</v>
      </c>
      <c r="I576">
        <v>13.592700000000001</v>
      </c>
      <c r="J576">
        <v>17.997</v>
      </c>
    </row>
    <row r="577" spans="1:10" x14ac:dyDescent="0.4">
      <c r="A577">
        <v>2041</v>
      </c>
      <c r="B577">
        <v>2.6337000000000002</v>
      </c>
      <c r="C577">
        <v>4.056</v>
      </c>
      <c r="D577">
        <v>4.9398</v>
      </c>
      <c r="E577">
        <v>6.6292</v>
      </c>
      <c r="F577">
        <v>8.4204000000000008</v>
      </c>
      <c r="G577">
        <v>10.613200000000001</v>
      </c>
      <c r="H577">
        <v>12.4117</v>
      </c>
      <c r="I577">
        <v>14.1912</v>
      </c>
      <c r="J577">
        <v>18.474799999999998</v>
      </c>
    </row>
    <row r="578" spans="1:10" x14ac:dyDescent="0.4">
      <c r="A578">
        <v>2042</v>
      </c>
      <c r="B578">
        <v>2.2927</v>
      </c>
      <c r="C578">
        <v>3.8403</v>
      </c>
      <c r="D578">
        <v>4.9221000000000004</v>
      </c>
      <c r="E578">
        <v>6.6306000000000003</v>
      </c>
      <c r="F578">
        <v>8.4428000000000001</v>
      </c>
      <c r="G578">
        <v>10.4824</v>
      </c>
      <c r="H578">
        <v>12.642200000000001</v>
      </c>
      <c r="I578">
        <v>14.1264</v>
      </c>
      <c r="J578">
        <v>17.533300000000001</v>
      </c>
    </row>
    <row r="579" spans="1:10" x14ac:dyDescent="0.4">
      <c r="A579">
        <v>2043</v>
      </c>
      <c r="B579">
        <v>2.1509999999999998</v>
      </c>
      <c r="C579">
        <v>3.8258000000000001</v>
      </c>
      <c r="D579">
        <v>4.7388000000000003</v>
      </c>
      <c r="E579">
        <v>6.4431000000000003</v>
      </c>
      <c r="F579">
        <v>8.3867999999999991</v>
      </c>
      <c r="G579">
        <v>10.507099999999999</v>
      </c>
      <c r="H579">
        <v>12.5465</v>
      </c>
      <c r="I579">
        <v>13.943199999999999</v>
      </c>
      <c r="J579">
        <v>18.0184</v>
      </c>
    </row>
    <row r="580" spans="1:10" x14ac:dyDescent="0.4">
      <c r="A580">
        <v>2044</v>
      </c>
      <c r="B580">
        <v>2.3214000000000001</v>
      </c>
      <c r="C580">
        <v>3.8519999999999999</v>
      </c>
      <c r="D580">
        <v>4.7742000000000004</v>
      </c>
      <c r="E580">
        <v>6.5669000000000004</v>
      </c>
      <c r="F580">
        <v>8.4876000000000005</v>
      </c>
      <c r="G580">
        <v>10.6426</v>
      </c>
      <c r="H580">
        <v>12.464399999999999</v>
      </c>
      <c r="I580">
        <v>13.762499999999999</v>
      </c>
      <c r="J580">
        <v>17.935700000000001</v>
      </c>
    </row>
    <row r="581" spans="1:10" x14ac:dyDescent="0.4">
      <c r="A581">
        <v>2045</v>
      </c>
      <c r="B581">
        <v>1.9877</v>
      </c>
      <c r="C581">
        <v>3.8050999999999999</v>
      </c>
      <c r="D581">
        <v>4.8323999999999998</v>
      </c>
      <c r="E581">
        <v>6.4904999999999999</v>
      </c>
      <c r="F581">
        <v>8.4621999999999993</v>
      </c>
      <c r="G581">
        <v>10.53</v>
      </c>
      <c r="H581">
        <v>12.456300000000001</v>
      </c>
      <c r="I581">
        <v>13.957000000000001</v>
      </c>
      <c r="J581">
        <v>18.332100000000001</v>
      </c>
    </row>
    <row r="582" spans="1:10" x14ac:dyDescent="0.4">
      <c r="A582">
        <v>2046</v>
      </c>
      <c r="B582">
        <v>1.3576999999999999</v>
      </c>
      <c r="C582">
        <v>3.7563</v>
      </c>
      <c r="D582">
        <v>4.8769999999999998</v>
      </c>
      <c r="E582">
        <v>6.5541</v>
      </c>
      <c r="F582">
        <v>8.4715000000000007</v>
      </c>
      <c r="G582">
        <v>10.5077</v>
      </c>
      <c r="H582">
        <v>12.329499999999999</v>
      </c>
      <c r="I582">
        <v>13.8188</v>
      </c>
      <c r="J582">
        <v>17.643999999999998</v>
      </c>
    </row>
    <row r="583" spans="1:10" x14ac:dyDescent="0.4">
      <c r="A583">
        <v>2047</v>
      </c>
      <c r="B583">
        <v>1.3774</v>
      </c>
      <c r="C583">
        <v>3.6751999999999998</v>
      </c>
      <c r="D583">
        <v>4.9016000000000002</v>
      </c>
      <c r="E583">
        <v>6.6254999999999997</v>
      </c>
      <c r="F583">
        <v>8.4755000000000003</v>
      </c>
      <c r="G583">
        <v>10.388500000000001</v>
      </c>
      <c r="H583">
        <v>12.557499999999999</v>
      </c>
      <c r="I583">
        <v>13.826000000000001</v>
      </c>
      <c r="J583">
        <v>16.703600000000002</v>
      </c>
    </row>
    <row r="584" spans="1:10" x14ac:dyDescent="0.4">
      <c r="A584">
        <v>2048</v>
      </c>
      <c r="B584">
        <v>1.5350999999999999</v>
      </c>
      <c r="C584">
        <v>3.7360000000000002</v>
      </c>
      <c r="D584">
        <v>4.8235000000000001</v>
      </c>
      <c r="E584">
        <v>6.5111999999999997</v>
      </c>
      <c r="F584">
        <v>8.4921000000000006</v>
      </c>
      <c r="G584">
        <v>10.4975</v>
      </c>
      <c r="H584">
        <v>12.5349</v>
      </c>
      <c r="I584">
        <v>13.6448</v>
      </c>
      <c r="J584">
        <v>17.845700000000001</v>
      </c>
    </row>
    <row r="585" spans="1:10" x14ac:dyDescent="0.4">
      <c r="A585">
        <v>2049</v>
      </c>
      <c r="B585">
        <v>1E-3</v>
      </c>
      <c r="C585">
        <v>3.6894999999999998</v>
      </c>
      <c r="D585">
        <v>4.6616999999999997</v>
      </c>
      <c r="E585">
        <v>6.3228999999999997</v>
      </c>
      <c r="F585">
        <v>8.4848999999999997</v>
      </c>
      <c r="G585">
        <v>10.6035</v>
      </c>
      <c r="H585">
        <v>12.4969</v>
      </c>
      <c r="I585">
        <v>14.004099999999999</v>
      </c>
      <c r="J585">
        <v>16.7883</v>
      </c>
    </row>
    <row r="586" spans="1:10" x14ac:dyDescent="0.4">
      <c r="A586">
        <v>2050</v>
      </c>
      <c r="B586">
        <v>1E-3</v>
      </c>
      <c r="C586">
        <v>3.7349999999999999</v>
      </c>
      <c r="D586">
        <v>4.7723000000000004</v>
      </c>
      <c r="E586">
        <v>6.3720999999999997</v>
      </c>
      <c r="F586">
        <v>8.4503000000000004</v>
      </c>
      <c r="G586">
        <v>10.446199999999999</v>
      </c>
      <c r="H586">
        <v>12.500999999999999</v>
      </c>
      <c r="I586">
        <v>13.853300000000001</v>
      </c>
      <c r="J586">
        <v>16.601500000000001</v>
      </c>
    </row>
    <row r="587" spans="1:10" x14ac:dyDescent="0.4">
      <c r="A587">
        <v>2051</v>
      </c>
      <c r="B587">
        <v>1E-3</v>
      </c>
      <c r="C587">
        <v>3.5257999999999998</v>
      </c>
      <c r="D587">
        <v>4.7100999999999997</v>
      </c>
      <c r="E587">
        <v>6.4512</v>
      </c>
      <c r="F587">
        <v>8.3758999999999997</v>
      </c>
      <c r="G587">
        <v>10.6144</v>
      </c>
      <c r="H587">
        <v>12.4488</v>
      </c>
      <c r="I587">
        <v>13.7483</v>
      </c>
      <c r="J587">
        <v>16.233499999999999</v>
      </c>
    </row>
    <row r="588" spans="1:10" x14ac:dyDescent="0.4">
      <c r="A588">
        <v>2052</v>
      </c>
      <c r="B588">
        <v>1E-3</v>
      </c>
      <c r="C588">
        <v>3.4584999999999999</v>
      </c>
      <c r="D588">
        <v>4.6342999999999996</v>
      </c>
      <c r="E588">
        <v>6.3624000000000001</v>
      </c>
      <c r="F588">
        <v>8.3987999999999996</v>
      </c>
      <c r="G588">
        <v>10.625999999999999</v>
      </c>
      <c r="H588">
        <v>12.2727</v>
      </c>
      <c r="I588">
        <v>13.6213</v>
      </c>
      <c r="J588">
        <v>16.1859</v>
      </c>
    </row>
    <row r="589" spans="1:10" x14ac:dyDescent="0.4">
      <c r="A589">
        <v>2053</v>
      </c>
      <c r="B589">
        <v>1E-3</v>
      </c>
      <c r="C589">
        <v>3.6305999999999998</v>
      </c>
      <c r="D589">
        <v>4.6775000000000002</v>
      </c>
      <c r="E589">
        <v>6.4889999999999999</v>
      </c>
      <c r="F589">
        <v>8.4690999999999992</v>
      </c>
      <c r="G589">
        <v>10.553100000000001</v>
      </c>
      <c r="H589">
        <v>12.3591</v>
      </c>
      <c r="I589">
        <v>13.7005</v>
      </c>
      <c r="J589">
        <v>15.8759</v>
      </c>
    </row>
    <row r="590" spans="1:10" x14ac:dyDescent="0.4">
      <c r="A590">
        <v>2054</v>
      </c>
      <c r="B590">
        <v>1E-3</v>
      </c>
      <c r="C590">
        <v>3.5375999999999999</v>
      </c>
      <c r="D590">
        <v>4.5740999999999996</v>
      </c>
      <c r="E590">
        <v>6.5918000000000001</v>
      </c>
      <c r="F590">
        <v>8.4479000000000006</v>
      </c>
      <c r="G590">
        <v>10.7072</v>
      </c>
      <c r="H590">
        <v>12.6579</v>
      </c>
      <c r="I590">
        <v>13.685700000000001</v>
      </c>
      <c r="J590">
        <v>16.209</v>
      </c>
    </row>
    <row r="591" spans="1:10" x14ac:dyDescent="0.4">
      <c r="A591">
        <v>2055</v>
      </c>
      <c r="B591">
        <v>1E-3</v>
      </c>
      <c r="C591">
        <v>3.7010999999999998</v>
      </c>
      <c r="D591">
        <v>5.0365000000000002</v>
      </c>
      <c r="E591">
        <v>6.6333000000000002</v>
      </c>
      <c r="F591">
        <v>8.6202000000000005</v>
      </c>
      <c r="G591">
        <v>10.779400000000001</v>
      </c>
      <c r="H591">
        <v>12.743</v>
      </c>
      <c r="I591">
        <v>14.021599999999999</v>
      </c>
      <c r="J591">
        <v>16.4193</v>
      </c>
    </row>
    <row r="592" spans="1:10" x14ac:dyDescent="0.4">
      <c r="A592">
        <v>2056</v>
      </c>
      <c r="B592">
        <v>1E-3</v>
      </c>
      <c r="C592">
        <v>3.8797999999999999</v>
      </c>
      <c r="D592">
        <v>4.9787999999999997</v>
      </c>
      <c r="E592">
        <v>6.5697999999999999</v>
      </c>
      <c r="F592">
        <v>8.4403000000000006</v>
      </c>
      <c r="G592">
        <v>10.577400000000001</v>
      </c>
      <c r="H592">
        <v>12.4818</v>
      </c>
      <c r="I592">
        <v>13.821</v>
      </c>
      <c r="J592">
        <v>16.8462</v>
      </c>
    </row>
    <row r="593" spans="1:10" x14ac:dyDescent="0.4">
      <c r="A593">
        <v>2057</v>
      </c>
      <c r="B593">
        <v>1E-3</v>
      </c>
      <c r="C593">
        <v>4.0846</v>
      </c>
      <c r="D593">
        <v>4.8993000000000002</v>
      </c>
      <c r="E593">
        <v>6.4813999999999998</v>
      </c>
      <c r="F593">
        <v>8.4414999999999996</v>
      </c>
      <c r="G593">
        <v>10.5726</v>
      </c>
      <c r="H593">
        <v>12.484500000000001</v>
      </c>
      <c r="I593">
        <v>14.135899999999999</v>
      </c>
      <c r="J593">
        <v>16.936499999999999</v>
      </c>
    </row>
    <row r="594" spans="1:10" x14ac:dyDescent="0.4">
      <c r="A594">
        <v>2058</v>
      </c>
      <c r="B594">
        <v>1E-3</v>
      </c>
      <c r="C594">
        <v>3.5480999999999998</v>
      </c>
      <c r="D594">
        <v>4.7747999999999999</v>
      </c>
      <c r="E594">
        <v>6.3838999999999997</v>
      </c>
      <c r="F594">
        <v>8.5065000000000008</v>
      </c>
      <c r="G594">
        <v>10.4786</v>
      </c>
      <c r="H594">
        <v>12.403</v>
      </c>
      <c r="I594">
        <v>13.954800000000001</v>
      </c>
      <c r="J594">
        <v>17.3672</v>
      </c>
    </row>
    <row r="595" spans="1:10" x14ac:dyDescent="0.4">
      <c r="A595">
        <v>2059</v>
      </c>
      <c r="B595">
        <v>1E-3</v>
      </c>
      <c r="C595">
        <v>3.2921</v>
      </c>
      <c r="D595">
        <v>4.5296000000000003</v>
      </c>
      <c r="E595">
        <v>6.4623999999999997</v>
      </c>
      <c r="F595">
        <v>8.4707000000000008</v>
      </c>
      <c r="G595">
        <v>10.5143</v>
      </c>
      <c r="H595">
        <v>12.1722</v>
      </c>
      <c r="I595">
        <v>13.776999999999999</v>
      </c>
      <c r="J595">
        <v>17.880400000000002</v>
      </c>
    </row>
    <row r="596" spans="1:10" x14ac:dyDescent="0.4">
      <c r="A596">
        <v>2060</v>
      </c>
      <c r="B596">
        <v>1E-3</v>
      </c>
      <c r="C596">
        <v>3.1876000000000002</v>
      </c>
      <c r="D596">
        <v>4.4650999999999996</v>
      </c>
      <c r="E596">
        <v>6.4851999999999999</v>
      </c>
      <c r="F596">
        <v>8.3869000000000007</v>
      </c>
      <c r="G596">
        <v>10.361000000000001</v>
      </c>
      <c r="H596">
        <v>12.4595</v>
      </c>
      <c r="I596">
        <v>13.686199999999999</v>
      </c>
      <c r="J596">
        <v>18.813199999999998</v>
      </c>
    </row>
    <row r="597" spans="1:10" x14ac:dyDescent="0.4">
      <c r="A597">
        <v>2061</v>
      </c>
      <c r="B597">
        <v>1E-3</v>
      </c>
      <c r="C597">
        <v>3.1111</v>
      </c>
      <c r="D597">
        <v>4.5338000000000003</v>
      </c>
      <c r="E597">
        <v>6.3712</v>
      </c>
      <c r="F597">
        <v>8.3613</v>
      </c>
      <c r="G597">
        <v>10.2826</v>
      </c>
      <c r="H597">
        <v>12.2319</v>
      </c>
      <c r="I597">
        <v>13.588699999999999</v>
      </c>
      <c r="J597">
        <v>18.1328</v>
      </c>
    </row>
    <row r="598" spans="1:10" x14ac:dyDescent="0.4">
      <c r="A598">
        <v>2062</v>
      </c>
      <c r="B598">
        <v>1E-3</v>
      </c>
      <c r="C598">
        <v>3.2955000000000001</v>
      </c>
      <c r="D598">
        <v>4.532</v>
      </c>
      <c r="E598">
        <v>6.3602999999999996</v>
      </c>
      <c r="F598">
        <v>8.3040000000000003</v>
      </c>
      <c r="G598">
        <v>10.3545</v>
      </c>
      <c r="H598">
        <v>12.352499999999999</v>
      </c>
      <c r="I598">
        <v>13.5701</v>
      </c>
      <c r="J598">
        <v>16.933</v>
      </c>
    </row>
    <row r="599" spans="1:10" x14ac:dyDescent="0.4">
      <c r="A599">
        <v>2063</v>
      </c>
      <c r="B599">
        <v>1E-3</v>
      </c>
      <c r="C599">
        <v>3.4184999999999999</v>
      </c>
      <c r="D599">
        <v>4.4500999999999999</v>
      </c>
      <c r="E599">
        <v>6.1805000000000003</v>
      </c>
      <c r="F599">
        <v>8.2895000000000003</v>
      </c>
      <c r="G599">
        <v>10.260199999999999</v>
      </c>
      <c r="H599">
        <v>12.4975</v>
      </c>
      <c r="I599">
        <v>13.720700000000001</v>
      </c>
      <c r="J599">
        <v>16.961099999999998</v>
      </c>
    </row>
    <row r="600" spans="1:10" x14ac:dyDescent="0.4">
      <c r="A600">
        <v>2064</v>
      </c>
      <c r="B600">
        <v>1E-3</v>
      </c>
      <c r="C600">
        <v>3.1625999999999999</v>
      </c>
      <c r="D600">
        <v>4.4673999999999996</v>
      </c>
      <c r="E600">
        <v>6.1376999999999997</v>
      </c>
      <c r="F600">
        <v>8.1797000000000004</v>
      </c>
      <c r="G600">
        <v>10.3879</v>
      </c>
      <c r="H600">
        <v>12.0364</v>
      </c>
      <c r="I600">
        <v>13.5449</v>
      </c>
      <c r="J600">
        <v>16.530200000000001</v>
      </c>
    </row>
    <row r="601" spans="1:10" x14ac:dyDescent="0.4">
      <c r="A601">
        <v>2065</v>
      </c>
      <c r="B601">
        <v>1E-3</v>
      </c>
      <c r="C601">
        <v>3.4177</v>
      </c>
      <c r="D601">
        <v>4.5347999999999997</v>
      </c>
      <c r="E601">
        <v>6.1262999999999996</v>
      </c>
      <c r="F601">
        <v>8.2408000000000001</v>
      </c>
      <c r="G601">
        <v>10.369300000000001</v>
      </c>
      <c r="H601">
        <v>12.1934</v>
      </c>
      <c r="I601">
        <v>13.5701</v>
      </c>
      <c r="J601">
        <v>16.672799999999999</v>
      </c>
    </row>
    <row r="602" spans="1:10" x14ac:dyDescent="0.4">
      <c r="A602">
        <v>2066</v>
      </c>
      <c r="B602">
        <v>1E-3</v>
      </c>
      <c r="C602">
        <v>3.1383000000000001</v>
      </c>
      <c r="D602">
        <v>4.4782999999999999</v>
      </c>
      <c r="E602">
        <v>6.2397999999999998</v>
      </c>
      <c r="F602">
        <v>8.1683000000000003</v>
      </c>
      <c r="G602">
        <v>10.376099999999999</v>
      </c>
      <c r="H602">
        <v>12.326000000000001</v>
      </c>
      <c r="I602">
        <v>13.513299999999999</v>
      </c>
      <c r="J602">
        <v>16.5488</v>
      </c>
    </row>
    <row r="603" spans="1:10" x14ac:dyDescent="0.4">
      <c r="A603">
        <v>2067</v>
      </c>
      <c r="B603">
        <v>1E-3</v>
      </c>
      <c r="C603">
        <v>3.2058</v>
      </c>
      <c r="D603">
        <v>4.4394999999999998</v>
      </c>
      <c r="E603">
        <v>6.3129999999999997</v>
      </c>
      <c r="F603">
        <v>8.2698</v>
      </c>
      <c r="G603">
        <v>10.250299999999999</v>
      </c>
      <c r="H603">
        <v>12.2944</v>
      </c>
      <c r="I603">
        <v>13.4298</v>
      </c>
      <c r="J603">
        <v>16.320699999999999</v>
      </c>
    </row>
    <row r="604" spans="1:10" x14ac:dyDescent="0.4">
      <c r="A604">
        <v>2068</v>
      </c>
      <c r="B604">
        <v>1E-3</v>
      </c>
      <c r="C604">
        <v>3.0775999999999999</v>
      </c>
      <c r="D604">
        <v>4.7126999999999999</v>
      </c>
      <c r="E604">
        <v>6.3403999999999998</v>
      </c>
      <c r="F604">
        <v>8.3251000000000008</v>
      </c>
      <c r="G604">
        <v>10.347099999999999</v>
      </c>
      <c r="H604">
        <v>12.1683</v>
      </c>
      <c r="I604">
        <v>13.452400000000001</v>
      </c>
      <c r="J604">
        <v>15.867100000000001</v>
      </c>
    </row>
    <row r="605" spans="1:10" x14ac:dyDescent="0.4">
      <c r="A605">
        <v>2069</v>
      </c>
      <c r="B605">
        <v>1E-3</v>
      </c>
      <c r="C605">
        <v>3.2343999999999999</v>
      </c>
      <c r="D605">
        <v>4.6203000000000003</v>
      </c>
      <c r="E605">
        <v>6.4599000000000002</v>
      </c>
      <c r="F605">
        <v>8.2744</v>
      </c>
      <c r="G605">
        <v>10.2532</v>
      </c>
      <c r="H605">
        <v>12.188599999999999</v>
      </c>
      <c r="I605">
        <v>13.2462</v>
      </c>
      <c r="J605">
        <v>17.347100000000001</v>
      </c>
    </row>
    <row r="606" spans="1:10" x14ac:dyDescent="0.4">
      <c r="A606">
        <v>2070</v>
      </c>
      <c r="B606">
        <v>1E-3</v>
      </c>
      <c r="C606">
        <v>3.1017999999999999</v>
      </c>
      <c r="D606">
        <v>4.4604999999999997</v>
      </c>
      <c r="E606">
        <v>6.4066000000000001</v>
      </c>
      <c r="F606">
        <v>8.234</v>
      </c>
      <c r="G606">
        <v>10.4312</v>
      </c>
      <c r="H606">
        <v>12.2995</v>
      </c>
      <c r="I606">
        <v>13.7217</v>
      </c>
      <c r="J606">
        <v>16.4008</v>
      </c>
    </row>
    <row r="607" spans="1:10" x14ac:dyDescent="0.4">
      <c r="A607">
        <v>2071</v>
      </c>
      <c r="B607">
        <v>1E-3</v>
      </c>
      <c r="C607">
        <v>2.9125000000000001</v>
      </c>
      <c r="D607">
        <v>4.3776999999999999</v>
      </c>
      <c r="E607">
        <v>6.2503000000000002</v>
      </c>
      <c r="F607">
        <v>8.2835999999999999</v>
      </c>
      <c r="G607">
        <v>10.3507</v>
      </c>
      <c r="H607">
        <v>12.351000000000001</v>
      </c>
      <c r="I607">
        <v>13.550800000000001</v>
      </c>
      <c r="J607">
        <v>16.952400000000001</v>
      </c>
    </row>
    <row r="608" spans="1:10" x14ac:dyDescent="0.4">
      <c r="A608">
        <v>2072</v>
      </c>
      <c r="B608">
        <v>1E-3</v>
      </c>
      <c r="C608">
        <v>2.8885000000000001</v>
      </c>
      <c r="D608">
        <v>4.5323000000000002</v>
      </c>
      <c r="E608">
        <v>6.3388999999999998</v>
      </c>
      <c r="F608">
        <v>8.3089999999999993</v>
      </c>
      <c r="G608">
        <v>10.435</v>
      </c>
      <c r="H608">
        <v>12.2949</v>
      </c>
      <c r="I608">
        <v>13.676399999999999</v>
      </c>
      <c r="J608">
        <v>17.0564</v>
      </c>
    </row>
    <row r="609" spans="1:10" x14ac:dyDescent="0.4">
      <c r="A609">
        <v>2073</v>
      </c>
      <c r="B609">
        <v>1E-3</v>
      </c>
      <c r="C609">
        <v>2.6888999999999998</v>
      </c>
      <c r="D609">
        <v>4.3808999999999996</v>
      </c>
      <c r="E609">
        <v>6.2375999999999996</v>
      </c>
      <c r="F609">
        <v>8.4527999999999999</v>
      </c>
      <c r="G609">
        <v>10.613</v>
      </c>
      <c r="H609">
        <v>12.408200000000001</v>
      </c>
      <c r="I609">
        <v>13.376899999999999</v>
      </c>
      <c r="J609">
        <v>16.611499999999999</v>
      </c>
    </row>
    <row r="610" spans="1:10" x14ac:dyDescent="0.4">
      <c r="A610">
        <v>2074</v>
      </c>
      <c r="B610">
        <v>1E-3</v>
      </c>
      <c r="C610">
        <v>3.2069999999999999</v>
      </c>
      <c r="D610">
        <v>4.4025999999999996</v>
      </c>
      <c r="E610">
        <v>6.4356999999999998</v>
      </c>
      <c r="F610">
        <v>8.4666999999999994</v>
      </c>
      <c r="G610">
        <v>10.479900000000001</v>
      </c>
      <c r="H610">
        <v>12.245100000000001</v>
      </c>
      <c r="I610">
        <v>13.4703</v>
      </c>
      <c r="J610">
        <v>17.263500000000001</v>
      </c>
    </row>
    <row r="611" spans="1:10" x14ac:dyDescent="0.4">
      <c r="A611">
        <v>2075</v>
      </c>
      <c r="B611">
        <v>1E-3</v>
      </c>
      <c r="C611">
        <v>3.1051000000000002</v>
      </c>
      <c r="D611">
        <v>4.4442000000000004</v>
      </c>
      <c r="E611">
        <v>6.4230999999999998</v>
      </c>
      <c r="F611">
        <v>8.3202999999999996</v>
      </c>
      <c r="G611">
        <v>10.5593</v>
      </c>
      <c r="H611">
        <v>12.5001</v>
      </c>
      <c r="I611">
        <v>13.7387</v>
      </c>
      <c r="J611">
        <v>17.053899999999999</v>
      </c>
    </row>
    <row r="613" spans="1:10" x14ac:dyDescent="0.4">
      <c r="A613" t="s">
        <v>8</v>
      </c>
      <c r="B613" t="s">
        <v>7</v>
      </c>
      <c r="C613" t="s">
        <v>6</v>
      </c>
      <c r="D613" t="s">
        <v>36</v>
      </c>
      <c r="E613">
        <v>1000</v>
      </c>
      <c r="F613" t="s">
        <v>35</v>
      </c>
    </row>
    <row r="615" spans="1:10" x14ac:dyDescent="0.4">
      <c r="A615" t="s">
        <v>22</v>
      </c>
      <c r="B615" t="s">
        <v>34</v>
      </c>
      <c r="C615" t="s">
        <v>33</v>
      </c>
    </row>
    <row r="616" spans="1:10" x14ac:dyDescent="0.4">
      <c r="A616">
        <v>2021</v>
      </c>
      <c r="B616">
        <v>1.5398000000000001</v>
      </c>
      <c r="C616">
        <v>0</v>
      </c>
    </row>
    <row r="617" spans="1:10" x14ac:dyDescent="0.4">
      <c r="A617">
        <v>2022</v>
      </c>
      <c r="B617">
        <v>1.4739</v>
      </c>
      <c r="C617">
        <v>0</v>
      </c>
    </row>
    <row r="618" spans="1:10" x14ac:dyDescent="0.4">
      <c r="A618">
        <v>2023</v>
      </c>
      <c r="B618">
        <v>1.6854</v>
      </c>
      <c r="C618">
        <v>0</v>
      </c>
    </row>
    <row r="619" spans="1:10" x14ac:dyDescent="0.4">
      <c r="A619">
        <v>2024</v>
      </c>
      <c r="B619">
        <v>2.1566999999999998</v>
      </c>
      <c r="C619">
        <v>0</v>
      </c>
    </row>
    <row r="620" spans="1:10" x14ac:dyDescent="0.4">
      <c r="A620">
        <v>2025</v>
      </c>
      <c r="B620">
        <v>2.4</v>
      </c>
      <c r="C620">
        <v>0</v>
      </c>
    </row>
    <row r="621" spans="1:10" x14ac:dyDescent="0.4">
      <c r="A621">
        <v>2026</v>
      </c>
      <c r="B621">
        <v>2.4</v>
      </c>
      <c r="C621">
        <v>0</v>
      </c>
    </row>
    <row r="622" spans="1:10" x14ac:dyDescent="0.4">
      <c r="A622">
        <v>2027</v>
      </c>
      <c r="B622">
        <v>2.4</v>
      </c>
      <c r="C622">
        <v>0</v>
      </c>
    </row>
    <row r="623" spans="1:10" x14ac:dyDescent="0.4">
      <c r="A623">
        <v>2028</v>
      </c>
      <c r="B623">
        <v>2.4</v>
      </c>
      <c r="C623">
        <v>0</v>
      </c>
    </row>
    <row r="624" spans="1:10" x14ac:dyDescent="0.4">
      <c r="A624">
        <v>2029</v>
      </c>
      <c r="B624">
        <v>2.4</v>
      </c>
      <c r="C624">
        <v>0</v>
      </c>
    </row>
    <row r="625" spans="1:3" x14ac:dyDescent="0.4">
      <c r="A625">
        <v>2030</v>
      </c>
      <c r="B625">
        <v>2.4</v>
      </c>
      <c r="C625">
        <v>0</v>
      </c>
    </row>
    <row r="626" spans="1:3" x14ac:dyDescent="0.4">
      <c r="A626">
        <v>2031</v>
      </c>
      <c r="B626">
        <v>2.4</v>
      </c>
      <c r="C626">
        <v>0</v>
      </c>
    </row>
    <row r="627" spans="1:3" x14ac:dyDescent="0.4">
      <c r="A627">
        <v>2032</v>
      </c>
      <c r="B627">
        <v>2.4</v>
      </c>
      <c r="C627">
        <v>0</v>
      </c>
    </row>
    <row r="628" spans="1:3" x14ac:dyDescent="0.4">
      <c r="A628">
        <v>2033</v>
      </c>
      <c r="B628">
        <v>2.4</v>
      </c>
      <c r="C628">
        <v>0</v>
      </c>
    </row>
    <row r="629" spans="1:3" x14ac:dyDescent="0.4">
      <c r="A629">
        <v>2034</v>
      </c>
      <c r="B629">
        <v>2.4</v>
      </c>
      <c r="C629">
        <v>0</v>
      </c>
    </row>
    <row r="630" spans="1:3" x14ac:dyDescent="0.4">
      <c r="A630">
        <v>2035</v>
      </c>
      <c r="B630">
        <v>2.4</v>
      </c>
      <c r="C630">
        <v>0</v>
      </c>
    </row>
    <row r="631" spans="1:3" x14ac:dyDescent="0.4">
      <c r="A631">
        <v>2036</v>
      </c>
      <c r="B631">
        <v>2.4</v>
      </c>
      <c r="C631">
        <v>0</v>
      </c>
    </row>
    <row r="632" spans="1:3" x14ac:dyDescent="0.4">
      <c r="A632">
        <v>2037</v>
      </c>
      <c r="B632">
        <v>2.4</v>
      </c>
      <c r="C632">
        <v>0</v>
      </c>
    </row>
    <row r="633" spans="1:3" x14ac:dyDescent="0.4">
      <c r="A633">
        <v>2038</v>
      </c>
      <c r="B633">
        <v>2.3976000000000002</v>
      </c>
      <c r="C633">
        <v>7.5899999999999995E-2</v>
      </c>
    </row>
    <row r="634" spans="1:3" x14ac:dyDescent="0.4">
      <c r="A634">
        <v>2039</v>
      </c>
      <c r="B634">
        <v>2.3976000000000002</v>
      </c>
      <c r="C634">
        <v>7.5899999999999995E-2</v>
      </c>
    </row>
    <row r="635" spans="1:3" x14ac:dyDescent="0.4">
      <c r="A635">
        <v>2040</v>
      </c>
      <c r="B635">
        <v>2.3976000000000002</v>
      </c>
      <c r="C635">
        <v>7.5899999999999995E-2</v>
      </c>
    </row>
    <row r="636" spans="1:3" x14ac:dyDescent="0.4">
      <c r="A636">
        <v>2041</v>
      </c>
      <c r="B636">
        <v>2.3927999999999998</v>
      </c>
      <c r="C636">
        <v>0.1313</v>
      </c>
    </row>
    <row r="637" spans="1:3" x14ac:dyDescent="0.4">
      <c r="A637">
        <v>2042</v>
      </c>
      <c r="B637">
        <v>2.3904000000000001</v>
      </c>
      <c r="C637">
        <v>0.15160000000000001</v>
      </c>
    </row>
    <row r="638" spans="1:3" x14ac:dyDescent="0.4">
      <c r="A638">
        <v>2043</v>
      </c>
      <c r="B638">
        <v>2.3904000000000001</v>
      </c>
      <c r="C638">
        <v>0.15160000000000001</v>
      </c>
    </row>
    <row r="639" spans="1:3" x14ac:dyDescent="0.4">
      <c r="A639">
        <v>2044</v>
      </c>
      <c r="B639">
        <v>2.3904000000000001</v>
      </c>
      <c r="C639">
        <v>0.15160000000000001</v>
      </c>
    </row>
    <row r="640" spans="1:3" x14ac:dyDescent="0.4">
      <c r="A640">
        <v>2045</v>
      </c>
      <c r="B640">
        <v>2.3879999999999999</v>
      </c>
      <c r="C640">
        <v>0.1694</v>
      </c>
    </row>
    <row r="641" spans="1:3" x14ac:dyDescent="0.4">
      <c r="A641">
        <v>2046</v>
      </c>
      <c r="B641">
        <v>2.3807999999999998</v>
      </c>
      <c r="C641">
        <v>0.21390000000000001</v>
      </c>
    </row>
    <row r="642" spans="1:3" x14ac:dyDescent="0.4">
      <c r="A642">
        <v>2047</v>
      </c>
      <c r="B642">
        <v>2.3807999999999998</v>
      </c>
      <c r="C642">
        <v>0.21390000000000001</v>
      </c>
    </row>
    <row r="643" spans="1:3" x14ac:dyDescent="0.4">
      <c r="A643">
        <v>2048</v>
      </c>
      <c r="B643">
        <v>2.3784000000000001</v>
      </c>
      <c r="C643">
        <v>0.2268</v>
      </c>
    </row>
    <row r="644" spans="1:3" x14ac:dyDescent="0.4">
      <c r="A644">
        <v>2049</v>
      </c>
      <c r="B644">
        <v>2.3736000000000002</v>
      </c>
      <c r="C644">
        <v>0.2505</v>
      </c>
    </row>
    <row r="645" spans="1:3" x14ac:dyDescent="0.4">
      <c r="A645">
        <v>2050</v>
      </c>
      <c r="B645">
        <v>2.3664000000000001</v>
      </c>
      <c r="C645">
        <v>0.28210000000000002</v>
      </c>
    </row>
    <row r="646" spans="1:3" x14ac:dyDescent="0.4">
      <c r="A646">
        <v>2051</v>
      </c>
      <c r="B646">
        <v>2.3664000000000001</v>
      </c>
      <c r="C646">
        <v>0.28210000000000002</v>
      </c>
    </row>
    <row r="647" spans="1:3" x14ac:dyDescent="0.4">
      <c r="A647">
        <v>2052</v>
      </c>
      <c r="B647">
        <v>2.3639999999999999</v>
      </c>
      <c r="C647">
        <v>0.29189999999999999</v>
      </c>
    </row>
    <row r="648" spans="1:3" x14ac:dyDescent="0.4">
      <c r="A648">
        <v>2053</v>
      </c>
      <c r="B648">
        <v>2.3592</v>
      </c>
      <c r="C648">
        <v>0.31040000000000001</v>
      </c>
    </row>
    <row r="649" spans="1:3" x14ac:dyDescent="0.4">
      <c r="A649">
        <v>2054</v>
      </c>
      <c r="B649">
        <v>2.3567999999999998</v>
      </c>
      <c r="C649">
        <v>0.31919999999999998</v>
      </c>
    </row>
    <row r="650" spans="1:3" x14ac:dyDescent="0.4">
      <c r="A650">
        <v>2055</v>
      </c>
      <c r="B650">
        <v>2.3567999999999998</v>
      </c>
      <c r="C650">
        <v>0.31919999999999998</v>
      </c>
    </row>
    <row r="651" spans="1:3" x14ac:dyDescent="0.4">
      <c r="A651">
        <v>2056</v>
      </c>
      <c r="B651">
        <v>2.3567999999999998</v>
      </c>
      <c r="C651">
        <v>0.31919999999999998</v>
      </c>
    </row>
    <row r="652" spans="1:3" x14ac:dyDescent="0.4">
      <c r="A652">
        <v>2057</v>
      </c>
      <c r="B652">
        <v>2.3544</v>
      </c>
      <c r="C652">
        <v>0.32779999999999998</v>
      </c>
    </row>
    <row r="653" spans="1:3" x14ac:dyDescent="0.4">
      <c r="A653">
        <v>2058</v>
      </c>
      <c r="B653">
        <v>2.3496000000000001</v>
      </c>
      <c r="C653">
        <v>0.34429999999999999</v>
      </c>
    </row>
    <row r="654" spans="1:3" x14ac:dyDescent="0.4">
      <c r="A654">
        <v>2059</v>
      </c>
      <c r="B654">
        <v>2.3496000000000001</v>
      </c>
      <c r="C654">
        <v>0.34429999999999999</v>
      </c>
    </row>
    <row r="655" spans="1:3" x14ac:dyDescent="0.4">
      <c r="A655">
        <v>2060</v>
      </c>
      <c r="B655">
        <v>2.3472</v>
      </c>
      <c r="C655">
        <v>0.35220000000000001</v>
      </c>
    </row>
    <row r="656" spans="1:3" x14ac:dyDescent="0.4">
      <c r="A656">
        <v>2061</v>
      </c>
      <c r="B656">
        <v>2.3448000000000002</v>
      </c>
      <c r="C656">
        <v>0.3599</v>
      </c>
    </row>
    <row r="657" spans="1:3" x14ac:dyDescent="0.4">
      <c r="A657">
        <v>2062</v>
      </c>
      <c r="B657">
        <v>2.3376000000000001</v>
      </c>
      <c r="C657">
        <v>0.3821</v>
      </c>
    </row>
    <row r="658" spans="1:3" x14ac:dyDescent="0.4">
      <c r="A658">
        <v>2063</v>
      </c>
      <c r="B658">
        <v>2.3351999999999999</v>
      </c>
      <c r="C658">
        <v>0.38919999999999999</v>
      </c>
    </row>
    <row r="659" spans="1:3" x14ac:dyDescent="0.4">
      <c r="A659">
        <v>2064</v>
      </c>
      <c r="B659">
        <v>2.3304</v>
      </c>
      <c r="C659">
        <v>0.40289999999999998</v>
      </c>
    </row>
    <row r="660" spans="1:3" x14ac:dyDescent="0.4">
      <c r="A660">
        <v>2065</v>
      </c>
      <c r="B660">
        <v>2.3304</v>
      </c>
      <c r="C660">
        <v>0.40289999999999998</v>
      </c>
    </row>
    <row r="661" spans="1:3" x14ac:dyDescent="0.4">
      <c r="A661">
        <v>2066</v>
      </c>
      <c r="B661">
        <v>2.3279999999999998</v>
      </c>
      <c r="C661">
        <v>0.40960000000000002</v>
      </c>
    </row>
    <row r="662" spans="1:3" x14ac:dyDescent="0.4">
      <c r="A662">
        <v>2067</v>
      </c>
      <c r="B662">
        <v>2.3231999999999999</v>
      </c>
      <c r="C662">
        <v>0.42259999999999998</v>
      </c>
    </row>
    <row r="663" spans="1:3" x14ac:dyDescent="0.4">
      <c r="A663">
        <v>2068</v>
      </c>
      <c r="B663">
        <v>2.3208000000000002</v>
      </c>
      <c r="C663">
        <v>0.4289</v>
      </c>
    </row>
    <row r="664" spans="1:3" x14ac:dyDescent="0.4">
      <c r="A664">
        <v>2069</v>
      </c>
      <c r="B664">
        <v>2.3208000000000002</v>
      </c>
      <c r="C664">
        <v>0.4289</v>
      </c>
    </row>
    <row r="665" spans="1:3" x14ac:dyDescent="0.4">
      <c r="A665">
        <v>2070</v>
      </c>
      <c r="B665">
        <v>2.3184</v>
      </c>
      <c r="C665">
        <v>0.43519999999999998</v>
      </c>
    </row>
    <row r="666" spans="1:3" x14ac:dyDescent="0.4">
      <c r="A666">
        <v>2071</v>
      </c>
      <c r="B666">
        <v>2.3159999999999998</v>
      </c>
      <c r="C666">
        <v>0.44130000000000003</v>
      </c>
    </row>
    <row r="667" spans="1:3" x14ac:dyDescent="0.4">
      <c r="A667">
        <v>2072</v>
      </c>
      <c r="B667">
        <v>2.3159999999999998</v>
      </c>
      <c r="C667">
        <v>0.44130000000000003</v>
      </c>
    </row>
    <row r="668" spans="1:3" x14ac:dyDescent="0.4">
      <c r="A668">
        <v>2073</v>
      </c>
      <c r="B668">
        <v>2.3159999999999998</v>
      </c>
      <c r="C668">
        <v>0.44130000000000003</v>
      </c>
    </row>
    <row r="669" spans="1:3" x14ac:dyDescent="0.4">
      <c r="A669">
        <v>2074</v>
      </c>
      <c r="B669">
        <v>2.3159999999999998</v>
      </c>
      <c r="C669">
        <v>0.44130000000000003</v>
      </c>
    </row>
    <row r="670" spans="1:3" x14ac:dyDescent="0.4">
      <c r="A670">
        <v>2075</v>
      </c>
      <c r="B670">
        <v>2.3111999999999999</v>
      </c>
      <c r="C670">
        <v>0.45329999999999998</v>
      </c>
    </row>
    <row r="672" spans="1:3" x14ac:dyDescent="0.4">
      <c r="A672" t="s">
        <v>8</v>
      </c>
      <c r="B672" t="s">
        <v>7</v>
      </c>
      <c r="C672" t="s">
        <v>32</v>
      </c>
    </row>
    <row r="674" spans="1:10" x14ac:dyDescent="0.4">
      <c r="A674" t="s">
        <v>22</v>
      </c>
      <c r="B674" s="2">
        <v>0.01</v>
      </c>
      <c r="C674" s="2">
        <v>0.05</v>
      </c>
      <c r="D674" s="2">
        <v>0.1</v>
      </c>
      <c r="E674" s="2">
        <v>0.25</v>
      </c>
      <c r="F674" s="2">
        <v>0.5</v>
      </c>
      <c r="G674" s="2">
        <v>0.75</v>
      </c>
      <c r="H674" s="2">
        <v>0.9</v>
      </c>
      <c r="I674" s="2">
        <v>0.95</v>
      </c>
      <c r="J674" s="2">
        <v>0.99</v>
      </c>
    </row>
    <row r="675" spans="1:10" x14ac:dyDescent="0.4">
      <c r="A675">
        <v>2021</v>
      </c>
      <c r="B675">
        <v>1.5398000000000001</v>
      </c>
      <c r="C675">
        <v>1.5398000000000001</v>
      </c>
      <c r="D675">
        <v>1.5398000000000001</v>
      </c>
      <c r="E675">
        <v>1.5398000000000001</v>
      </c>
      <c r="F675">
        <v>1.5398000000000001</v>
      </c>
      <c r="G675">
        <v>1.5398000000000001</v>
      </c>
      <c r="H675">
        <v>1.5398000000000001</v>
      </c>
      <c r="I675">
        <v>1.5398000000000001</v>
      </c>
      <c r="J675">
        <v>1.5398000000000001</v>
      </c>
    </row>
    <row r="676" spans="1:10" x14ac:dyDescent="0.4">
      <c r="A676">
        <v>2022</v>
      </c>
      <c r="B676">
        <v>1.4739</v>
      </c>
      <c r="C676">
        <v>1.4739</v>
      </c>
      <c r="D676">
        <v>1.4739</v>
      </c>
      <c r="E676">
        <v>1.4739</v>
      </c>
      <c r="F676">
        <v>1.4739</v>
      </c>
      <c r="G676">
        <v>1.4739</v>
      </c>
      <c r="H676">
        <v>1.4739</v>
      </c>
      <c r="I676">
        <v>1.4739</v>
      </c>
      <c r="J676">
        <v>1.4739</v>
      </c>
    </row>
    <row r="677" spans="1:10" x14ac:dyDescent="0.4">
      <c r="A677">
        <v>2023</v>
      </c>
      <c r="B677">
        <v>1.6854</v>
      </c>
      <c r="C677">
        <v>1.6854</v>
      </c>
      <c r="D677">
        <v>1.6854</v>
      </c>
      <c r="E677">
        <v>1.6854</v>
      </c>
      <c r="F677">
        <v>1.6854</v>
      </c>
      <c r="G677">
        <v>1.6854</v>
      </c>
      <c r="H677">
        <v>1.6854</v>
      </c>
      <c r="I677">
        <v>1.6854</v>
      </c>
      <c r="J677">
        <v>1.6854</v>
      </c>
    </row>
    <row r="678" spans="1:10" x14ac:dyDescent="0.4">
      <c r="A678">
        <v>2024</v>
      </c>
      <c r="B678">
        <v>2.1566999999999998</v>
      </c>
      <c r="C678">
        <v>2.1566999999999998</v>
      </c>
      <c r="D678">
        <v>2.1566999999999998</v>
      </c>
      <c r="E678">
        <v>2.1566999999999998</v>
      </c>
      <c r="F678">
        <v>2.1566999999999998</v>
      </c>
      <c r="G678">
        <v>2.1566999999999998</v>
      </c>
      <c r="H678">
        <v>2.1566999999999998</v>
      </c>
      <c r="I678">
        <v>2.1566999999999998</v>
      </c>
      <c r="J678">
        <v>2.1566999999999998</v>
      </c>
    </row>
    <row r="679" spans="1:10" x14ac:dyDescent="0.4">
      <c r="A679">
        <v>2025</v>
      </c>
      <c r="B679">
        <v>2.4</v>
      </c>
      <c r="C679">
        <v>2.4</v>
      </c>
      <c r="D679">
        <v>2.4</v>
      </c>
      <c r="E679">
        <v>2.4</v>
      </c>
      <c r="F679">
        <v>2.4</v>
      </c>
      <c r="G679">
        <v>2.4</v>
      </c>
      <c r="H679">
        <v>2.4</v>
      </c>
      <c r="I679">
        <v>2.4</v>
      </c>
      <c r="J679">
        <v>2.4</v>
      </c>
    </row>
    <row r="680" spans="1:10" x14ac:dyDescent="0.4">
      <c r="A680">
        <v>2026</v>
      </c>
      <c r="B680">
        <v>2.4</v>
      </c>
      <c r="C680">
        <v>2.4</v>
      </c>
      <c r="D680">
        <v>2.4</v>
      </c>
      <c r="E680">
        <v>2.4</v>
      </c>
      <c r="F680">
        <v>2.4</v>
      </c>
      <c r="G680">
        <v>2.4</v>
      </c>
      <c r="H680">
        <v>2.4</v>
      </c>
      <c r="I680">
        <v>2.4</v>
      </c>
      <c r="J680">
        <v>2.4</v>
      </c>
    </row>
    <row r="681" spans="1:10" x14ac:dyDescent="0.4">
      <c r="A681">
        <v>2027</v>
      </c>
      <c r="B681">
        <v>2.4</v>
      </c>
      <c r="C681">
        <v>2.4</v>
      </c>
      <c r="D681">
        <v>2.4</v>
      </c>
      <c r="E681">
        <v>2.4</v>
      </c>
      <c r="F681">
        <v>2.4</v>
      </c>
      <c r="G681">
        <v>2.4</v>
      </c>
      <c r="H681">
        <v>2.4</v>
      </c>
      <c r="I681">
        <v>2.4</v>
      </c>
      <c r="J681">
        <v>2.4</v>
      </c>
    </row>
    <row r="682" spans="1:10" x14ac:dyDescent="0.4">
      <c r="A682">
        <v>2028</v>
      </c>
      <c r="B682">
        <v>2.4</v>
      </c>
      <c r="C682">
        <v>2.4</v>
      </c>
      <c r="D682">
        <v>2.4</v>
      </c>
      <c r="E682">
        <v>2.4</v>
      </c>
      <c r="F682">
        <v>2.4</v>
      </c>
      <c r="G682">
        <v>2.4</v>
      </c>
      <c r="H682">
        <v>2.4</v>
      </c>
      <c r="I682">
        <v>2.4</v>
      </c>
      <c r="J682">
        <v>2.4</v>
      </c>
    </row>
    <row r="683" spans="1:10" x14ac:dyDescent="0.4">
      <c r="A683">
        <v>2029</v>
      </c>
      <c r="B683">
        <v>2.4</v>
      </c>
      <c r="C683">
        <v>2.4</v>
      </c>
      <c r="D683">
        <v>2.4</v>
      </c>
      <c r="E683">
        <v>2.4</v>
      </c>
      <c r="F683">
        <v>2.4</v>
      </c>
      <c r="G683">
        <v>2.4</v>
      </c>
      <c r="H683">
        <v>2.4</v>
      </c>
      <c r="I683">
        <v>2.4</v>
      </c>
      <c r="J683">
        <v>2.4</v>
      </c>
    </row>
    <row r="684" spans="1:10" x14ac:dyDescent="0.4">
      <c r="A684">
        <v>2030</v>
      </c>
      <c r="B684">
        <v>2.4</v>
      </c>
      <c r="C684">
        <v>2.4</v>
      </c>
      <c r="D684">
        <v>2.4</v>
      </c>
      <c r="E684">
        <v>2.4</v>
      </c>
      <c r="F684">
        <v>2.4</v>
      </c>
      <c r="G684">
        <v>2.4</v>
      </c>
      <c r="H684">
        <v>2.4</v>
      </c>
      <c r="I684">
        <v>2.4</v>
      </c>
      <c r="J684">
        <v>2.4</v>
      </c>
    </row>
    <row r="685" spans="1:10" x14ac:dyDescent="0.4">
      <c r="A685">
        <v>2031</v>
      </c>
      <c r="B685">
        <v>2.4</v>
      </c>
      <c r="C685">
        <v>2.4</v>
      </c>
      <c r="D685">
        <v>2.4</v>
      </c>
      <c r="E685">
        <v>2.4</v>
      </c>
      <c r="F685">
        <v>2.4</v>
      </c>
      <c r="G685">
        <v>2.4</v>
      </c>
      <c r="H685">
        <v>2.4</v>
      </c>
      <c r="I685">
        <v>2.4</v>
      </c>
      <c r="J685">
        <v>2.4</v>
      </c>
    </row>
    <row r="686" spans="1:10" x14ac:dyDescent="0.4">
      <c r="A686">
        <v>2032</v>
      </c>
      <c r="B686">
        <v>2.4</v>
      </c>
      <c r="C686">
        <v>2.4</v>
      </c>
      <c r="D686">
        <v>2.4</v>
      </c>
      <c r="E686">
        <v>2.4</v>
      </c>
      <c r="F686">
        <v>2.4</v>
      </c>
      <c r="G686">
        <v>2.4</v>
      </c>
      <c r="H686">
        <v>2.4</v>
      </c>
      <c r="I686">
        <v>2.4</v>
      </c>
      <c r="J686">
        <v>2.4</v>
      </c>
    </row>
    <row r="687" spans="1:10" x14ac:dyDescent="0.4">
      <c r="A687">
        <v>2033</v>
      </c>
      <c r="B687">
        <v>2.4</v>
      </c>
      <c r="C687">
        <v>2.4</v>
      </c>
      <c r="D687">
        <v>2.4</v>
      </c>
      <c r="E687">
        <v>2.4</v>
      </c>
      <c r="F687">
        <v>2.4</v>
      </c>
      <c r="G687">
        <v>2.4</v>
      </c>
      <c r="H687">
        <v>2.4</v>
      </c>
      <c r="I687">
        <v>2.4</v>
      </c>
      <c r="J687">
        <v>2.4</v>
      </c>
    </row>
    <row r="688" spans="1:10" x14ac:dyDescent="0.4">
      <c r="A688">
        <v>2034</v>
      </c>
      <c r="B688">
        <v>2.4</v>
      </c>
      <c r="C688">
        <v>2.4</v>
      </c>
      <c r="D688">
        <v>2.4</v>
      </c>
      <c r="E688">
        <v>2.4</v>
      </c>
      <c r="F688">
        <v>2.4</v>
      </c>
      <c r="G688">
        <v>2.4</v>
      </c>
      <c r="H688">
        <v>2.4</v>
      </c>
      <c r="I688">
        <v>2.4</v>
      </c>
      <c r="J688">
        <v>2.4</v>
      </c>
    </row>
    <row r="689" spans="1:10" x14ac:dyDescent="0.4">
      <c r="A689">
        <v>2035</v>
      </c>
      <c r="B689">
        <v>2.4</v>
      </c>
      <c r="C689">
        <v>2.4</v>
      </c>
      <c r="D689">
        <v>2.4</v>
      </c>
      <c r="E689">
        <v>2.4</v>
      </c>
      <c r="F689">
        <v>2.4</v>
      </c>
      <c r="G689">
        <v>2.4</v>
      </c>
      <c r="H689">
        <v>2.4</v>
      </c>
      <c r="I689">
        <v>2.4</v>
      </c>
      <c r="J689">
        <v>2.4</v>
      </c>
    </row>
    <row r="690" spans="1:10" x14ac:dyDescent="0.4">
      <c r="A690">
        <v>2036</v>
      </c>
      <c r="B690">
        <v>2.4</v>
      </c>
      <c r="C690">
        <v>2.4</v>
      </c>
      <c r="D690">
        <v>2.4</v>
      </c>
      <c r="E690">
        <v>2.4</v>
      </c>
      <c r="F690">
        <v>2.4</v>
      </c>
      <c r="G690">
        <v>2.4</v>
      </c>
      <c r="H690">
        <v>2.4</v>
      </c>
      <c r="I690">
        <v>2.4</v>
      </c>
      <c r="J690">
        <v>2.4</v>
      </c>
    </row>
    <row r="691" spans="1:10" x14ac:dyDescent="0.4">
      <c r="A691">
        <v>2037</v>
      </c>
      <c r="B691">
        <v>2.4</v>
      </c>
      <c r="C691">
        <v>2.4</v>
      </c>
      <c r="D691">
        <v>2.4</v>
      </c>
      <c r="E691">
        <v>2.4</v>
      </c>
      <c r="F691">
        <v>2.4</v>
      </c>
      <c r="G691">
        <v>2.4</v>
      </c>
      <c r="H691">
        <v>2.4</v>
      </c>
      <c r="I691">
        <v>2.4</v>
      </c>
      <c r="J691">
        <v>2.4</v>
      </c>
    </row>
    <row r="692" spans="1:10" x14ac:dyDescent="0.4">
      <c r="A692">
        <v>2038</v>
      </c>
      <c r="B692">
        <v>2.4</v>
      </c>
      <c r="C692">
        <v>2.4</v>
      </c>
      <c r="D692">
        <v>2.4</v>
      </c>
      <c r="E692">
        <v>2.4</v>
      </c>
      <c r="F692">
        <v>2.4</v>
      </c>
      <c r="G692">
        <v>2.4</v>
      </c>
      <c r="H692">
        <v>2.4</v>
      </c>
      <c r="I692">
        <v>2.4</v>
      </c>
      <c r="J692">
        <v>2.4</v>
      </c>
    </row>
    <row r="693" spans="1:10" x14ac:dyDescent="0.4">
      <c r="A693">
        <v>2039</v>
      </c>
      <c r="B693">
        <v>2.4</v>
      </c>
      <c r="C693">
        <v>2.4</v>
      </c>
      <c r="D693">
        <v>2.4</v>
      </c>
      <c r="E693">
        <v>2.4</v>
      </c>
      <c r="F693">
        <v>2.4</v>
      </c>
      <c r="G693">
        <v>2.4</v>
      </c>
      <c r="H693">
        <v>2.4</v>
      </c>
      <c r="I693">
        <v>2.4</v>
      </c>
      <c r="J693">
        <v>2.4</v>
      </c>
    </row>
    <row r="694" spans="1:10" x14ac:dyDescent="0.4">
      <c r="A694">
        <v>2040</v>
      </c>
      <c r="B694">
        <v>2.4</v>
      </c>
      <c r="C694">
        <v>2.4</v>
      </c>
      <c r="D694">
        <v>2.4</v>
      </c>
      <c r="E694">
        <v>2.4</v>
      </c>
      <c r="F694">
        <v>2.4</v>
      </c>
      <c r="G694">
        <v>2.4</v>
      </c>
      <c r="H694">
        <v>2.4</v>
      </c>
      <c r="I694">
        <v>2.4</v>
      </c>
      <c r="J694">
        <v>2.4</v>
      </c>
    </row>
    <row r="695" spans="1:10" x14ac:dyDescent="0.4">
      <c r="A695">
        <v>2041</v>
      </c>
      <c r="B695">
        <v>2.4</v>
      </c>
      <c r="C695">
        <v>2.4</v>
      </c>
      <c r="D695">
        <v>2.4</v>
      </c>
      <c r="E695">
        <v>2.4</v>
      </c>
      <c r="F695">
        <v>2.4</v>
      </c>
      <c r="G695">
        <v>2.4</v>
      </c>
      <c r="H695">
        <v>2.4</v>
      </c>
      <c r="I695">
        <v>2.4</v>
      </c>
      <c r="J695">
        <v>2.4</v>
      </c>
    </row>
    <row r="696" spans="1:10" x14ac:dyDescent="0.4">
      <c r="A696">
        <v>2042</v>
      </c>
      <c r="B696">
        <v>2.4</v>
      </c>
      <c r="C696">
        <v>2.4</v>
      </c>
      <c r="D696">
        <v>2.4</v>
      </c>
      <c r="E696">
        <v>2.4</v>
      </c>
      <c r="F696">
        <v>2.4</v>
      </c>
      <c r="G696">
        <v>2.4</v>
      </c>
      <c r="H696">
        <v>2.4</v>
      </c>
      <c r="I696">
        <v>2.4</v>
      </c>
      <c r="J696">
        <v>2.4</v>
      </c>
    </row>
    <row r="697" spans="1:10" x14ac:dyDescent="0.4">
      <c r="A697">
        <v>2043</v>
      </c>
      <c r="B697">
        <v>2.4</v>
      </c>
      <c r="C697">
        <v>2.4</v>
      </c>
      <c r="D697">
        <v>2.4</v>
      </c>
      <c r="E697">
        <v>2.4</v>
      </c>
      <c r="F697">
        <v>2.4</v>
      </c>
      <c r="G697">
        <v>2.4</v>
      </c>
      <c r="H697">
        <v>2.4</v>
      </c>
      <c r="I697">
        <v>2.4</v>
      </c>
      <c r="J697">
        <v>2.4</v>
      </c>
    </row>
    <row r="698" spans="1:10" x14ac:dyDescent="0.4">
      <c r="A698">
        <v>2044</v>
      </c>
      <c r="B698">
        <v>2.4</v>
      </c>
      <c r="C698">
        <v>2.4</v>
      </c>
      <c r="D698">
        <v>2.4</v>
      </c>
      <c r="E698">
        <v>2.4</v>
      </c>
      <c r="F698">
        <v>2.4</v>
      </c>
      <c r="G698">
        <v>2.4</v>
      </c>
      <c r="H698">
        <v>2.4</v>
      </c>
      <c r="I698">
        <v>2.4</v>
      </c>
      <c r="J698">
        <v>2.4</v>
      </c>
    </row>
    <row r="699" spans="1:10" x14ac:dyDescent="0.4">
      <c r="A699">
        <v>2045</v>
      </c>
      <c r="B699">
        <v>2.4</v>
      </c>
      <c r="C699">
        <v>2.4</v>
      </c>
      <c r="D699">
        <v>2.4</v>
      </c>
      <c r="E699">
        <v>2.4</v>
      </c>
      <c r="F699">
        <v>2.4</v>
      </c>
      <c r="G699">
        <v>2.4</v>
      </c>
      <c r="H699">
        <v>2.4</v>
      </c>
      <c r="I699">
        <v>2.4</v>
      </c>
      <c r="J699">
        <v>2.4</v>
      </c>
    </row>
    <row r="700" spans="1:10" x14ac:dyDescent="0.4">
      <c r="A700">
        <v>2046</v>
      </c>
      <c r="B700">
        <v>2.4</v>
      </c>
      <c r="C700">
        <v>2.4</v>
      </c>
      <c r="D700">
        <v>2.4</v>
      </c>
      <c r="E700">
        <v>2.4</v>
      </c>
      <c r="F700">
        <v>2.4</v>
      </c>
      <c r="G700">
        <v>2.4</v>
      </c>
      <c r="H700">
        <v>2.4</v>
      </c>
      <c r="I700">
        <v>2.4</v>
      </c>
      <c r="J700">
        <v>2.4</v>
      </c>
    </row>
    <row r="701" spans="1:10" x14ac:dyDescent="0.4">
      <c r="A701">
        <v>2047</v>
      </c>
      <c r="B701">
        <v>2.4</v>
      </c>
      <c r="C701">
        <v>2.4</v>
      </c>
      <c r="D701">
        <v>2.4</v>
      </c>
      <c r="E701">
        <v>2.4</v>
      </c>
      <c r="F701">
        <v>2.4</v>
      </c>
      <c r="G701">
        <v>2.4</v>
      </c>
      <c r="H701">
        <v>2.4</v>
      </c>
      <c r="I701">
        <v>2.4</v>
      </c>
      <c r="J701">
        <v>2.4</v>
      </c>
    </row>
    <row r="702" spans="1:10" x14ac:dyDescent="0.4">
      <c r="A702">
        <v>2048</v>
      </c>
      <c r="B702">
        <v>2.4</v>
      </c>
      <c r="C702">
        <v>2.4</v>
      </c>
      <c r="D702">
        <v>2.4</v>
      </c>
      <c r="E702">
        <v>2.4</v>
      </c>
      <c r="F702">
        <v>2.4</v>
      </c>
      <c r="G702">
        <v>2.4</v>
      </c>
      <c r="H702">
        <v>2.4</v>
      </c>
      <c r="I702">
        <v>2.4</v>
      </c>
      <c r="J702">
        <v>2.4</v>
      </c>
    </row>
    <row r="703" spans="1:10" x14ac:dyDescent="0.4">
      <c r="A703">
        <v>2049</v>
      </c>
      <c r="B703">
        <v>0</v>
      </c>
      <c r="C703">
        <v>2.4</v>
      </c>
      <c r="D703">
        <v>2.4</v>
      </c>
      <c r="E703">
        <v>2.4</v>
      </c>
      <c r="F703">
        <v>2.4</v>
      </c>
      <c r="G703">
        <v>2.4</v>
      </c>
      <c r="H703">
        <v>2.4</v>
      </c>
      <c r="I703">
        <v>2.4</v>
      </c>
      <c r="J703">
        <v>2.4</v>
      </c>
    </row>
    <row r="704" spans="1:10" x14ac:dyDescent="0.4">
      <c r="A704">
        <v>2050</v>
      </c>
      <c r="B704">
        <v>0</v>
      </c>
      <c r="C704">
        <v>2.4</v>
      </c>
      <c r="D704">
        <v>2.4</v>
      </c>
      <c r="E704">
        <v>2.4</v>
      </c>
      <c r="F704">
        <v>2.4</v>
      </c>
      <c r="G704">
        <v>2.4</v>
      </c>
      <c r="H704">
        <v>2.4</v>
      </c>
      <c r="I704">
        <v>2.4</v>
      </c>
      <c r="J704">
        <v>2.4</v>
      </c>
    </row>
    <row r="705" spans="1:10" x14ac:dyDescent="0.4">
      <c r="A705">
        <v>2051</v>
      </c>
      <c r="B705">
        <v>0</v>
      </c>
      <c r="C705">
        <v>2.4</v>
      </c>
      <c r="D705">
        <v>2.4</v>
      </c>
      <c r="E705">
        <v>2.4</v>
      </c>
      <c r="F705">
        <v>2.4</v>
      </c>
      <c r="G705">
        <v>2.4</v>
      </c>
      <c r="H705">
        <v>2.4</v>
      </c>
      <c r="I705">
        <v>2.4</v>
      </c>
      <c r="J705">
        <v>2.4</v>
      </c>
    </row>
    <row r="706" spans="1:10" x14ac:dyDescent="0.4">
      <c r="A706">
        <v>2052</v>
      </c>
      <c r="B706">
        <v>0</v>
      </c>
      <c r="C706">
        <v>2.4</v>
      </c>
      <c r="D706">
        <v>2.4</v>
      </c>
      <c r="E706">
        <v>2.4</v>
      </c>
      <c r="F706">
        <v>2.4</v>
      </c>
      <c r="G706">
        <v>2.4</v>
      </c>
      <c r="H706">
        <v>2.4</v>
      </c>
      <c r="I706">
        <v>2.4</v>
      </c>
      <c r="J706">
        <v>2.4</v>
      </c>
    </row>
    <row r="707" spans="1:10" x14ac:dyDescent="0.4">
      <c r="A707">
        <v>2053</v>
      </c>
      <c r="B707">
        <v>0</v>
      </c>
      <c r="C707">
        <v>2.4</v>
      </c>
      <c r="D707">
        <v>2.4</v>
      </c>
      <c r="E707">
        <v>2.4</v>
      </c>
      <c r="F707">
        <v>2.4</v>
      </c>
      <c r="G707">
        <v>2.4</v>
      </c>
      <c r="H707">
        <v>2.4</v>
      </c>
      <c r="I707">
        <v>2.4</v>
      </c>
      <c r="J707">
        <v>2.4</v>
      </c>
    </row>
    <row r="708" spans="1:10" x14ac:dyDescent="0.4">
      <c r="A708">
        <v>2054</v>
      </c>
      <c r="B708">
        <v>0</v>
      </c>
      <c r="C708">
        <v>2.4</v>
      </c>
      <c r="D708">
        <v>2.4</v>
      </c>
      <c r="E708">
        <v>2.4</v>
      </c>
      <c r="F708">
        <v>2.4</v>
      </c>
      <c r="G708">
        <v>2.4</v>
      </c>
      <c r="H708">
        <v>2.4</v>
      </c>
      <c r="I708">
        <v>2.4</v>
      </c>
      <c r="J708">
        <v>2.4</v>
      </c>
    </row>
    <row r="709" spans="1:10" x14ac:dyDescent="0.4">
      <c r="A709">
        <v>2055</v>
      </c>
      <c r="B709">
        <v>0</v>
      </c>
      <c r="C709">
        <v>2.4</v>
      </c>
      <c r="D709">
        <v>2.4</v>
      </c>
      <c r="E709">
        <v>2.4</v>
      </c>
      <c r="F709">
        <v>2.4</v>
      </c>
      <c r="G709">
        <v>2.4</v>
      </c>
      <c r="H709">
        <v>2.4</v>
      </c>
      <c r="I709">
        <v>2.4</v>
      </c>
      <c r="J709">
        <v>2.4</v>
      </c>
    </row>
    <row r="710" spans="1:10" x14ac:dyDescent="0.4">
      <c r="A710">
        <v>2056</v>
      </c>
      <c r="B710">
        <v>0</v>
      </c>
      <c r="C710">
        <v>2.4</v>
      </c>
      <c r="D710">
        <v>2.4</v>
      </c>
      <c r="E710">
        <v>2.4</v>
      </c>
      <c r="F710">
        <v>2.4</v>
      </c>
      <c r="G710">
        <v>2.4</v>
      </c>
      <c r="H710">
        <v>2.4</v>
      </c>
      <c r="I710">
        <v>2.4</v>
      </c>
      <c r="J710">
        <v>2.4</v>
      </c>
    </row>
    <row r="711" spans="1:10" x14ac:dyDescent="0.4">
      <c r="A711">
        <v>2057</v>
      </c>
      <c r="B711">
        <v>0</v>
      </c>
      <c r="C711">
        <v>2.4</v>
      </c>
      <c r="D711">
        <v>2.4</v>
      </c>
      <c r="E711">
        <v>2.4</v>
      </c>
      <c r="F711">
        <v>2.4</v>
      </c>
      <c r="G711">
        <v>2.4</v>
      </c>
      <c r="H711">
        <v>2.4</v>
      </c>
      <c r="I711">
        <v>2.4</v>
      </c>
      <c r="J711">
        <v>2.4</v>
      </c>
    </row>
    <row r="712" spans="1:10" x14ac:dyDescent="0.4">
      <c r="A712">
        <v>2058</v>
      </c>
      <c r="B712">
        <v>0</v>
      </c>
      <c r="C712">
        <v>2.4</v>
      </c>
      <c r="D712">
        <v>2.4</v>
      </c>
      <c r="E712">
        <v>2.4</v>
      </c>
      <c r="F712">
        <v>2.4</v>
      </c>
      <c r="G712">
        <v>2.4</v>
      </c>
      <c r="H712">
        <v>2.4</v>
      </c>
      <c r="I712">
        <v>2.4</v>
      </c>
      <c r="J712">
        <v>2.4</v>
      </c>
    </row>
    <row r="713" spans="1:10" x14ac:dyDescent="0.4">
      <c r="A713">
        <v>2059</v>
      </c>
      <c r="B713">
        <v>0</v>
      </c>
      <c r="C713">
        <v>2.4</v>
      </c>
      <c r="D713">
        <v>2.4</v>
      </c>
      <c r="E713">
        <v>2.4</v>
      </c>
      <c r="F713">
        <v>2.4</v>
      </c>
      <c r="G713">
        <v>2.4</v>
      </c>
      <c r="H713">
        <v>2.4</v>
      </c>
      <c r="I713">
        <v>2.4</v>
      </c>
      <c r="J713">
        <v>2.4</v>
      </c>
    </row>
    <row r="714" spans="1:10" x14ac:dyDescent="0.4">
      <c r="A714">
        <v>2060</v>
      </c>
      <c r="B714">
        <v>0</v>
      </c>
      <c r="C714">
        <v>2.4</v>
      </c>
      <c r="D714">
        <v>2.4</v>
      </c>
      <c r="E714">
        <v>2.4</v>
      </c>
      <c r="F714">
        <v>2.4</v>
      </c>
      <c r="G714">
        <v>2.4</v>
      </c>
      <c r="H714">
        <v>2.4</v>
      </c>
      <c r="I714">
        <v>2.4</v>
      </c>
      <c r="J714">
        <v>2.4</v>
      </c>
    </row>
    <row r="715" spans="1:10" x14ac:dyDescent="0.4">
      <c r="A715">
        <v>2061</v>
      </c>
      <c r="B715">
        <v>0</v>
      </c>
      <c r="C715">
        <v>2.4</v>
      </c>
      <c r="D715">
        <v>2.4</v>
      </c>
      <c r="E715">
        <v>2.4</v>
      </c>
      <c r="F715">
        <v>2.4</v>
      </c>
      <c r="G715">
        <v>2.4</v>
      </c>
      <c r="H715">
        <v>2.4</v>
      </c>
      <c r="I715">
        <v>2.4</v>
      </c>
      <c r="J715">
        <v>2.4</v>
      </c>
    </row>
    <row r="716" spans="1:10" x14ac:dyDescent="0.4">
      <c r="A716">
        <v>2062</v>
      </c>
      <c r="B716">
        <v>0</v>
      </c>
      <c r="C716">
        <v>2.4</v>
      </c>
      <c r="D716">
        <v>2.4</v>
      </c>
      <c r="E716">
        <v>2.4</v>
      </c>
      <c r="F716">
        <v>2.4</v>
      </c>
      <c r="G716">
        <v>2.4</v>
      </c>
      <c r="H716">
        <v>2.4</v>
      </c>
      <c r="I716">
        <v>2.4</v>
      </c>
      <c r="J716">
        <v>2.4</v>
      </c>
    </row>
    <row r="717" spans="1:10" x14ac:dyDescent="0.4">
      <c r="A717">
        <v>2063</v>
      </c>
      <c r="B717">
        <v>0</v>
      </c>
      <c r="C717">
        <v>2.4</v>
      </c>
      <c r="D717">
        <v>2.4</v>
      </c>
      <c r="E717">
        <v>2.4</v>
      </c>
      <c r="F717">
        <v>2.4</v>
      </c>
      <c r="G717">
        <v>2.4</v>
      </c>
      <c r="H717">
        <v>2.4</v>
      </c>
      <c r="I717">
        <v>2.4</v>
      </c>
      <c r="J717">
        <v>2.4</v>
      </c>
    </row>
    <row r="718" spans="1:10" x14ac:dyDescent="0.4">
      <c r="A718">
        <v>2064</v>
      </c>
      <c r="B718">
        <v>0</v>
      </c>
      <c r="C718">
        <v>2.4</v>
      </c>
      <c r="D718">
        <v>2.4</v>
      </c>
      <c r="E718">
        <v>2.4</v>
      </c>
      <c r="F718">
        <v>2.4</v>
      </c>
      <c r="G718">
        <v>2.4</v>
      </c>
      <c r="H718">
        <v>2.4</v>
      </c>
      <c r="I718">
        <v>2.4</v>
      </c>
      <c r="J718">
        <v>2.4</v>
      </c>
    </row>
    <row r="719" spans="1:10" x14ac:dyDescent="0.4">
      <c r="A719">
        <v>2065</v>
      </c>
      <c r="B719">
        <v>0</v>
      </c>
      <c r="C719">
        <v>2.4</v>
      </c>
      <c r="D719">
        <v>2.4</v>
      </c>
      <c r="E719">
        <v>2.4</v>
      </c>
      <c r="F719">
        <v>2.4</v>
      </c>
      <c r="G719">
        <v>2.4</v>
      </c>
      <c r="H719">
        <v>2.4</v>
      </c>
      <c r="I719">
        <v>2.4</v>
      </c>
      <c r="J719">
        <v>2.4</v>
      </c>
    </row>
    <row r="720" spans="1:10" x14ac:dyDescent="0.4">
      <c r="A720">
        <v>2066</v>
      </c>
      <c r="B720">
        <v>0</v>
      </c>
      <c r="C720">
        <v>2.4</v>
      </c>
      <c r="D720">
        <v>2.4</v>
      </c>
      <c r="E720">
        <v>2.4</v>
      </c>
      <c r="F720">
        <v>2.4</v>
      </c>
      <c r="G720">
        <v>2.4</v>
      </c>
      <c r="H720">
        <v>2.4</v>
      </c>
      <c r="I720">
        <v>2.4</v>
      </c>
      <c r="J720">
        <v>2.4</v>
      </c>
    </row>
    <row r="721" spans="1:10" x14ac:dyDescent="0.4">
      <c r="A721">
        <v>2067</v>
      </c>
      <c r="B721">
        <v>0</v>
      </c>
      <c r="C721">
        <v>2.4</v>
      </c>
      <c r="D721">
        <v>2.4</v>
      </c>
      <c r="E721">
        <v>2.4</v>
      </c>
      <c r="F721">
        <v>2.4</v>
      </c>
      <c r="G721">
        <v>2.4</v>
      </c>
      <c r="H721">
        <v>2.4</v>
      </c>
      <c r="I721">
        <v>2.4</v>
      </c>
      <c r="J721">
        <v>2.4</v>
      </c>
    </row>
    <row r="722" spans="1:10" x14ac:dyDescent="0.4">
      <c r="A722">
        <v>2068</v>
      </c>
      <c r="B722">
        <v>0</v>
      </c>
      <c r="C722">
        <v>2.4</v>
      </c>
      <c r="D722">
        <v>2.4</v>
      </c>
      <c r="E722">
        <v>2.4</v>
      </c>
      <c r="F722">
        <v>2.4</v>
      </c>
      <c r="G722">
        <v>2.4</v>
      </c>
      <c r="H722">
        <v>2.4</v>
      </c>
      <c r="I722">
        <v>2.4</v>
      </c>
      <c r="J722">
        <v>2.4</v>
      </c>
    </row>
    <row r="723" spans="1:10" x14ac:dyDescent="0.4">
      <c r="A723">
        <v>2069</v>
      </c>
      <c r="B723">
        <v>0</v>
      </c>
      <c r="C723">
        <v>2.4</v>
      </c>
      <c r="D723">
        <v>2.4</v>
      </c>
      <c r="E723">
        <v>2.4</v>
      </c>
      <c r="F723">
        <v>2.4</v>
      </c>
      <c r="G723">
        <v>2.4</v>
      </c>
      <c r="H723">
        <v>2.4</v>
      </c>
      <c r="I723">
        <v>2.4</v>
      </c>
      <c r="J723">
        <v>2.4</v>
      </c>
    </row>
    <row r="724" spans="1:10" x14ac:dyDescent="0.4">
      <c r="A724">
        <v>2070</v>
      </c>
      <c r="B724">
        <v>0</v>
      </c>
      <c r="C724">
        <v>2.4</v>
      </c>
      <c r="D724">
        <v>2.4</v>
      </c>
      <c r="E724">
        <v>2.4</v>
      </c>
      <c r="F724">
        <v>2.4</v>
      </c>
      <c r="G724">
        <v>2.4</v>
      </c>
      <c r="H724">
        <v>2.4</v>
      </c>
      <c r="I724">
        <v>2.4</v>
      </c>
      <c r="J724">
        <v>2.4</v>
      </c>
    </row>
    <row r="725" spans="1:10" x14ac:dyDescent="0.4">
      <c r="A725">
        <v>2071</v>
      </c>
      <c r="B725">
        <v>0</v>
      </c>
      <c r="C725">
        <v>2.4</v>
      </c>
      <c r="D725">
        <v>2.4</v>
      </c>
      <c r="E725">
        <v>2.4</v>
      </c>
      <c r="F725">
        <v>2.4</v>
      </c>
      <c r="G725">
        <v>2.4</v>
      </c>
      <c r="H725">
        <v>2.4</v>
      </c>
      <c r="I725">
        <v>2.4</v>
      </c>
      <c r="J725">
        <v>2.4</v>
      </c>
    </row>
    <row r="726" spans="1:10" x14ac:dyDescent="0.4">
      <c r="A726">
        <v>2072</v>
      </c>
      <c r="B726">
        <v>0</v>
      </c>
      <c r="C726">
        <v>2.4</v>
      </c>
      <c r="D726">
        <v>2.4</v>
      </c>
      <c r="E726">
        <v>2.4</v>
      </c>
      <c r="F726">
        <v>2.4</v>
      </c>
      <c r="G726">
        <v>2.4</v>
      </c>
      <c r="H726">
        <v>2.4</v>
      </c>
      <c r="I726">
        <v>2.4</v>
      </c>
      <c r="J726">
        <v>2.4</v>
      </c>
    </row>
    <row r="727" spans="1:10" x14ac:dyDescent="0.4">
      <c r="A727">
        <v>2073</v>
      </c>
      <c r="B727">
        <v>0</v>
      </c>
      <c r="C727">
        <v>2.4</v>
      </c>
      <c r="D727">
        <v>2.4</v>
      </c>
      <c r="E727">
        <v>2.4</v>
      </c>
      <c r="F727">
        <v>2.4</v>
      </c>
      <c r="G727">
        <v>2.4</v>
      </c>
      <c r="H727">
        <v>2.4</v>
      </c>
      <c r="I727">
        <v>2.4</v>
      </c>
      <c r="J727">
        <v>2.4</v>
      </c>
    </row>
    <row r="728" spans="1:10" x14ac:dyDescent="0.4">
      <c r="A728">
        <v>2074</v>
      </c>
      <c r="B728">
        <v>0</v>
      </c>
      <c r="C728">
        <v>2.4</v>
      </c>
      <c r="D728">
        <v>2.4</v>
      </c>
      <c r="E728">
        <v>2.4</v>
      </c>
      <c r="F728">
        <v>2.4</v>
      </c>
      <c r="G728">
        <v>2.4</v>
      </c>
      <c r="H728">
        <v>2.4</v>
      </c>
      <c r="I728">
        <v>2.4</v>
      </c>
      <c r="J728">
        <v>2.4</v>
      </c>
    </row>
    <row r="729" spans="1:10" x14ac:dyDescent="0.4">
      <c r="A729">
        <v>2075</v>
      </c>
      <c r="B729">
        <v>0</v>
      </c>
      <c r="C729">
        <v>2.4</v>
      </c>
      <c r="D729">
        <v>2.4</v>
      </c>
      <c r="E729">
        <v>2.4</v>
      </c>
      <c r="F729">
        <v>2.4</v>
      </c>
      <c r="G729">
        <v>2.4</v>
      </c>
      <c r="H729">
        <v>2.4</v>
      </c>
      <c r="I729">
        <v>2.4</v>
      </c>
      <c r="J729">
        <v>2.4</v>
      </c>
    </row>
    <row r="731" spans="1:10" x14ac:dyDescent="0.4">
      <c r="A731" t="s">
        <v>5</v>
      </c>
      <c r="B731" t="s">
        <v>36</v>
      </c>
      <c r="C731">
        <v>1000</v>
      </c>
      <c r="D731" t="s">
        <v>35</v>
      </c>
    </row>
    <row r="733" spans="1:10" x14ac:dyDescent="0.4">
      <c r="A733" t="s">
        <v>22</v>
      </c>
      <c r="B733" t="s">
        <v>34</v>
      </c>
      <c r="C733" t="s">
        <v>33</v>
      </c>
    </row>
    <row r="734" spans="1:10" x14ac:dyDescent="0.4">
      <c r="A734">
        <v>2021</v>
      </c>
      <c r="B734">
        <v>1.5398000000000001</v>
      </c>
      <c r="C734">
        <v>0</v>
      </c>
    </row>
    <row r="735" spans="1:10" x14ac:dyDescent="0.4">
      <c r="A735">
        <v>2022</v>
      </c>
      <c r="B735">
        <v>1.4739</v>
      </c>
      <c r="C735">
        <v>0</v>
      </c>
    </row>
    <row r="736" spans="1:10" x14ac:dyDescent="0.4">
      <c r="A736">
        <v>2023</v>
      </c>
      <c r="B736">
        <v>1.6854</v>
      </c>
      <c r="C736">
        <v>0</v>
      </c>
    </row>
    <row r="737" spans="1:3" x14ac:dyDescent="0.4">
      <c r="A737">
        <v>2024</v>
      </c>
      <c r="B737">
        <v>2.1566999999999998</v>
      </c>
      <c r="C737">
        <v>0</v>
      </c>
    </row>
    <row r="738" spans="1:3" x14ac:dyDescent="0.4">
      <c r="A738">
        <v>2025</v>
      </c>
      <c r="B738">
        <v>2.4</v>
      </c>
      <c r="C738">
        <v>0</v>
      </c>
    </row>
    <row r="739" spans="1:3" x14ac:dyDescent="0.4">
      <c r="A739">
        <v>2026</v>
      </c>
      <c r="B739">
        <v>2.4</v>
      </c>
      <c r="C739">
        <v>0</v>
      </c>
    </row>
    <row r="740" spans="1:3" x14ac:dyDescent="0.4">
      <c r="A740">
        <v>2027</v>
      </c>
      <c r="B740">
        <v>2.4</v>
      </c>
      <c r="C740">
        <v>0</v>
      </c>
    </row>
    <row r="741" spans="1:3" x14ac:dyDescent="0.4">
      <c r="A741">
        <v>2028</v>
      </c>
      <c r="B741">
        <v>2.4</v>
      </c>
      <c r="C741">
        <v>0</v>
      </c>
    </row>
    <row r="742" spans="1:3" x14ac:dyDescent="0.4">
      <c r="A742">
        <v>2029</v>
      </c>
      <c r="B742">
        <v>2.4</v>
      </c>
      <c r="C742">
        <v>0</v>
      </c>
    </row>
    <row r="743" spans="1:3" x14ac:dyDescent="0.4">
      <c r="A743">
        <v>2030</v>
      </c>
      <c r="B743">
        <v>2.4</v>
      </c>
      <c r="C743">
        <v>0</v>
      </c>
    </row>
    <row r="744" spans="1:3" x14ac:dyDescent="0.4">
      <c r="A744">
        <v>2031</v>
      </c>
      <c r="B744">
        <v>2.4</v>
      </c>
      <c r="C744">
        <v>0</v>
      </c>
    </row>
    <row r="745" spans="1:3" x14ac:dyDescent="0.4">
      <c r="A745">
        <v>2032</v>
      </c>
      <c r="B745">
        <v>2.4</v>
      </c>
      <c r="C745">
        <v>0</v>
      </c>
    </row>
    <row r="746" spans="1:3" x14ac:dyDescent="0.4">
      <c r="A746">
        <v>2033</v>
      </c>
      <c r="B746">
        <v>2.4</v>
      </c>
      <c r="C746">
        <v>0</v>
      </c>
    </row>
    <row r="747" spans="1:3" x14ac:dyDescent="0.4">
      <c r="A747">
        <v>2034</v>
      </c>
      <c r="B747">
        <v>2.4</v>
      </c>
      <c r="C747">
        <v>0</v>
      </c>
    </row>
    <row r="748" spans="1:3" x14ac:dyDescent="0.4">
      <c r="A748">
        <v>2035</v>
      </c>
      <c r="B748">
        <v>2.4</v>
      </c>
      <c r="C748">
        <v>0</v>
      </c>
    </row>
    <row r="749" spans="1:3" x14ac:dyDescent="0.4">
      <c r="A749">
        <v>2036</v>
      </c>
      <c r="B749">
        <v>2.4</v>
      </c>
      <c r="C749">
        <v>0</v>
      </c>
    </row>
    <row r="750" spans="1:3" x14ac:dyDescent="0.4">
      <c r="A750">
        <v>2037</v>
      </c>
      <c r="B750">
        <v>2.4</v>
      </c>
      <c r="C750">
        <v>0</v>
      </c>
    </row>
    <row r="751" spans="1:3" x14ac:dyDescent="0.4">
      <c r="A751">
        <v>2038</v>
      </c>
      <c r="B751">
        <v>2.3976000000000002</v>
      </c>
      <c r="C751">
        <v>7.5899999999999995E-2</v>
      </c>
    </row>
    <row r="752" spans="1:3" x14ac:dyDescent="0.4">
      <c r="A752">
        <v>2039</v>
      </c>
      <c r="B752">
        <v>2.3976000000000002</v>
      </c>
      <c r="C752">
        <v>7.5899999999999995E-2</v>
      </c>
    </row>
    <row r="753" spans="1:3" x14ac:dyDescent="0.4">
      <c r="A753">
        <v>2040</v>
      </c>
      <c r="B753">
        <v>2.3976000000000002</v>
      </c>
      <c r="C753">
        <v>7.5899999999999995E-2</v>
      </c>
    </row>
    <row r="754" spans="1:3" x14ac:dyDescent="0.4">
      <c r="A754">
        <v>2041</v>
      </c>
      <c r="B754">
        <v>2.3927999999999998</v>
      </c>
      <c r="C754">
        <v>0.1313</v>
      </c>
    </row>
    <row r="755" spans="1:3" x14ac:dyDescent="0.4">
      <c r="A755">
        <v>2042</v>
      </c>
      <c r="B755">
        <v>2.3904000000000001</v>
      </c>
      <c r="C755">
        <v>0.15160000000000001</v>
      </c>
    </row>
    <row r="756" spans="1:3" x14ac:dyDescent="0.4">
      <c r="A756">
        <v>2043</v>
      </c>
      <c r="B756">
        <v>2.3904000000000001</v>
      </c>
      <c r="C756">
        <v>0.15160000000000001</v>
      </c>
    </row>
    <row r="757" spans="1:3" x14ac:dyDescent="0.4">
      <c r="A757">
        <v>2044</v>
      </c>
      <c r="B757">
        <v>2.3904000000000001</v>
      </c>
      <c r="C757">
        <v>0.15160000000000001</v>
      </c>
    </row>
    <row r="758" spans="1:3" x14ac:dyDescent="0.4">
      <c r="A758">
        <v>2045</v>
      </c>
      <c r="B758">
        <v>2.3879999999999999</v>
      </c>
      <c r="C758">
        <v>0.1694</v>
      </c>
    </row>
    <row r="759" spans="1:3" x14ac:dyDescent="0.4">
      <c r="A759">
        <v>2046</v>
      </c>
      <c r="B759">
        <v>2.3807999999999998</v>
      </c>
      <c r="C759">
        <v>0.21390000000000001</v>
      </c>
    </row>
    <row r="760" spans="1:3" x14ac:dyDescent="0.4">
      <c r="A760">
        <v>2047</v>
      </c>
      <c r="B760">
        <v>2.3807999999999998</v>
      </c>
      <c r="C760">
        <v>0.21390000000000001</v>
      </c>
    </row>
    <row r="761" spans="1:3" x14ac:dyDescent="0.4">
      <c r="A761">
        <v>2048</v>
      </c>
      <c r="B761">
        <v>2.3784000000000001</v>
      </c>
      <c r="C761">
        <v>0.2268</v>
      </c>
    </row>
    <row r="762" spans="1:3" x14ac:dyDescent="0.4">
      <c r="A762">
        <v>2049</v>
      </c>
      <c r="B762">
        <v>2.3736000000000002</v>
      </c>
      <c r="C762">
        <v>0.2505</v>
      </c>
    </row>
    <row r="763" spans="1:3" x14ac:dyDescent="0.4">
      <c r="A763">
        <v>2050</v>
      </c>
      <c r="B763">
        <v>2.3664000000000001</v>
      </c>
      <c r="C763">
        <v>0.28210000000000002</v>
      </c>
    </row>
    <row r="764" spans="1:3" x14ac:dyDescent="0.4">
      <c r="A764">
        <v>2051</v>
      </c>
      <c r="B764">
        <v>2.3664000000000001</v>
      </c>
      <c r="C764">
        <v>0.28210000000000002</v>
      </c>
    </row>
    <row r="765" spans="1:3" x14ac:dyDescent="0.4">
      <c r="A765">
        <v>2052</v>
      </c>
      <c r="B765">
        <v>2.3639999999999999</v>
      </c>
      <c r="C765">
        <v>0.29189999999999999</v>
      </c>
    </row>
    <row r="766" spans="1:3" x14ac:dyDescent="0.4">
      <c r="A766">
        <v>2053</v>
      </c>
      <c r="B766">
        <v>2.3592</v>
      </c>
      <c r="C766">
        <v>0.31040000000000001</v>
      </c>
    </row>
    <row r="767" spans="1:3" x14ac:dyDescent="0.4">
      <c r="A767">
        <v>2054</v>
      </c>
      <c r="B767">
        <v>2.3567999999999998</v>
      </c>
      <c r="C767">
        <v>0.31919999999999998</v>
      </c>
    </row>
    <row r="768" spans="1:3" x14ac:dyDescent="0.4">
      <c r="A768">
        <v>2055</v>
      </c>
      <c r="B768">
        <v>2.3567999999999998</v>
      </c>
      <c r="C768">
        <v>0.31919999999999998</v>
      </c>
    </row>
    <row r="769" spans="1:3" x14ac:dyDescent="0.4">
      <c r="A769">
        <v>2056</v>
      </c>
      <c r="B769">
        <v>2.3567999999999998</v>
      </c>
      <c r="C769">
        <v>0.31919999999999998</v>
      </c>
    </row>
    <row r="770" spans="1:3" x14ac:dyDescent="0.4">
      <c r="A770">
        <v>2057</v>
      </c>
      <c r="B770">
        <v>2.3544</v>
      </c>
      <c r="C770">
        <v>0.32779999999999998</v>
      </c>
    </row>
    <row r="771" spans="1:3" x14ac:dyDescent="0.4">
      <c r="A771">
        <v>2058</v>
      </c>
      <c r="B771">
        <v>2.3496000000000001</v>
      </c>
      <c r="C771">
        <v>0.34429999999999999</v>
      </c>
    </row>
    <row r="772" spans="1:3" x14ac:dyDescent="0.4">
      <c r="A772">
        <v>2059</v>
      </c>
      <c r="B772">
        <v>2.3496000000000001</v>
      </c>
      <c r="C772">
        <v>0.34429999999999999</v>
      </c>
    </row>
    <row r="773" spans="1:3" x14ac:dyDescent="0.4">
      <c r="A773">
        <v>2060</v>
      </c>
      <c r="B773">
        <v>2.3472</v>
      </c>
      <c r="C773">
        <v>0.35220000000000001</v>
      </c>
    </row>
    <row r="774" spans="1:3" x14ac:dyDescent="0.4">
      <c r="A774">
        <v>2061</v>
      </c>
      <c r="B774">
        <v>2.3448000000000002</v>
      </c>
      <c r="C774">
        <v>0.3599</v>
      </c>
    </row>
    <row r="775" spans="1:3" x14ac:dyDescent="0.4">
      <c r="A775">
        <v>2062</v>
      </c>
      <c r="B775">
        <v>2.3376000000000001</v>
      </c>
      <c r="C775">
        <v>0.3821</v>
      </c>
    </row>
    <row r="776" spans="1:3" x14ac:dyDescent="0.4">
      <c r="A776">
        <v>2063</v>
      </c>
      <c r="B776">
        <v>2.3351999999999999</v>
      </c>
      <c r="C776">
        <v>0.38919999999999999</v>
      </c>
    </row>
    <row r="777" spans="1:3" x14ac:dyDescent="0.4">
      <c r="A777">
        <v>2064</v>
      </c>
      <c r="B777">
        <v>2.3304</v>
      </c>
      <c r="C777">
        <v>0.40289999999999998</v>
      </c>
    </row>
    <row r="778" spans="1:3" x14ac:dyDescent="0.4">
      <c r="A778">
        <v>2065</v>
      </c>
      <c r="B778">
        <v>2.3304</v>
      </c>
      <c r="C778">
        <v>0.40289999999999998</v>
      </c>
    </row>
    <row r="779" spans="1:3" x14ac:dyDescent="0.4">
      <c r="A779">
        <v>2066</v>
      </c>
      <c r="B779">
        <v>2.3279999999999998</v>
      </c>
      <c r="C779">
        <v>0.40960000000000002</v>
      </c>
    </row>
    <row r="780" spans="1:3" x14ac:dyDescent="0.4">
      <c r="A780">
        <v>2067</v>
      </c>
      <c r="B780">
        <v>2.3231999999999999</v>
      </c>
      <c r="C780">
        <v>0.42259999999999998</v>
      </c>
    </row>
    <row r="781" spans="1:3" x14ac:dyDescent="0.4">
      <c r="A781">
        <v>2068</v>
      </c>
      <c r="B781">
        <v>2.3208000000000002</v>
      </c>
      <c r="C781">
        <v>0.4289</v>
      </c>
    </row>
    <row r="782" spans="1:3" x14ac:dyDescent="0.4">
      <c r="A782">
        <v>2069</v>
      </c>
      <c r="B782">
        <v>2.3208000000000002</v>
      </c>
      <c r="C782">
        <v>0.4289</v>
      </c>
    </row>
    <row r="783" spans="1:3" x14ac:dyDescent="0.4">
      <c r="A783">
        <v>2070</v>
      </c>
      <c r="B783">
        <v>2.3184</v>
      </c>
      <c r="C783">
        <v>0.43519999999999998</v>
      </c>
    </row>
    <row r="784" spans="1:3" x14ac:dyDescent="0.4">
      <c r="A784">
        <v>2071</v>
      </c>
      <c r="B784">
        <v>2.3159999999999998</v>
      </c>
      <c r="C784">
        <v>0.44130000000000003</v>
      </c>
    </row>
    <row r="785" spans="1:20" x14ac:dyDescent="0.4">
      <c r="A785">
        <v>2072</v>
      </c>
      <c r="B785">
        <v>2.3159999999999998</v>
      </c>
      <c r="C785">
        <v>0.44130000000000003</v>
      </c>
    </row>
    <row r="786" spans="1:20" x14ac:dyDescent="0.4">
      <c r="A786">
        <v>2073</v>
      </c>
      <c r="B786">
        <v>2.3159999999999998</v>
      </c>
      <c r="C786">
        <v>0.44130000000000003</v>
      </c>
    </row>
    <row r="787" spans="1:20" x14ac:dyDescent="0.4">
      <c r="A787">
        <v>2074</v>
      </c>
      <c r="B787">
        <v>2.3159999999999998</v>
      </c>
      <c r="C787">
        <v>0.44130000000000003</v>
      </c>
    </row>
    <row r="788" spans="1:20" x14ac:dyDescent="0.4">
      <c r="A788">
        <v>2075</v>
      </c>
      <c r="B788">
        <v>2.3111999999999999</v>
      </c>
      <c r="C788">
        <v>0.45329999999999998</v>
      </c>
    </row>
    <row r="790" spans="1:20" x14ac:dyDescent="0.4">
      <c r="A790" t="s">
        <v>5</v>
      </c>
      <c r="B790" t="s">
        <v>32</v>
      </c>
    </row>
    <row r="792" spans="1:20" x14ac:dyDescent="0.4">
      <c r="A792" t="s">
        <v>22</v>
      </c>
      <c r="B792" s="2">
        <v>0.01</v>
      </c>
      <c r="C792" s="2">
        <v>0.05</v>
      </c>
      <c r="D792" s="2">
        <v>0.1</v>
      </c>
      <c r="E792" s="2">
        <v>0.25</v>
      </c>
      <c r="F792" s="2">
        <v>0.5</v>
      </c>
      <c r="G792" s="2">
        <v>0.75</v>
      </c>
      <c r="H792" s="2">
        <v>0.9</v>
      </c>
      <c r="I792" s="2">
        <v>0.95</v>
      </c>
      <c r="J792" s="2">
        <v>0.99</v>
      </c>
      <c r="L792" s="2">
        <v>0.01</v>
      </c>
      <c r="M792" s="2">
        <v>0.05</v>
      </c>
      <c r="N792" s="2">
        <v>0.1</v>
      </c>
      <c r="O792" s="2">
        <v>0.25</v>
      </c>
      <c r="P792" s="2">
        <v>0.5</v>
      </c>
      <c r="Q792" s="2">
        <v>0.75</v>
      </c>
      <c r="R792" s="2">
        <v>0.9</v>
      </c>
      <c r="S792" s="2">
        <v>0.95</v>
      </c>
      <c r="T792" s="2">
        <v>0.99</v>
      </c>
    </row>
    <row r="793" spans="1:20" x14ac:dyDescent="0.4">
      <c r="A793">
        <v>2021</v>
      </c>
      <c r="B793">
        <v>1.5398000000000001</v>
      </c>
      <c r="C793">
        <v>1.5398000000000001</v>
      </c>
      <c r="D793">
        <v>1.5398000000000001</v>
      </c>
      <c r="E793">
        <v>1.5398000000000001</v>
      </c>
      <c r="F793">
        <v>1.5398000000000001</v>
      </c>
      <c r="G793">
        <v>1.5398000000000001</v>
      </c>
      <c r="H793">
        <v>1.5398000000000001</v>
      </c>
      <c r="I793">
        <v>1.5398000000000001</v>
      </c>
      <c r="J793">
        <v>1.5398000000000001</v>
      </c>
      <c r="L793">
        <f>B793*1000</f>
        <v>1539.8</v>
      </c>
      <c r="M793">
        <f t="shared" ref="M793:T806" si="11">C793*1000</f>
        <v>1539.8</v>
      </c>
      <c r="N793">
        <f t="shared" si="11"/>
        <v>1539.8</v>
      </c>
      <c r="O793">
        <f t="shared" si="11"/>
        <v>1539.8</v>
      </c>
      <c r="P793">
        <f t="shared" si="11"/>
        <v>1539.8</v>
      </c>
      <c r="Q793">
        <f t="shared" si="11"/>
        <v>1539.8</v>
      </c>
      <c r="R793">
        <f t="shared" si="11"/>
        <v>1539.8</v>
      </c>
      <c r="S793">
        <f t="shared" si="11"/>
        <v>1539.8</v>
      </c>
      <c r="T793">
        <f t="shared" si="11"/>
        <v>1539.8</v>
      </c>
    </row>
    <row r="794" spans="1:20" x14ac:dyDescent="0.4">
      <c r="A794">
        <v>2022</v>
      </c>
      <c r="B794">
        <v>1.4739</v>
      </c>
      <c r="C794">
        <v>1.4739</v>
      </c>
      <c r="D794">
        <v>1.4739</v>
      </c>
      <c r="E794">
        <v>1.4739</v>
      </c>
      <c r="F794">
        <v>1.4739</v>
      </c>
      <c r="G794">
        <v>1.4739</v>
      </c>
      <c r="H794">
        <v>1.4739</v>
      </c>
      <c r="I794">
        <v>1.4739</v>
      </c>
      <c r="J794">
        <v>1.4739</v>
      </c>
      <c r="L794">
        <f t="shared" ref="L794:L806" si="12">B794*1000</f>
        <v>1473.9</v>
      </c>
      <c r="M794">
        <f t="shared" si="11"/>
        <v>1473.9</v>
      </c>
      <c r="N794">
        <f t="shared" si="11"/>
        <v>1473.9</v>
      </c>
      <c r="O794">
        <f t="shared" si="11"/>
        <v>1473.9</v>
      </c>
      <c r="P794">
        <f t="shared" si="11"/>
        <v>1473.9</v>
      </c>
      <c r="Q794">
        <f t="shared" si="11"/>
        <v>1473.9</v>
      </c>
      <c r="R794">
        <f t="shared" si="11"/>
        <v>1473.9</v>
      </c>
      <c r="S794">
        <f t="shared" si="11"/>
        <v>1473.9</v>
      </c>
      <c r="T794">
        <f t="shared" si="11"/>
        <v>1473.9</v>
      </c>
    </row>
    <row r="795" spans="1:20" x14ac:dyDescent="0.4">
      <c r="A795">
        <v>2023</v>
      </c>
      <c r="B795">
        <v>1.6854</v>
      </c>
      <c r="C795">
        <v>1.6854</v>
      </c>
      <c r="D795">
        <v>1.6854</v>
      </c>
      <c r="E795">
        <v>1.6854</v>
      </c>
      <c r="F795">
        <v>1.6854</v>
      </c>
      <c r="G795">
        <v>1.6854</v>
      </c>
      <c r="H795">
        <v>1.6854</v>
      </c>
      <c r="I795">
        <v>1.6854</v>
      </c>
      <c r="J795">
        <v>1.6854</v>
      </c>
      <c r="L795">
        <f t="shared" si="12"/>
        <v>1685.4</v>
      </c>
      <c r="M795">
        <f t="shared" si="11"/>
        <v>1685.4</v>
      </c>
      <c r="N795">
        <f t="shared" si="11"/>
        <v>1685.4</v>
      </c>
      <c r="O795">
        <f t="shared" si="11"/>
        <v>1685.4</v>
      </c>
      <c r="P795">
        <f t="shared" si="11"/>
        <v>1685.4</v>
      </c>
      <c r="Q795">
        <f t="shared" si="11"/>
        <v>1685.4</v>
      </c>
      <c r="R795">
        <f t="shared" si="11"/>
        <v>1685.4</v>
      </c>
      <c r="S795">
        <f t="shared" si="11"/>
        <v>1685.4</v>
      </c>
      <c r="T795">
        <f t="shared" si="11"/>
        <v>1685.4</v>
      </c>
    </row>
    <row r="796" spans="1:20" x14ac:dyDescent="0.4">
      <c r="A796">
        <v>2024</v>
      </c>
      <c r="B796">
        <v>2.1566999999999998</v>
      </c>
      <c r="C796">
        <v>2.1566999999999998</v>
      </c>
      <c r="D796">
        <v>2.1566999999999998</v>
      </c>
      <c r="E796">
        <v>2.1566999999999998</v>
      </c>
      <c r="F796">
        <v>2.1566999999999998</v>
      </c>
      <c r="G796">
        <v>2.1566999999999998</v>
      </c>
      <c r="H796">
        <v>2.1566999999999998</v>
      </c>
      <c r="I796">
        <v>2.1566999999999998</v>
      </c>
      <c r="J796">
        <v>2.1566999999999998</v>
      </c>
      <c r="L796">
        <f t="shared" si="12"/>
        <v>2156.6999999999998</v>
      </c>
      <c r="M796">
        <f t="shared" si="11"/>
        <v>2156.6999999999998</v>
      </c>
      <c r="N796">
        <f t="shared" si="11"/>
        <v>2156.6999999999998</v>
      </c>
      <c r="O796">
        <f t="shared" si="11"/>
        <v>2156.6999999999998</v>
      </c>
      <c r="P796">
        <f t="shared" si="11"/>
        <v>2156.6999999999998</v>
      </c>
      <c r="Q796">
        <f t="shared" si="11"/>
        <v>2156.6999999999998</v>
      </c>
      <c r="R796">
        <f t="shared" si="11"/>
        <v>2156.6999999999998</v>
      </c>
      <c r="S796">
        <f t="shared" si="11"/>
        <v>2156.6999999999998</v>
      </c>
      <c r="T796">
        <f t="shared" si="11"/>
        <v>2156.6999999999998</v>
      </c>
    </row>
    <row r="797" spans="1:20" x14ac:dyDescent="0.4">
      <c r="A797">
        <v>2025</v>
      </c>
      <c r="B797">
        <v>2.4</v>
      </c>
      <c r="C797">
        <v>2.4</v>
      </c>
      <c r="D797">
        <v>2.4</v>
      </c>
      <c r="E797">
        <v>2.4</v>
      </c>
      <c r="F797">
        <v>2.4</v>
      </c>
      <c r="G797">
        <v>2.4</v>
      </c>
      <c r="H797">
        <v>2.4</v>
      </c>
      <c r="I797">
        <v>2.4</v>
      </c>
      <c r="J797">
        <v>2.4</v>
      </c>
      <c r="L797">
        <f t="shared" si="12"/>
        <v>2400</v>
      </c>
      <c r="M797">
        <f t="shared" si="11"/>
        <v>2400</v>
      </c>
      <c r="N797">
        <f t="shared" si="11"/>
        <v>2400</v>
      </c>
      <c r="O797">
        <f t="shared" si="11"/>
        <v>2400</v>
      </c>
      <c r="P797">
        <f t="shared" si="11"/>
        <v>2400</v>
      </c>
      <c r="Q797">
        <f t="shared" si="11"/>
        <v>2400</v>
      </c>
      <c r="R797">
        <f t="shared" si="11"/>
        <v>2400</v>
      </c>
      <c r="S797">
        <f t="shared" si="11"/>
        <v>2400</v>
      </c>
      <c r="T797">
        <f t="shared" si="11"/>
        <v>2400</v>
      </c>
    </row>
    <row r="798" spans="1:20" x14ac:dyDescent="0.4">
      <c r="A798">
        <v>2026</v>
      </c>
      <c r="B798">
        <v>2.4</v>
      </c>
      <c r="C798">
        <v>2.4</v>
      </c>
      <c r="D798">
        <v>2.4</v>
      </c>
      <c r="E798">
        <v>2.4</v>
      </c>
      <c r="F798">
        <v>2.4</v>
      </c>
      <c r="G798">
        <v>2.4</v>
      </c>
      <c r="H798">
        <v>2.4</v>
      </c>
      <c r="I798">
        <v>2.4</v>
      </c>
      <c r="J798">
        <v>2.4</v>
      </c>
      <c r="L798">
        <f t="shared" si="12"/>
        <v>2400</v>
      </c>
      <c r="M798">
        <f t="shared" si="11"/>
        <v>2400</v>
      </c>
      <c r="N798">
        <f t="shared" si="11"/>
        <v>2400</v>
      </c>
      <c r="O798">
        <f t="shared" si="11"/>
        <v>2400</v>
      </c>
      <c r="P798">
        <f t="shared" si="11"/>
        <v>2400</v>
      </c>
      <c r="Q798">
        <f t="shared" si="11"/>
        <v>2400</v>
      </c>
      <c r="R798">
        <f t="shared" si="11"/>
        <v>2400</v>
      </c>
      <c r="S798">
        <f t="shared" si="11"/>
        <v>2400</v>
      </c>
      <c r="T798">
        <f t="shared" si="11"/>
        <v>2400</v>
      </c>
    </row>
    <row r="799" spans="1:20" x14ac:dyDescent="0.4">
      <c r="A799">
        <v>2027</v>
      </c>
      <c r="B799">
        <v>2.4</v>
      </c>
      <c r="C799">
        <v>2.4</v>
      </c>
      <c r="D799">
        <v>2.4</v>
      </c>
      <c r="E799">
        <v>2.4</v>
      </c>
      <c r="F799">
        <v>2.4</v>
      </c>
      <c r="G799">
        <v>2.4</v>
      </c>
      <c r="H799">
        <v>2.4</v>
      </c>
      <c r="I799">
        <v>2.4</v>
      </c>
      <c r="J799">
        <v>2.4</v>
      </c>
      <c r="L799">
        <f t="shared" si="12"/>
        <v>2400</v>
      </c>
      <c r="M799">
        <f t="shared" si="11"/>
        <v>2400</v>
      </c>
      <c r="N799">
        <f t="shared" si="11"/>
        <v>2400</v>
      </c>
      <c r="O799">
        <f t="shared" si="11"/>
        <v>2400</v>
      </c>
      <c r="P799">
        <f t="shared" si="11"/>
        <v>2400</v>
      </c>
      <c r="Q799">
        <f t="shared" si="11"/>
        <v>2400</v>
      </c>
      <c r="R799">
        <f t="shared" si="11"/>
        <v>2400</v>
      </c>
      <c r="S799">
        <f t="shared" si="11"/>
        <v>2400</v>
      </c>
      <c r="T799">
        <f t="shared" si="11"/>
        <v>2400</v>
      </c>
    </row>
    <row r="800" spans="1:20" x14ac:dyDescent="0.4">
      <c r="A800">
        <v>2028</v>
      </c>
      <c r="B800">
        <v>2.4</v>
      </c>
      <c r="C800">
        <v>2.4</v>
      </c>
      <c r="D800">
        <v>2.4</v>
      </c>
      <c r="E800">
        <v>2.4</v>
      </c>
      <c r="F800">
        <v>2.4</v>
      </c>
      <c r="G800">
        <v>2.4</v>
      </c>
      <c r="H800">
        <v>2.4</v>
      </c>
      <c r="I800">
        <v>2.4</v>
      </c>
      <c r="J800">
        <v>2.4</v>
      </c>
      <c r="L800">
        <f t="shared" si="12"/>
        <v>2400</v>
      </c>
      <c r="M800">
        <f t="shared" si="11"/>
        <v>2400</v>
      </c>
      <c r="N800">
        <f t="shared" si="11"/>
        <v>2400</v>
      </c>
      <c r="O800">
        <f t="shared" si="11"/>
        <v>2400</v>
      </c>
      <c r="P800">
        <f t="shared" si="11"/>
        <v>2400</v>
      </c>
      <c r="Q800">
        <f t="shared" si="11"/>
        <v>2400</v>
      </c>
      <c r="R800">
        <f t="shared" si="11"/>
        <v>2400</v>
      </c>
      <c r="S800">
        <f t="shared" si="11"/>
        <v>2400</v>
      </c>
      <c r="T800">
        <f t="shared" si="11"/>
        <v>2400</v>
      </c>
    </row>
    <row r="801" spans="1:20" x14ac:dyDescent="0.4">
      <c r="A801">
        <v>2029</v>
      </c>
      <c r="B801">
        <v>2.4</v>
      </c>
      <c r="C801">
        <v>2.4</v>
      </c>
      <c r="D801">
        <v>2.4</v>
      </c>
      <c r="E801">
        <v>2.4</v>
      </c>
      <c r="F801">
        <v>2.4</v>
      </c>
      <c r="G801">
        <v>2.4</v>
      </c>
      <c r="H801">
        <v>2.4</v>
      </c>
      <c r="I801">
        <v>2.4</v>
      </c>
      <c r="J801">
        <v>2.4</v>
      </c>
      <c r="L801">
        <f t="shared" si="12"/>
        <v>2400</v>
      </c>
      <c r="M801">
        <f t="shared" si="11"/>
        <v>2400</v>
      </c>
      <c r="N801">
        <f t="shared" si="11"/>
        <v>2400</v>
      </c>
      <c r="O801">
        <f t="shared" si="11"/>
        <v>2400</v>
      </c>
      <c r="P801">
        <f t="shared" si="11"/>
        <v>2400</v>
      </c>
      <c r="Q801">
        <f t="shared" si="11"/>
        <v>2400</v>
      </c>
      <c r="R801">
        <f t="shared" si="11"/>
        <v>2400</v>
      </c>
      <c r="S801">
        <f t="shared" si="11"/>
        <v>2400</v>
      </c>
      <c r="T801">
        <f t="shared" si="11"/>
        <v>2400</v>
      </c>
    </row>
    <row r="802" spans="1:20" x14ac:dyDescent="0.4">
      <c r="A802">
        <v>2030</v>
      </c>
      <c r="B802">
        <v>2.4</v>
      </c>
      <c r="C802">
        <v>2.4</v>
      </c>
      <c r="D802">
        <v>2.4</v>
      </c>
      <c r="E802">
        <v>2.4</v>
      </c>
      <c r="F802">
        <v>2.4</v>
      </c>
      <c r="G802">
        <v>2.4</v>
      </c>
      <c r="H802">
        <v>2.4</v>
      </c>
      <c r="I802">
        <v>2.4</v>
      </c>
      <c r="J802">
        <v>2.4</v>
      </c>
      <c r="L802">
        <f t="shared" si="12"/>
        <v>2400</v>
      </c>
      <c r="M802">
        <f t="shared" si="11"/>
        <v>2400</v>
      </c>
      <c r="N802">
        <f t="shared" si="11"/>
        <v>2400</v>
      </c>
      <c r="O802">
        <f t="shared" si="11"/>
        <v>2400</v>
      </c>
      <c r="P802">
        <f t="shared" si="11"/>
        <v>2400</v>
      </c>
      <c r="Q802">
        <f t="shared" si="11"/>
        <v>2400</v>
      </c>
      <c r="R802">
        <f t="shared" si="11"/>
        <v>2400</v>
      </c>
      <c r="S802">
        <f t="shared" si="11"/>
        <v>2400</v>
      </c>
      <c r="T802">
        <f t="shared" si="11"/>
        <v>2400</v>
      </c>
    </row>
    <row r="803" spans="1:20" x14ac:dyDescent="0.4">
      <c r="A803">
        <v>2031</v>
      </c>
      <c r="B803">
        <v>2.4</v>
      </c>
      <c r="C803">
        <v>2.4</v>
      </c>
      <c r="D803">
        <v>2.4</v>
      </c>
      <c r="E803">
        <v>2.4</v>
      </c>
      <c r="F803">
        <v>2.4</v>
      </c>
      <c r="G803">
        <v>2.4</v>
      </c>
      <c r="H803">
        <v>2.4</v>
      </c>
      <c r="I803">
        <v>2.4</v>
      </c>
      <c r="J803">
        <v>2.4</v>
      </c>
      <c r="L803">
        <f t="shared" si="12"/>
        <v>2400</v>
      </c>
      <c r="M803">
        <f t="shared" si="11"/>
        <v>2400</v>
      </c>
      <c r="N803">
        <f t="shared" si="11"/>
        <v>2400</v>
      </c>
      <c r="O803">
        <f t="shared" si="11"/>
        <v>2400</v>
      </c>
      <c r="P803">
        <f t="shared" si="11"/>
        <v>2400</v>
      </c>
      <c r="Q803">
        <f t="shared" si="11"/>
        <v>2400</v>
      </c>
      <c r="R803">
        <f t="shared" si="11"/>
        <v>2400</v>
      </c>
      <c r="S803">
        <f t="shared" si="11"/>
        <v>2400</v>
      </c>
      <c r="T803">
        <f t="shared" si="11"/>
        <v>2400</v>
      </c>
    </row>
    <row r="804" spans="1:20" x14ac:dyDescent="0.4">
      <c r="A804">
        <v>2032</v>
      </c>
      <c r="B804">
        <v>2.4</v>
      </c>
      <c r="C804">
        <v>2.4</v>
      </c>
      <c r="D804">
        <v>2.4</v>
      </c>
      <c r="E804">
        <v>2.4</v>
      </c>
      <c r="F804">
        <v>2.4</v>
      </c>
      <c r="G804">
        <v>2.4</v>
      </c>
      <c r="H804">
        <v>2.4</v>
      </c>
      <c r="I804">
        <v>2.4</v>
      </c>
      <c r="J804">
        <v>2.4</v>
      </c>
      <c r="L804">
        <f t="shared" si="12"/>
        <v>2400</v>
      </c>
      <c r="M804">
        <f t="shared" si="11"/>
        <v>2400</v>
      </c>
      <c r="N804">
        <f t="shared" si="11"/>
        <v>2400</v>
      </c>
      <c r="O804">
        <f t="shared" si="11"/>
        <v>2400</v>
      </c>
      <c r="P804">
        <f t="shared" si="11"/>
        <v>2400</v>
      </c>
      <c r="Q804">
        <f t="shared" si="11"/>
        <v>2400</v>
      </c>
      <c r="R804">
        <f t="shared" si="11"/>
        <v>2400</v>
      </c>
      <c r="S804">
        <f t="shared" si="11"/>
        <v>2400</v>
      </c>
      <c r="T804">
        <f t="shared" si="11"/>
        <v>2400</v>
      </c>
    </row>
    <row r="805" spans="1:20" x14ac:dyDescent="0.4">
      <c r="A805">
        <v>2033</v>
      </c>
      <c r="B805">
        <v>2.4</v>
      </c>
      <c r="C805">
        <v>2.4</v>
      </c>
      <c r="D805">
        <v>2.4</v>
      </c>
      <c r="E805">
        <v>2.4</v>
      </c>
      <c r="F805">
        <v>2.4</v>
      </c>
      <c r="G805">
        <v>2.4</v>
      </c>
      <c r="H805">
        <v>2.4</v>
      </c>
      <c r="I805">
        <v>2.4</v>
      </c>
      <c r="J805">
        <v>2.4</v>
      </c>
      <c r="L805">
        <f t="shared" si="12"/>
        <v>2400</v>
      </c>
      <c r="M805">
        <f t="shared" si="11"/>
        <v>2400</v>
      </c>
      <c r="N805">
        <f t="shared" si="11"/>
        <v>2400</v>
      </c>
      <c r="O805">
        <f t="shared" si="11"/>
        <v>2400</v>
      </c>
      <c r="P805">
        <f t="shared" si="11"/>
        <v>2400</v>
      </c>
      <c r="Q805">
        <f t="shared" si="11"/>
        <v>2400</v>
      </c>
      <c r="R805">
        <f t="shared" si="11"/>
        <v>2400</v>
      </c>
      <c r="S805">
        <f t="shared" si="11"/>
        <v>2400</v>
      </c>
      <c r="T805">
        <f t="shared" si="11"/>
        <v>2400</v>
      </c>
    </row>
    <row r="806" spans="1:20" x14ac:dyDescent="0.4">
      <c r="A806">
        <v>2034</v>
      </c>
      <c r="B806">
        <v>2.4</v>
      </c>
      <c r="C806">
        <v>2.4</v>
      </c>
      <c r="D806">
        <v>2.4</v>
      </c>
      <c r="E806">
        <v>2.4</v>
      </c>
      <c r="F806">
        <v>2.4</v>
      </c>
      <c r="G806">
        <v>2.4</v>
      </c>
      <c r="H806">
        <v>2.4</v>
      </c>
      <c r="I806">
        <v>2.4</v>
      </c>
      <c r="J806">
        <v>2.4</v>
      </c>
      <c r="L806">
        <f t="shared" si="12"/>
        <v>2400</v>
      </c>
      <c r="M806">
        <f t="shared" si="11"/>
        <v>2400</v>
      </c>
      <c r="N806">
        <f t="shared" si="11"/>
        <v>2400</v>
      </c>
      <c r="O806">
        <f t="shared" si="11"/>
        <v>2400</v>
      </c>
      <c r="P806">
        <f t="shared" si="11"/>
        <v>2400</v>
      </c>
      <c r="Q806">
        <f t="shared" si="11"/>
        <v>2400</v>
      </c>
      <c r="R806">
        <f t="shared" si="11"/>
        <v>2400</v>
      </c>
      <c r="S806">
        <f t="shared" si="11"/>
        <v>2400</v>
      </c>
      <c r="T806">
        <f t="shared" si="11"/>
        <v>2400</v>
      </c>
    </row>
    <row r="807" spans="1:20" x14ac:dyDescent="0.4">
      <c r="A807">
        <v>2035</v>
      </c>
      <c r="B807">
        <v>2.4</v>
      </c>
      <c r="C807">
        <v>2.4</v>
      </c>
      <c r="D807">
        <v>2.4</v>
      </c>
      <c r="E807">
        <v>2.4</v>
      </c>
      <c r="F807">
        <v>2.4</v>
      </c>
      <c r="G807">
        <v>2.4</v>
      </c>
      <c r="H807">
        <v>2.4</v>
      </c>
      <c r="I807">
        <v>2.4</v>
      </c>
      <c r="J807">
        <v>2.4</v>
      </c>
      <c r="L807">
        <f t="shared" ref="L807:L847" si="13">B807*1000</f>
        <v>2400</v>
      </c>
      <c r="M807">
        <f t="shared" ref="M807:M847" si="14">C807*1000</f>
        <v>2400</v>
      </c>
      <c r="N807">
        <f t="shared" ref="N807:N847" si="15">D807*1000</f>
        <v>2400</v>
      </c>
      <c r="O807">
        <f t="shared" ref="O807:O847" si="16">E807*1000</f>
        <v>2400</v>
      </c>
      <c r="P807">
        <f t="shared" ref="P807:P847" si="17">F807*1000</f>
        <v>2400</v>
      </c>
      <c r="Q807">
        <f t="shared" ref="Q807:Q847" si="18">G807*1000</f>
        <v>2400</v>
      </c>
      <c r="R807">
        <f t="shared" ref="R807:R847" si="19">H807*1000</f>
        <v>2400</v>
      </c>
      <c r="S807">
        <f t="shared" ref="S807:S847" si="20">I807*1000</f>
        <v>2400</v>
      </c>
      <c r="T807">
        <f t="shared" ref="T807:T847" si="21">J807*1000</f>
        <v>2400</v>
      </c>
    </row>
    <row r="808" spans="1:20" x14ac:dyDescent="0.4">
      <c r="A808">
        <v>2036</v>
      </c>
      <c r="B808">
        <v>2.4</v>
      </c>
      <c r="C808">
        <v>2.4</v>
      </c>
      <c r="D808">
        <v>2.4</v>
      </c>
      <c r="E808">
        <v>2.4</v>
      </c>
      <c r="F808">
        <v>2.4</v>
      </c>
      <c r="G808">
        <v>2.4</v>
      </c>
      <c r="H808">
        <v>2.4</v>
      </c>
      <c r="I808">
        <v>2.4</v>
      </c>
      <c r="J808">
        <v>2.4</v>
      </c>
      <c r="L808">
        <f t="shared" si="13"/>
        <v>2400</v>
      </c>
      <c r="M808">
        <f t="shared" si="14"/>
        <v>2400</v>
      </c>
      <c r="N808">
        <f t="shared" si="15"/>
        <v>2400</v>
      </c>
      <c r="O808">
        <f t="shared" si="16"/>
        <v>2400</v>
      </c>
      <c r="P808">
        <f t="shared" si="17"/>
        <v>2400</v>
      </c>
      <c r="Q808">
        <f t="shared" si="18"/>
        <v>2400</v>
      </c>
      <c r="R808">
        <f t="shared" si="19"/>
        <v>2400</v>
      </c>
      <c r="S808">
        <f t="shared" si="20"/>
        <v>2400</v>
      </c>
      <c r="T808">
        <f t="shared" si="21"/>
        <v>2400</v>
      </c>
    </row>
    <row r="809" spans="1:20" x14ac:dyDescent="0.4">
      <c r="A809">
        <v>2037</v>
      </c>
      <c r="B809">
        <v>2.4</v>
      </c>
      <c r="C809">
        <v>2.4</v>
      </c>
      <c r="D809">
        <v>2.4</v>
      </c>
      <c r="E809">
        <v>2.4</v>
      </c>
      <c r="F809">
        <v>2.4</v>
      </c>
      <c r="G809">
        <v>2.4</v>
      </c>
      <c r="H809">
        <v>2.4</v>
      </c>
      <c r="I809">
        <v>2.4</v>
      </c>
      <c r="J809">
        <v>2.4</v>
      </c>
      <c r="L809">
        <f t="shared" si="13"/>
        <v>2400</v>
      </c>
      <c r="M809">
        <f t="shared" si="14"/>
        <v>2400</v>
      </c>
      <c r="N809">
        <f t="shared" si="15"/>
        <v>2400</v>
      </c>
      <c r="O809">
        <f t="shared" si="16"/>
        <v>2400</v>
      </c>
      <c r="P809">
        <f t="shared" si="17"/>
        <v>2400</v>
      </c>
      <c r="Q809">
        <f t="shared" si="18"/>
        <v>2400</v>
      </c>
      <c r="R809">
        <f t="shared" si="19"/>
        <v>2400</v>
      </c>
      <c r="S809">
        <f t="shared" si="20"/>
        <v>2400</v>
      </c>
      <c r="T809">
        <f t="shared" si="21"/>
        <v>2400</v>
      </c>
    </row>
    <row r="810" spans="1:20" x14ac:dyDescent="0.4">
      <c r="A810">
        <v>2038</v>
      </c>
      <c r="B810">
        <v>2.4</v>
      </c>
      <c r="C810">
        <v>2.4</v>
      </c>
      <c r="D810">
        <v>2.4</v>
      </c>
      <c r="E810">
        <v>2.4</v>
      </c>
      <c r="F810">
        <v>2.4</v>
      </c>
      <c r="G810">
        <v>2.4</v>
      </c>
      <c r="H810">
        <v>2.4</v>
      </c>
      <c r="I810">
        <v>2.4</v>
      </c>
      <c r="J810">
        <v>2.4</v>
      </c>
      <c r="L810">
        <f t="shared" si="13"/>
        <v>2400</v>
      </c>
      <c r="M810">
        <f t="shared" si="14"/>
        <v>2400</v>
      </c>
      <c r="N810">
        <f t="shared" si="15"/>
        <v>2400</v>
      </c>
      <c r="O810">
        <f t="shared" si="16"/>
        <v>2400</v>
      </c>
      <c r="P810">
        <f t="shared" si="17"/>
        <v>2400</v>
      </c>
      <c r="Q810">
        <f t="shared" si="18"/>
        <v>2400</v>
      </c>
      <c r="R810">
        <f t="shared" si="19"/>
        <v>2400</v>
      </c>
      <c r="S810">
        <f t="shared" si="20"/>
        <v>2400</v>
      </c>
      <c r="T810">
        <f t="shared" si="21"/>
        <v>2400</v>
      </c>
    </row>
    <row r="811" spans="1:20" x14ac:dyDescent="0.4">
      <c r="A811">
        <v>2039</v>
      </c>
      <c r="B811">
        <v>2.4</v>
      </c>
      <c r="C811">
        <v>2.4</v>
      </c>
      <c r="D811">
        <v>2.4</v>
      </c>
      <c r="E811">
        <v>2.4</v>
      </c>
      <c r="F811">
        <v>2.4</v>
      </c>
      <c r="G811">
        <v>2.4</v>
      </c>
      <c r="H811">
        <v>2.4</v>
      </c>
      <c r="I811">
        <v>2.4</v>
      </c>
      <c r="J811">
        <v>2.4</v>
      </c>
      <c r="L811">
        <f t="shared" si="13"/>
        <v>2400</v>
      </c>
      <c r="M811">
        <f t="shared" si="14"/>
        <v>2400</v>
      </c>
      <c r="N811">
        <f t="shared" si="15"/>
        <v>2400</v>
      </c>
      <c r="O811">
        <f t="shared" si="16"/>
        <v>2400</v>
      </c>
      <c r="P811">
        <f t="shared" si="17"/>
        <v>2400</v>
      </c>
      <c r="Q811">
        <f t="shared" si="18"/>
        <v>2400</v>
      </c>
      <c r="R811">
        <f t="shared" si="19"/>
        <v>2400</v>
      </c>
      <c r="S811">
        <f t="shared" si="20"/>
        <v>2400</v>
      </c>
      <c r="T811">
        <f t="shared" si="21"/>
        <v>2400</v>
      </c>
    </row>
    <row r="812" spans="1:20" x14ac:dyDescent="0.4">
      <c r="A812">
        <v>2040</v>
      </c>
      <c r="B812">
        <v>2.4</v>
      </c>
      <c r="C812">
        <v>2.4</v>
      </c>
      <c r="D812">
        <v>2.4</v>
      </c>
      <c r="E812">
        <v>2.4</v>
      </c>
      <c r="F812">
        <v>2.4</v>
      </c>
      <c r="G812">
        <v>2.4</v>
      </c>
      <c r="H812">
        <v>2.4</v>
      </c>
      <c r="I812">
        <v>2.4</v>
      </c>
      <c r="J812">
        <v>2.4</v>
      </c>
      <c r="L812">
        <f t="shared" si="13"/>
        <v>2400</v>
      </c>
      <c r="M812">
        <f t="shared" si="14"/>
        <v>2400</v>
      </c>
      <c r="N812">
        <f t="shared" si="15"/>
        <v>2400</v>
      </c>
      <c r="O812">
        <f t="shared" si="16"/>
        <v>2400</v>
      </c>
      <c r="P812">
        <f t="shared" si="17"/>
        <v>2400</v>
      </c>
      <c r="Q812">
        <f t="shared" si="18"/>
        <v>2400</v>
      </c>
      <c r="R812">
        <f t="shared" si="19"/>
        <v>2400</v>
      </c>
      <c r="S812">
        <f t="shared" si="20"/>
        <v>2400</v>
      </c>
      <c r="T812">
        <f t="shared" si="21"/>
        <v>2400</v>
      </c>
    </row>
    <row r="813" spans="1:20" x14ac:dyDescent="0.4">
      <c r="A813">
        <v>2041</v>
      </c>
      <c r="B813">
        <v>2.4</v>
      </c>
      <c r="C813">
        <v>2.4</v>
      </c>
      <c r="D813">
        <v>2.4</v>
      </c>
      <c r="E813">
        <v>2.4</v>
      </c>
      <c r="F813">
        <v>2.4</v>
      </c>
      <c r="G813">
        <v>2.4</v>
      </c>
      <c r="H813">
        <v>2.4</v>
      </c>
      <c r="I813">
        <v>2.4</v>
      </c>
      <c r="J813">
        <v>2.4</v>
      </c>
      <c r="L813">
        <f t="shared" si="13"/>
        <v>2400</v>
      </c>
      <c r="M813">
        <f t="shared" si="14"/>
        <v>2400</v>
      </c>
      <c r="N813">
        <f t="shared" si="15"/>
        <v>2400</v>
      </c>
      <c r="O813">
        <f t="shared" si="16"/>
        <v>2400</v>
      </c>
      <c r="P813">
        <f t="shared" si="17"/>
        <v>2400</v>
      </c>
      <c r="Q813">
        <f t="shared" si="18"/>
        <v>2400</v>
      </c>
      <c r="R813">
        <f t="shared" si="19"/>
        <v>2400</v>
      </c>
      <c r="S813">
        <f t="shared" si="20"/>
        <v>2400</v>
      </c>
      <c r="T813">
        <f t="shared" si="21"/>
        <v>2400</v>
      </c>
    </row>
    <row r="814" spans="1:20" x14ac:dyDescent="0.4">
      <c r="A814">
        <v>2042</v>
      </c>
      <c r="B814">
        <v>2.4</v>
      </c>
      <c r="C814">
        <v>2.4</v>
      </c>
      <c r="D814">
        <v>2.4</v>
      </c>
      <c r="E814">
        <v>2.4</v>
      </c>
      <c r="F814">
        <v>2.4</v>
      </c>
      <c r="G814">
        <v>2.4</v>
      </c>
      <c r="H814">
        <v>2.4</v>
      </c>
      <c r="I814">
        <v>2.4</v>
      </c>
      <c r="J814">
        <v>2.4</v>
      </c>
      <c r="L814">
        <f t="shared" si="13"/>
        <v>2400</v>
      </c>
      <c r="M814">
        <f t="shared" si="14"/>
        <v>2400</v>
      </c>
      <c r="N814">
        <f t="shared" si="15"/>
        <v>2400</v>
      </c>
      <c r="O814">
        <f t="shared" si="16"/>
        <v>2400</v>
      </c>
      <c r="P814">
        <f t="shared" si="17"/>
        <v>2400</v>
      </c>
      <c r="Q814">
        <f t="shared" si="18"/>
        <v>2400</v>
      </c>
      <c r="R814">
        <f t="shared" si="19"/>
        <v>2400</v>
      </c>
      <c r="S814">
        <f t="shared" si="20"/>
        <v>2400</v>
      </c>
      <c r="T814">
        <f t="shared" si="21"/>
        <v>2400</v>
      </c>
    </row>
    <row r="815" spans="1:20" x14ac:dyDescent="0.4">
      <c r="A815">
        <v>2043</v>
      </c>
      <c r="B815">
        <v>2.4</v>
      </c>
      <c r="C815">
        <v>2.4</v>
      </c>
      <c r="D815">
        <v>2.4</v>
      </c>
      <c r="E815">
        <v>2.4</v>
      </c>
      <c r="F815">
        <v>2.4</v>
      </c>
      <c r="G815">
        <v>2.4</v>
      </c>
      <c r="H815">
        <v>2.4</v>
      </c>
      <c r="I815">
        <v>2.4</v>
      </c>
      <c r="J815">
        <v>2.4</v>
      </c>
      <c r="L815">
        <f t="shared" si="13"/>
        <v>2400</v>
      </c>
      <c r="M815">
        <f t="shared" si="14"/>
        <v>2400</v>
      </c>
      <c r="N815">
        <f t="shared" si="15"/>
        <v>2400</v>
      </c>
      <c r="O815">
        <f t="shared" si="16"/>
        <v>2400</v>
      </c>
      <c r="P815">
        <f t="shared" si="17"/>
        <v>2400</v>
      </c>
      <c r="Q815">
        <f t="shared" si="18"/>
        <v>2400</v>
      </c>
      <c r="R815">
        <f t="shared" si="19"/>
        <v>2400</v>
      </c>
      <c r="S815">
        <f t="shared" si="20"/>
        <v>2400</v>
      </c>
      <c r="T815">
        <f t="shared" si="21"/>
        <v>2400</v>
      </c>
    </row>
    <row r="816" spans="1:20" x14ac:dyDescent="0.4">
      <c r="A816">
        <v>2044</v>
      </c>
      <c r="B816">
        <v>2.4</v>
      </c>
      <c r="C816">
        <v>2.4</v>
      </c>
      <c r="D816">
        <v>2.4</v>
      </c>
      <c r="E816">
        <v>2.4</v>
      </c>
      <c r="F816">
        <v>2.4</v>
      </c>
      <c r="G816">
        <v>2.4</v>
      </c>
      <c r="H816">
        <v>2.4</v>
      </c>
      <c r="I816">
        <v>2.4</v>
      </c>
      <c r="J816">
        <v>2.4</v>
      </c>
      <c r="L816">
        <f t="shared" si="13"/>
        <v>2400</v>
      </c>
      <c r="M816">
        <f t="shared" si="14"/>
        <v>2400</v>
      </c>
      <c r="N816">
        <f t="shared" si="15"/>
        <v>2400</v>
      </c>
      <c r="O816">
        <f t="shared" si="16"/>
        <v>2400</v>
      </c>
      <c r="P816">
        <f t="shared" si="17"/>
        <v>2400</v>
      </c>
      <c r="Q816">
        <f t="shared" si="18"/>
        <v>2400</v>
      </c>
      <c r="R816">
        <f t="shared" si="19"/>
        <v>2400</v>
      </c>
      <c r="S816">
        <f t="shared" si="20"/>
        <v>2400</v>
      </c>
      <c r="T816">
        <f t="shared" si="21"/>
        <v>2400</v>
      </c>
    </row>
    <row r="817" spans="1:20" x14ac:dyDescent="0.4">
      <c r="A817">
        <v>2045</v>
      </c>
      <c r="B817">
        <v>2.4</v>
      </c>
      <c r="C817">
        <v>2.4</v>
      </c>
      <c r="D817">
        <v>2.4</v>
      </c>
      <c r="E817">
        <v>2.4</v>
      </c>
      <c r="F817">
        <v>2.4</v>
      </c>
      <c r="G817">
        <v>2.4</v>
      </c>
      <c r="H817">
        <v>2.4</v>
      </c>
      <c r="I817">
        <v>2.4</v>
      </c>
      <c r="J817">
        <v>2.4</v>
      </c>
      <c r="L817">
        <f t="shared" si="13"/>
        <v>2400</v>
      </c>
      <c r="M817">
        <f t="shared" si="14"/>
        <v>2400</v>
      </c>
      <c r="N817">
        <f t="shared" si="15"/>
        <v>2400</v>
      </c>
      <c r="O817">
        <f t="shared" si="16"/>
        <v>2400</v>
      </c>
      <c r="P817">
        <f t="shared" si="17"/>
        <v>2400</v>
      </c>
      <c r="Q817">
        <f t="shared" si="18"/>
        <v>2400</v>
      </c>
      <c r="R817">
        <f t="shared" si="19"/>
        <v>2400</v>
      </c>
      <c r="S817">
        <f t="shared" si="20"/>
        <v>2400</v>
      </c>
      <c r="T817">
        <f t="shared" si="21"/>
        <v>2400</v>
      </c>
    </row>
    <row r="818" spans="1:20" x14ac:dyDescent="0.4">
      <c r="A818">
        <v>2046</v>
      </c>
      <c r="B818">
        <v>2.4</v>
      </c>
      <c r="C818">
        <v>2.4</v>
      </c>
      <c r="D818">
        <v>2.4</v>
      </c>
      <c r="E818">
        <v>2.4</v>
      </c>
      <c r="F818">
        <v>2.4</v>
      </c>
      <c r="G818">
        <v>2.4</v>
      </c>
      <c r="H818">
        <v>2.4</v>
      </c>
      <c r="I818">
        <v>2.4</v>
      </c>
      <c r="J818">
        <v>2.4</v>
      </c>
      <c r="L818">
        <f t="shared" si="13"/>
        <v>2400</v>
      </c>
      <c r="M818">
        <f t="shared" si="14"/>
        <v>2400</v>
      </c>
      <c r="N818">
        <f t="shared" si="15"/>
        <v>2400</v>
      </c>
      <c r="O818">
        <f t="shared" si="16"/>
        <v>2400</v>
      </c>
      <c r="P818">
        <f t="shared" si="17"/>
        <v>2400</v>
      </c>
      <c r="Q818">
        <f t="shared" si="18"/>
        <v>2400</v>
      </c>
      <c r="R818">
        <f t="shared" si="19"/>
        <v>2400</v>
      </c>
      <c r="S818">
        <f t="shared" si="20"/>
        <v>2400</v>
      </c>
      <c r="T818">
        <f t="shared" si="21"/>
        <v>2400</v>
      </c>
    </row>
    <row r="819" spans="1:20" x14ac:dyDescent="0.4">
      <c r="A819">
        <v>2047</v>
      </c>
      <c r="B819">
        <v>2.4</v>
      </c>
      <c r="C819">
        <v>2.4</v>
      </c>
      <c r="D819">
        <v>2.4</v>
      </c>
      <c r="E819">
        <v>2.4</v>
      </c>
      <c r="F819">
        <v>2.4</v>
      </c>
      <c r="G819">
        <v>2.4</v>
      </c>
      <c r="H819">
        <v>2.4</v>
      </c>
      <c r="I819">
        <v>2.4</v>
      </c>
      <c r="J819">
        <v>2.4</v>
      </c>
      <c r="L819">
        <f t="shared" si="13"/>
        <v>2400</v>
      </c>
      <c r="M819">
        <f t="shared" si="14"/>
        <v>2400</v>
      </c>
      <c r="N819">
        <f t="shared" si="15"/>
        <v>2400</v>
      </c>
      <c r="O819">
        <f t="shared" si="16"/>
        <v>2400</v>
      </c>
      <c r="P819">
        <f t="shared" si="17"/>
        <v>2400</v>
      </c>
      <c r="Q819">
        <f t="shared" si="18"/>
        <v>2400</v>
      </c>
      <c r="R819">
        <f t="shared" si="19"/>
        <v>2400</v>
      </c>
      <c r="S819">
        <f t="shared" si="20"/>
        <v>2400</v>
      </c>
      <c r="T819">
        <f t="shared" si="21"/>
        <v>2400</v>
      </c>
    </row>
    <row r="820" spans="1:20" x14ac:dyDescent="0.4">
      <c r="A820">
        <v>2048</v>
      </c>
      <c r="B820">
        <v>2.4</v>
      </c>
      <c r="C820">
        <v>2.4</v>
      </c>
      <c r="D820">
        <v>2.4</v>
      </c>
      <c r="E820">
        <v>2.4</v>
      </c>
      <c r="F820">
        <v>2.4</v>
      </c>
      <c r="G820">
        <v>2.4</v>
      </c>
      <c r="H820">
        <v>2.4</v>
      </c>
      <c r="I820">
        <v>2.4</v>
      </c>
      <c r="J820">
        <v>2.4</v>
      </c>
      <c r="L820">
        <f t="shared" si="13"/>
        <v>2400</v>
      </c>
      <c r="M820">
        <f t="shared" si="14"/>
        <v>2400</v>
      </c>
      <c r="N820">
        <f t="shared" si="15"/>
        <v>2400</v>
      </c>
      <c r="O820">
        <f t="shared" si="16"/>
        <v>2400</v>
      </c>
      <c r="P820">
        <f t="shared" si="17"/>
        <v>2400</v>
      </c>
      <c r="Q820">
        <f t="shared" si="18"/>
        <v>2400</v>
      </c>
      <c r="R820">
        <f t="shared" si="19"/>
        <v>2400</v>
      </c>
      <c r="S820">
        <f t="shared" si="20"/>
        <v>2400</v>
      </c>
      <c r="T820">
        <f t="shared" si="21"/>
        <v>2400</v>
      </c>
    </row>
    <row r="821" spans="1:20" x14ac:dyDescent="0.4">
      <c r="A821">
        <v>2049</v>
      </c>
      <c r="B821">
        <v>0</v>
      </c>
      <c r="C821">
        <v>2.4</v>
      </c>
      <c r="D821">
        <v>2.4</v>
      </c>
      <c r="E821">
        <v>2.4</v>
      </c>
      <c r="F821">
        <v>2.4</v>
      </c>
      <c r="G821">
        <v>2.4</v>
      </c>
      <c r="H821">
        <v>2.4</v>
      </c>
      <c r="I821">
        <v>2.4</v>
      </c>
      <c r="J821">
        <v>2.4</v>
      </c>
      <c r="L821">
        <f t="shared" si="13"/>
        <v>0</v>
      </c>
      <c r="M821">
        <f t="shared" si="14"/>
        <v>2400</v>
      </c>
      <c r="N821">
        <f t="shared" si="15"/>
        <v>2400</v>
      </c>
      <c r="O821">
        <f t="shared" si="16"/>
        <v>2400</v>
      </c>
      <c r="P821">
        <f t="shared" si="17"/>
        <v>2400</v>
      </c>
      <c r="Q821">
        <f t="shared" si="18"/>
        <v>2400</v>
      </c>
      <c r="R821">
        <f t="shared" si="19"/>
        <v>2400</v>
      </c>
      <c r="S821">
        <f t="shared" si="20"/>
        <v>2400</v>
      </c>
      <c r="T821">
        <f t="shared" si="21"/>
        <v>2400</v>
      </c>
    </row>
    <row r="822" spans="1:20" x14ac:dyDescent="0.4">
      <c r="A822">
        <v>2050</v>
      </c>
      <c r="B822">
        <v>0</v>
      </c>
      <c r="C822">
        <v>2.4</v>
      </c>
      <c r="D822">
        <v>2.4</v>
      </c>
      <c r="E822">
        <v>2.4</v>
      </c>
      <c r="F822">
        <v>2.4</v>
      </c>
      <c r="G822">
        <v>2.4</v>
      </c>
      <c r="H822">
        <v>2.4</v>
      </c>
      <c r="I822">
        <v>2.4</v>
      </c>
      <c r="J822">
        <v>2.4</v>
      </c>
      <c r="L822">
        <f t="shared" si="13"/>
        <v>0</v>
      </c>
      <c r="M822">
        <f t="shared" si="14"/>
        <v>2400</v>
      </c>
      <c r="N822">
        <f t="shared" si="15"/>
        <v>2400</v>
      </c>
      <c r="O822">
        <f t="shared" si="16"/>
        <v>2400</v>
      </c>
      <c r="P822">
        <f t="shared" si="17"/>
        <v>2400</v>
      </c>
      <c r="Q822">
        <f t="shared" si="18"/>
        <v>2400</v>
      </c>
      <c r="R822">
        <f t="shared" si="19"/>
        <v>2400</v>
      </c>
      <c r="S822">
        <f t="shared" si="20"/>
        <v>2400</v>
      </c>
      <c r="T822">
        <f t="shared" si="21"/>
        <v>2400</v>
      </c>
    </row>
    <row r="823" spans="1:20" x14ac:dyDescent="0.4">
      <c r="A823">
        <v>2051</v>
      </c>
      <c r="B823">
        <v>0</v>
      </c>
      <c r="C823">
        <v>2.4</v>
      </c>
      <c r="D823">
        <v>2.4</v>
      </c>
      <c r="E823">
        <v>2.4</v>
      </c>
      <c r="F823">
        <v>2.4</v>
      </c>
      <c r="G823">
        <v>2.4</v>
      </c>
      <c r="H823">
        <v>2.4</v>
      </c>
      <c r="I823">
        <v>2.4</v>
      </c>
      <c r="J823">
        <v>2.4</v>
      </c>
      <c r="L823">
        <f t="shared" si="13"/>
        <v>0</v>
      </c>
      <c r="M823">
        <f t="shared" si="14"/>
        <v>2400</v>
      </c>
      <c r="N823">
        <f t="shared" si="15"/>
        <v>2400</v>
      </c>
      <c r="O823">
        <f t="shared" si="16"/>
        <v>2400</v>
      </c>
      <c r="P823">
        <f t="shared" si="17"/>
        <v>2400</v>
      </c>
      <c r="Q823">
        <f t="shared" si="18"/>
        <v>2400</v>
      </c>
      <c r="R823">
        <f t="shared" si="19"/>
        <v>2400</v>
      </c>
      <c r="S823">
        <f t="shared" si="20"/>
        <v>2400</v>
      </c>
      <c r="T823">
        <f t="shared" si="21"/>
        <v>2400</v>
      </c>
    </row>
    <row r="824" spans="1:20" x14ac:dyDescent="0.4">
      <c r="A824">
        <v>2052</v>
      </c>
      <c r="B824">
        <v>0</v>
      </c>
      <c r="C824">
        <v>2.4</v>
      </c>
      <c r="D824">
        <v>2.4</v>
      </c>
      <c r="E824">
        <v>2.4</v>
      </c>
      <c r="F824">
        <v>2.4</v>
      </c>
      <c r="G824">
        <v>2.4</v>
      </c>
      <c r="H824">
        <v>2.4</v>
      </c>
      <c r="I824">
        <v>2.4</v>
      </c>
      <c r="J824">
        <v>2.4</v>
      </c>
      <c r="L824">
        <f t="shared" si="13"/>
        <v>0</v>
      </c>
      <c r="M824">
        <f t="shared" si="14"/>
        <v>2400</v>
      </c>
      <c r="N824">
        <f t="shared" si="15"/>
        <v>2400</v>
      </c>
      <c r="O824">
        <f t="shared" si="16"/>
        <v>2400</v>
      </c>
      <c r="P824">
        <f t="shared" si="17"/>
        <v>2400</v>
      </c>
      <c r="Q824">
        <f t="shared" si="18"/>
        <v>2400</v>
      </c>
      <c r="R824">
        <f t="shared" si="19"/>
        <v>2400</v>
      </c>
      <c r="S824">
        <f t="shared" si="20"/>
        <v>2400</v>
      </c>
      <c r="T824">
        <f t="shared" si="21"/>
        <v>2400</v>
      </c>
    </row>
    <row r="825" spans="1:20" x14ac:dyDescent="0.4">
      <c r="A825">
        <v>2053</v>
      </c>
      <c r="B825">
        <v>0</v>
      </c>
      <c r="C825">
        <v>2.4</v>
      </c>
      <c r="D825">
        <v>2.4</v>
      </c>
      <c r="E825">
        <v>2.4</v>
      </c>
      <c r="F825">
        <v>2.4</v>
      </c>
      <c r="G825">
        <v>2.4</v>
      </c>
      <c r="H825">
        <v>2.4</v>
      </c>
      <c r="I825">
        <v>2.4</v>
      </c>
      <c r="J825">
        <v>2.4</v>
      </c>
      <c r="L825">
        <f t="shared" si="13"/>
        <v>0</v>
      </c>
      <c r="M825">
        <f t="shared" si="14"/>
        <v>2400</v>
      </c>
      <c r="N825">
        <f t="shared" si="15"/>
        <v>2400</v>
      </c>
      <c r="O825">
        <f t="shared" si="16"/>
        <v>2400</v>
      </c>
      <c r="P825">
        <f t="shared" si="17"/>
        <v>2400</v>
      </c>
      <c r="Q825">
        <f t="shared" si="18"/>
        <v>2400</v>
      </c>
      <c r="R825">
        <f t="shared" si="19"/>
        <v>2400</v>
      </c>
      <c r="S825">
        <f t="shared" si="20"/>
        <v>2400</v>
      </c>
      <c r="T825">
        <f t="shared" si="21"/>
        <v>2400</v>
      </c>
    </row>
    <row r="826" spans="1:20" x14ac:dyDescent="0.4">
      <c r="A826">
        <v>2054</v>
      </c>
      <c r="B826">
        <v>0</v>
      </c>
      <c r="C826">
        <v>2.4</v>
      </c>
      <c r="D826">
        <v>2.4</v>
      </c>
      <c r="E826">
        <v>2.4</v>
      </c>
      <c r="F826">
        <v>2.4</v>
      </c>
      <c r="G826">
        <v>2.4</v>
      </c>
      <c r="H826">
        <v>2.4</v>
      </c>
      <c r="I826">
        <v>2.4</v>
      </c>
      <c r="J826">
        <v>2.4</v>
      </c>
      <c r="L826">
        <f t="shared" si="13"/>
        <v>0</v>
      </c>
      <c r="M826">
        <f t="shared" si="14"/>
        <v>2400</v>
      </c>
      <c r="N826">
        <f t="shared" si="15"/>
        <v>2400</v>
      </c>
      <c r="O826">
        <f t="shared" si="16"/>
        <v>2400</v>
      </c>
      <c r="P826">
        <f t="shared" si="17"/>
        <v>2400</v>
      </c>
      <c r="Q826">
        <f t="shared" si="18"/>
        <v>2400</v>
      </c>
      <c r="R826">
        <f t="shared" si="19"/>
        <v>2400</v>
      </c>
      <c r="S826">
        <f t="shared" si="20"/>
        <v>2400</v>
      </c>
      <c r="T826">
        <f t="shared" si="21"/>
        <v>2400</v>
      </c>
    </row>
    <row r="827" spans="1:20" x14ac:dyDescent="0.4">
      <c r="A827">
        <v>2055</v>
      </c>
      <c r="B827">
        <v>0</v>
      </c>
      <c r="C827">
        <v>2.4</v>
      </c>
      <c r="D827">
        <v>2.4</v>
      </c>
      <c r="E827">
        <v>2.4</v>
      </c>
      <c r="F827">
        <v>2.4</v>
      </c>
      <c r="G827">
        <v>2.4</v>
      </c>
      <c r="H827">
        <v>2.4</v>
      </c>
      <c r="I827">
        <v>2.4</v>
      </c>
      <c r="J827">
        <v>2.4</v>
      </c>
      <c r="L827">
        <f t="shared" si="13"/>
        <v>0</v>
      </c>
      <c r="M827">
        <f t="shared" si="14"/>
        <v>2400</v>
      </c>
      <c r="N827">
        <f t="shared" si="15"/>
        <v>2400</v>
      </c>
      <c r="O827">
        <f t="shared" si="16"/>
        <v>2400</v>
      </c>
      <c r="P827">
        <f t="shared" si="17"/>
        <v>2400</v>
      </c>
      <c r="Q827">
        <f t="shared" si="18"/>
        <v>2400</v>
      </c>
      <c r="R827">
        <f t="shared" si="19"/>
        <v>2400</v>
      </c>
      <c r="S827">
        <f t="shared" si="20"/>
        <v>2400</v>
      </c>
      <c r="T827">
        <f t="shared" si="21"/>
        <v>2400</v>
      </c>
    </row>
    <row r="828" spans="1:20" x14ac:dyDescent="0.4">
      <c r="A828">
        <v>2056</v>
      </c>
      <c r="B828">
        <v>0</v>
      </c>
      <c r="C828">
        <v>2.4</v>
      </c>
      <c r="D828">
        <v>2.4</v>
      </c>
      <c r="E828">
        <v>2.4</v>
      </c>
      <c r="F828">
        <v>2.4</v>
      </c>
      <c r="G828">
        <v>2.4</v>
      </c>
      <c r="H828">
        <v>2.4</v>
      </c>
      <c r="I828">
        <v>2.4</v>
      </c>
      <c r="J828">
        <v>2.4</v>
      </c>
      <c r="L828">
        <f t="shared" si="13"/>
        <v>0</v>
      </c>
      <c r="M828">
        <f t="shared" si="14"/>
        <v>2400</v>
      </c>
      <c r="N828">
        <f t="shared" si="15"/>
        <v>2400</v>
      </c>
      <c r="O828">
        <f t="shared" si="16"/>
        <v>2400</v>
      </c>
      <c r="P828">
        <f t="shared" si="17"/>
        <v>2400</v>
      </c>
      <c r="Q828">
        <f t="shared" si="18"/>
        <v>2400</v>
      </c>
      <c r="R828">
        <f t="shared" si="19"/>
        <v>2400</v>
      </c>
      <c r="S828">
        <f t="shared" si="20"/>
        <v>2400</v>
      </c>
      <c r="T828">
        <f t="shared" si="21"/>
        <v>2400</v>
      </c>
    </row>
    <row r="829" spans="1:20" x14ac:dyDescent="0.4">
      <c r="A829">
        <v>2057</v>
      </c>
      <c r="B829">
        <v>0</v>
      </c>
      <c r="C829">
        <v>2.4</v>
      </c>
      <c r="D829">
        <v>2.4</v>
      </c>
      <c r="E829">
        <v>2.4</v>
      </c>
      <c r="F829">
        <v>2.4</v>
      </c>
      <c r="G829">
        <v>2.4</v>
      </c>
      <c r="H829">
        <v>2.4</v>
      </c>
      <c r="I829">
        <v>2.4</v>
      </c>
      <c r="J829">
        <v>2.4</v>
      </c>
      <c r="L829">
        <f t="shared" si="13"/>
        <v>0</v>
      </c>
      <c r="M829">
        <f t="shared" si="14"/>
        <v>2400</v>
      </c>
      <c r="N829">
        <f t="shared" si="15"/>
        <v>2400</v>
      </c>
      <c r="O829">
        <f t="shared" si="16"/>
        <v>2400</v>
      </c>
      <c r="P829">
        <f t="shared" si="17"/>
        <v>2400</v>
      </c>
      <c r="Q829">
        <f t="shared" si="18"/>
        <v>2400</v>
      </c>
      <c r="R829">
        <f t="shared" si="19"/>
        <v>2400</v>
      </c>
      <c r="S829">
        <f t="shared" si="20"/>
        <v>2400</v>
      </c>
      <c r="T829">
        <f t="shared" si="21"/>
        <v>2400</v>
      </c>
    </row>
    <row r="830" spans="1:20" x14ac:dyDescent="0.4">
      <c r="A830">
        <v>2058</v>
      </c>
      <c r="B830">
        <v>0</v>
      </c>
      <c r="C830">
        <v>2.4</v>
      </c>
      <c r="D830">
        <v>2.4</v>
      </c>
      <c r="E830">
        <v>2.4</v>
      </c>
      <c r="F830">
        <v>2.4</v>
      </c>
      <c r="G830">
        <v>2.4</v>
      </c>
      <c r="H830">
        <v>2.4</v>
      </c>
      <c r="I830">
        <v>2.4</v>
      </c>
      <c r="J830">
        <v>2.4</v>
      </c>
      <c r="L830">
        <f t="shared" si="13"/>
        <v>0</v>
      </c>
      <c r="M830">
        <f t="shared" si="14"/>
        <v>2400</v>
      </c>
      <c r="N830">
        <f t="shared" si="15"/>
        <v>2400</v>
      </c>
      <c r="O830">
        <f t="shared" si="16"/>
        <v>2400</v>
      </c>
      <c r="P830">
        <f t="shared" si="17"/>
        <v>2400</v>
      </c>
      <c r="Q830">
        <f t="shared" si="18"/>
        <v>2400</v>
      </c>
      <c r="R830">
        <f t="shared" si="19"/>
        <v>2400</v>
      </c>
      <c r="S830">
        <f t="shared" si="20"/>
        <v>2400</v>
      </c>
      <c r="T830">
        <f t="shared" si="21"/>
        <v>2400</v>
      </c>
    </row>
    <row r="831" spans="1:20" x14ac:dyDescent="0.4">
      <c r="A831">
        <v>2059</v>
      </c>
      <c r="B831">
        <v>0</v>
      </c>
      <c r="C831">
        <v>2.4</v>
      </c>
      <c r="D831">
        <v>2.4</v>
      </c>
      <c r="E831">
        <v>2.4</v>
      </c>
      <c r="F831">
        <v>2.4</v>
      </c>
      <c r="G831">
        <v>2.4</v>
      </c>
      <c r="H831">
        <v>2.4</v>
      </c>
      <c r="I831">
        <v>2.4</v>
      </c>
      <c r="J831">
        <v>2.4</v>
      </c>
      <c r="L831">
        <f t="shared" si="13"/>
        <v>0</v>
      </c>
      <c r="M831">
        <f t="shared" si="14"/>
        <v>2400</v>
      </c>
      <c r="N831">
        <f t="shared" si="15"/>
        <v>2400</v>
      </c>
      <c r="O831">
        <f t="shared" si="16"/>
        <v>2400</v>
      </c>
      <c r="P831">
        <f t="shared" si="17"/>
        <v>2400</v>
      </c>
      <c r="Q831">
        <f t="shared" si="18"/>
        <v>2400</v>
      </c>
      <c r="R831">
        <f t="shared" si="19"/>
        <v>2400</v>
      </c>
      <c r="S831">
        <f t="shared" si="20"/>
        <v>2400</v>
      </c>
      <c r="T831">
        <f t="shared" si="21"/>
        <v>2400</v>
      </c>
    </row>
    <row r="832" spans="1:20" x14ac:dyDescent="0.4">
      <c r="A832">
        <v>2060</v>
      </c>
      <c r="B832">
        <v>0</v>
      </c>
      <c r="C832">
        <v>2.4</v>
      </c>
      <c r="D832">
        <v>2.4</v>
      </c>
      <c r="E832">
        <v>2.4</v>
      </c>
      <c r="F832">
        <v>2.4</v>
      </c>
      <c r="G832">
        <v>2.4</v>
      </c>
      <c r="H832">
        <v>2.4</v>
      </c>
      <c r="I832">
        <v>2.4</v>
      </c>
      <c r="J832">
        <v>2.4</v>
      </c>
      <c r="L832">
        <f t="shared" si="13"/>
        <v>0</v>
      </c>
      <c r="M832">
        <f t="shared" si="14"/>
        <v>2400</v>
      </c>
      <c r="N832">
        <f t="shared" si="15"/>
        <v>2400</v>
      </c>
      <c r="O832">
        <f t="shared" si="16"/>
        <v>2400</v>
      </c>
      <c r="P832">
        <f t="shared" si="17"/>
        <v>2400</v>
      </c>
      <c r="Q832">
        <f t="shared" si="18"/>
        <v>2400</v>
      </c>
      <c r="R832">
        <f t="shared" si="19"/>
        <v>2400</v>
      </c>
      <c r="S832">
        <f t="shared" si="20"/>
        <v>2400</v>
      </c>
      <c r="T832">
        <f t="shared" si="21"/>
        <v>2400</v>
      </c>
    </row>
    <row r="833" spans="1:20" x14ac:dyDescent="0.4">
      <c r="A833">
        <v>2061</v>
      </c>
      <c r="B833">
        <v>0</v>
      </c>
      <c r="C833">
        <v>2.4</v>
      </c>
      <c r="D833">
        <v>2.4</v>
      </c>
      <c r="E833">
        <v>2.4</v>
      </c>
      <c r="F833">
        <v>2.4</v>
      </c>
      <c r="G833">
        <v>2.4</v>
      </c>
      <c r="H833">
        <v>2.4</v>
      </c>
      <c r="I833">
        <v>2.4</v>
      </c>
      <c r="J833">
        <v>2.4</v>
      </c>
      <c r="L833">
        <f t="shared" si="13"/>
        <v>0</v>
      </c>
      <c r="M833">
        <f t="shared" si="14"/>
        <v>2400</v>
      </c>
      <c r="N833">
        <f t="shared" si="15"/>
        <v>2400</v>
      </c>
      <c r="O833">
        <f t="shared" si="16"/>
        <v>2400</v>
      </c>
      <c r="P833">
        <f t="shared" si="17"/>
        <v>2400</v>
      </c>
      <c r="Q833">
        <f t="shared" si="18"/>
        <v>2400</v>
      </c>
      <c r="R833">
        <f t="shared" si="19"/>
        <v>2400</v>
      </c>
      <c r="S833">
        <f t="shared" si="20"/>
        <v>2400</v>
      </c>
      <c r="T833">
        <f t="shared" si="21"/>
        <v>2400</v>
      </c>
    </row>
    <row r="834" spans="1:20" x14ac:dyDescent="0.4">
      <c r="A834">
        <v>2062</v>
      </c>
      <c r="B834">
        <v>0</v>
      </c>
      <c r="C834">
        <v>2.4</v>
      </c>
      <c r="D834">
        <v>2.4</v>
      </c>
      <c r="E834">
        <v>2.4</v>
      </c>
      <c r="F834">
        <v>2.4</v>
      </c>
      <c r="G834">
        <v>2.4</v>
      </c>
      <c r="H834">
        <v>2.4</v>
      </c>
      <c r="I834">
        <v>2.4</v>
      </c>
      <c r="J834">
        <v>2.4</v>
      </c>
      <c r="L834">
        <f t="shared" si="13"/>
        <v>0</v>
      </c>
      <c r="M834">
        <f t="shared" si="14"/>
        <v>2400</v>
      </c>
      <c r="N834">
        <f t="shared" si="15"/>
        <v>2400</v>
      </c>
      <c r="O834">
        <f t="shared" si="16"/>
        <v>2400</v>
      </c>
      <c r="P834">
        <f t="shared" si="17"/>
        <v>2400</v>
      </c>
      <c r="Q834">
        <f t="shared" si="18"/>
        <v>2400</v>
      </c>
      <c r="R834">
        <f t="shared" si="19"/>
        <v>2400</v>
      </c>
      <c r="S834">
        <f t="shared" si="20"/>
        <v>2400</v>
      </c>
      <c r="T834">
        <f t="shared" si="21"/>
        <v>2400</v>
      </c>
    </row>
    <row r="835" spans="1:20" x14ac:dyDescent="0.4">
      <c r="A835">
        <v>2063</v>
      </c>
      <c r="B835">
        <v>0</v>
      </c>
      <c r="C835">
        <v>2.4</v>
      </c>
      <c r="D835">
        <v>2.4</v>
      </c>
      <c r="E835">
        <v>2.4</v>
      </c>
      <c r="F835">
        <v>2.4</v>
      </c>
      <c r="G835">
        <v>2.4</v>
      </c>
      <c r="H835">
        <v>2.4</v>
      </c>
      <c r="I835">
        <v>2.4</v>
      </c>
      <c r="J835">
        <v>2.4</v>
      </c>
      <c r="L835">
        <f t="shared" si="13"/>
        <v>0</v>
      </c>
      <c r="M835">
        <f t="shared" si="14"/>
        <v>2400</v>
      </c>
      <c r="N835">
        <f t="shared" si="15"/>
        <v>2400</v>
      </c>
      <c r="O835">
        <f t="shared" si="16"/>
        <v>2400</v>
      </c>
      <c r="P835">
        <f t="shared" si="17"/>
        <v>2400</v>
      </c>
      <c r="Q835">
        <f t="shared" si="18"/>
        <v>2400</v>
      </c>
      <c r="R835">
        <f t="shared" si="19"/>
        <v>2400</v>
      </c>
      <c r="S835">
        <f t="shared" si="20"/>
        <v>2400</v>
      </c>
      <c r="T835">
        <f t="shared" si="21"/>
        <v>2400</v>
      </c>
    </row>
    <row r="836" spans="1:20" x14ac:dyDescent="0.4">
      <c r="A836">
        <v>2064</v>
      </c>
      <c r="B836">
        <v>0</v>
      </c>
      <c r="C836">
        <v>2.4</v>
      </c>
      <c r="D836">
        <v>2.4</v>
      </c>
      <c r="E836">
        <v>2.4</v>
      </c>
      <c r="F836">
        <v>2.4</v>
      </c>
      <c r="G836">
        <v>2.4</v>
      </c>
      <c r="H836">
        <v>2.4</v>
      </c>
      <c r="I836">
        <v>2.4</v>
      </c>
      <c r="J836">
        <v>2.4</v>
      </c>
      <c r="L836">
        <f t="shared" si="13"/>
        <v>0</v>
      </c>
      <c r="M836">
        <f t="shared" si="14"/>
        <v>2400</v>
      </c>
      <c r="N836">
        <f t="shared" si="15"/>
        <v>2400</v>
      </c>
      <c r="O836">
        <f t="shared" si="16"/>
        <v>2400</v>
      </c>
      <c r="P836">
        <f t="shared" si="17"/>
        <v>2400</v>
      </c>
      <c r="Q836">
        <f t="shared" si="18"/>
        <v>2400</v>
      </c>
      <c r="R836">
        <f t="shared" si="19"/>
        <v>2400</v>
      </c>
      <c r="S836">
        <f t="shared" si="20"/>
        <v>2400</v>
      </c>
      <c r="T836">
        <f t="shared" si="21"/>
        <v>2400</v>
      </c>
    </row>
    <row r="837" spans="1:20" x14ac:dyDescent="0.4">
      <c r="A837">
        <v>2065</v>
      </c>
      <c r="B837">
        <v>0</v>
      </c>
      <c r="C837">
        <v>2.4</v>
      </c>
      <c r="D837">
        <v>2.4</v>
      </c>
      <c r="E837">
        <v>2.4</v>
      </c>
      <c r="F837">
        <v>2.4</v>
      </c>
      <c r="G837">
        <v>2.4</v>
      </c>
      <c r="H837">
        <v>2.4</v>
      </c>
      <c r="I837">
        <v>2.4</v>
      </c>
      <c r="J837">
        <v>2.4</v>
      </c>
      <c r="L837">
        <f t="shared" si="13"/>
        <v>0</v>
      </c>
      <c r="M837">
        <f t="shared" si="14"/>
        <v>2400</v>
      </c>
      <c r="N837">
        <f t="shared" si="15"/>
        <v>2400</v>
      </c>
      <c r="O837">
        <f t="shared" si="16"/>
        <v>2400</v>
      </c>
      <c r="P837">
        <f t="shared" si="17"/>
        <v>2400</v>
      </c>
      <c r="Q837">
        <f t="shared" si="18"/>
        <v>2400</v>
      </c>
      <c r="R837">
        <f t="shared" si="19"/>
        <v>2400</v>
      </c>
      <c r="S837">
        <f t="shared" si="20"/>
        <v>2400</v>
      </c>
      <c r="T837">
        <f t="shared" si="21"/>
        <v>2400</v>
      </c>
    </row>
    <row r="838" spans="1:20" x14ac:dyDescent="0.4">
      <c r="A838">
        <v>2066</v>
      </c>
      <c r="B838">
        <v>0</v>
      </c>
      <c r="C838">
        <v>2.4</v>
      </c>
      <c r="D838">
        <v>2.4</v>
      </c>
      <c r="E838">
        <v>2.4</v>
      </c>
      <c r="F838">
        <v>2.4</v>
      </c>
      <c r="G838">
        <v>2.4</v>
      </c>
      <c r="H838">
        <v>2.4</v>
      </c>
      <c r="I838">
        <v>2.4</v>
      </c>
      <c r="J838">
        <v>2.4</v>
      </c>
      <c r="L838">
        <f t="shared" si="13"/>
        <v>0</v>
      </c>
      <c r="M838">
        <f t="shared" si="14"/>
        <v>2400</v>
      </c>
      <c r="N838">
        <f t="shared" si="15"/>
        <v>2400</v>
      </c>
      <c r="O838">
        <f t="shared" si="16"/>
        <v>2400</v>
      </c>
      <c r="P838">
        <f t="shared" si="17"/>
        <v>2400</v>
      </c>
      <c r="Q838">
        <f t="shared" si="18"/>
        <v>2400</v>
      </c>
      <c r="R838">
        <f t="shared" si="19"/>
        <v>2400</v>
      </c>
      <c r="S838">
        <f t="shared" si="20"/>
        <v>2400</v>
      </c>
      <c r="T838">
        <f t="shared" si="21"/>
        <v>2400</v>
      </c>
    </row>
    <row r="839" spans="1:20" x14ac:dyDescent="0.4">
      <c r="A839">
        <v>2067</v>
      </c>
      <c r="B839">
        <v>0</v>
      </c>
      <c r="C839">
        <v>2.4</v>
      </c>
      <c r="D839">
        <v>2.4</v>
      </c>
      <c r="E839">
        <v>2.4</v>
      </c>
      <c r="F839">
        <v>2.4</v>
      </c>
      <c r="G839">
        <v>2.4</v>
      </c>
      <c r="H839">
        <v>2.4</v>
      </c>
      <c r="I839">
        <v>2.4</v>
      </c>
      <c r="J839">
        <v>2.4</v>
      </c>
      <c r="L839">
        <f t="shared" si="13"/>
        <v>0</v>
      </c>
      <c r="M839">
        <f t="shared" si="14"/>
        <v>2400</v>
      </c>
      <c r="N839">
        <f t="shared" si="15"/>
        <v>2400</v>
      </c>
      <c r="O839">
        <f t="shared" si="16"/>
        <v>2400</v>
      </c>
      <c r="P839">
        <f t="shared" si="17"/>
        <v>2400</v>
      </c>
      <c r="Q839">
        <f t="shared" si="18"/>
        <v>2400</v>
      </c>
      <c r="R839">
        <f t="shared" si="19"/>
        <v>2400</v>
      </c>
      <c r="S839">
        <f t="shared" si="20"/>
        <v>2400</v>
      </c>
      <c r="T839">
        <f t="shared" si="21"/>
        <v>2400</v>
      </c>
    </row>
    <row r="840" spans="1:20" x14ac:dyDescent="0.4">
      <c r="A840">
        <v>2068</v>
      </c>
      <c r="B840">
        <v>0</v>
      </c>
      <c r="C840">
        <v>2.4</v>
      </c>
      <c r="D840">
        <v>2.4</v>
      </c>
      <c r="E840">
        <v>2.4</v>
      </c>
      <c r="F840">
        <v>2.4</v>
      </c>
      <c r="G840">
        <v>2.4</v>
      </c>
      <c r="H840">
        <v>2.4</v>
      </c>
      <c r="I840">
        <v>2.4</v>
      </c>
      <c r="J840">
        <v>2.4</v>
      </c>
      <c r="L840">
        <f t="shared" si="13"/>
        <v>0</v>
      </c>
      <c r="M840">
        <f t="shared" si="14"/>
        <v>2400</v>
      </c>
      <c r="N840">
        <f t="shared" si="15"/>
        <v>2400</v>
      </c>
      <c r="O840">
        <f t="shared" si="16"/>
        <v>2400</v>
      </c>
      <c r="P840">
        <f t="shared" si="17"/>
        <v>2400</v>
      </c>
      <c r="Q840">
        <f t="shared" si="18"/>
        <v>2400</v>
      </c>
      <c r="R840">
        <f t="shared" si="19"/>
        <v>2400</v>
      </c>
      <c r="S840">
        <f t="shared" si="20"/>
        <v>2400</v>
      </c>
      <c r="T840">
        <f t="shared" si="21"/>
        <v>2400</v>
      </c>
    </row>
    <row r="841" spans="1:20" x14ac:dyDescent="0.4">
      <c r="A841">
        <v>2069</v>
      </c>
      <c r="B841">
        <v>0</v>
      </c>
      <c r="C841">
        <v>2.4</v>
      </c>
      <c r="D841">
        <v>2.4</v>
      </c>
      <c r="E841">
        <v>2.4</v>
      </c>
      <c r="F841">
        <v>2.4</v>
      </c>
      <c r="G841">
        <v>2.4</v>
      </c>
      <c r="H841">
        <v>2.4</v>
      </c>
      <c r="I841">
        <v>2.4</v>
      </c>
      <c r="J841">
        <v>2.4</v>
      </c>
      <c r="L841">
        <f t="shared" si="13"/>
        <v>0</v>
      </c>
      <c r="M841">
        <f t="shared" si="14"/>
        <v>2400</v>
      </c>
      <c r="N841">
        <f t="shared" si="15"/>
        <v>2400</v>
      </c>
      <c r="O841">
        <f t="shared" si="16"/>
        <v>2400</v>
      </c>
      <c r="P841">
        <f t="shared" si="17"/>
        <v>2400</v>
      </c>
      <c r="Q841">
        <f t="shared" si="18"/>
        <v>2400</v>
      </c>
      <c r="R841">
        <f t="shared" si="19"/>
        <v>2400</v>
      </c>
      <c r="S841">
        <f t="shared" si="20"/>
        <v>2400</v>
      </c>
      <c r="T841">
        <f t="shared" si="21"/>
        <v>2400</v>
      </c>
    </row>
    <row r="842" spans="1:20" x14ac:dyDescent="0.4">
      <c r="A842">
        <v>2070</v>
      </c>
      <c r="B842">
        <v>0</v>
      </c>
      <c r="C842">
        <v>2.4</v>
      </c>
      <c r="D842">
        <v>2.4</v>
      </c>
      <c r="E842">
        <v>2.4</v>
      </c>
      <c r="F842">
        <v>2.4</v>
      </c>
      <c r="G842">
        <v>2.4</v>
      </c>
      <c r="H842">
        <v>2.4</v>
      </c>
      <c r="I842">
        <v>2.4</v>
      </c>
      <c r="J842">
        <v>2.4</v>
      </c>
      <c r="L842">
        <f t="shared" si="13"/>
        <v>0</v>
      </c>
      <c r="M842">
        <f t="shared" si="14"/>
        <v>2400</v>
      </c>
      <c r="N842">
        <f t="shared" si="15"/>
        <v>2400</v>
      </c>
      <c r="O842">
        <f t="shared" si="16"/>
        <v>2400</v>
      </c>
      <c r="P842">
        <f t="shared" si="17"/>
        <v>2400</v>
      </c>
      <c r="Q842">
        <f t="shared" si="18"/>
        <v>2400</v>
      </c>
      <c r="R842">
        <f t="shared" si="19"/>
        <v>2400</v>
      </c>
      <c r="S842">
        <f t="shared" si="20"/>
        <v>2400</v>
      </c>
      <c r="T842">
        <f t="shared" si="21"/>
        <v>2400</v>
      </c>
    </row>
    <row r="843" spans="1:20" x14ac:dyDescent="0.4">
      <c r="A843">
        <v>2071</v>
      </c>
      <c r="B843">
        <v>0</v>
      </c>
      <c r="C843">
        <v>2.4</v>
      </c>
      <c r="D843">
        <v>2.4</v>
      </c>
      <c r="E843">
        <v>2.4</v>
      </c>
      <c r="F843">
        <v>2.4</v>
      </c>
      <c r="G843">
        <v>2.4</v>
      </c>
      <c r="H843">
        <v>2.4</v>
      </c>
      <c r="I843">
        <v>2.4</v>
      </c>
      <c r="J843">
        <v>2.4</v>
      </c>
      <c r="L843">
        <f t="shared" si="13"/>
        <v>0</v>
      </c>
      <c r="M843">
        <f t="shared" si="14"/>
        <v>2400</v>
      </c>
      <c r="N843">
        <f t="shared" si="15"/>
        <v>2400</v>
      </c>
      <c r="O843">
        <f t="shared" si="16"/>
        <v>2400</v>
      </c>
      <c r="P843">
        <f t="shared" si="17"/>
        <v>2400</v>
      </c>
      <c r="Q843">
        <f t="shared" si="18"/>
        <v>2400</v>
      </c>
      <c r="R843">
        <f t="shared" si="19"/>
        <v>2400</v>
      </c>
      <c r="S843">
        <f t="shared" si="20"/>
        <v>2400</v>
      </c>
      <c r="T843">
        <f t="shared" si="21"/>
        <v>2400</v>
      </c>
    </row>
    <row r="844" spans="1:20" x14ac:dyDescent="0.4">
      <c r="A844">
        <v>2072</v>
      </c>
      <c r="B844">
        <v>0</v>
      </c>
      <c r="C844">
        <v>2.4</v>
      </c>
      <c r="D844">
        <v>2.4</v>
      </c>
      <c r="E844">
        <v>2.4</v>
      </c>
      <c r="F844">
        <v>2.4</v>
      </c>
      <c r="G844">
        <v>2.4</v>
      </c>
      <c r="H844">
        <v>2.4</v>
      </c>
      <c r="I844">
        <v>2.4</v>
      </c>
      <c r="J844">
        <v>2.4</v>
      </c>
      <c r="L844">
        <f t="shared" si="13"/>
        <v>0</v>
      </c>
      <c r="M844">
        <f t="shared" si="14"/>
        <v>2400</v>
      </c>
      <c r="N844">
        <f t="shared" si="15"/>
        <v>2400</v>
      </c>
      <c r="O844">
        <f t="shared" si="16"/>
        <v>2400</v>
      </c>
      <c r="P844">
        <f t="shared" si="17"/>
        <v>2400</v>
      </c>
      <c r="Q844">
        <f t="shared" si="18"/>
        <v>2400</v>
      </c>
      <c r="R844">
        <f t="shared" si="19"/>
        <v>2400</v>
      </c>
      <c r="S844">
        <f t="shared" si="20"/>
        <v>2400</v>
      </c>
      <c r="T844">
        <f t="shared" si="21"/>
        <v>2400</v>
      </c>
    </row>
    <row r="845" spans="1:20" x14ac:dyDescent="0.4">
      <c r="A845">
        <v>2073</v>
      </c>
      <c r="B845">
        <v>0</v>
      </c>
      <c r="C845">
        <v>2.4</v>
      </c>
      <c r="D845">
        <v>2.4</v>
      </c>
      <c r="E845">
        <v>2.4</v>
      </c>
      <c r="F845">
        <v>2.4</v>
      </c>
      <c r="G845">
        <v>2.4</v>
      </c>
      <c r="H845">
        <v>2.4</v>
      </c>
      <c r="I845">
        <v>2.4</v>
      </c>
      <c r="J845">
        <v>2.4</v>
      </c>
      <c r="L845">
        <f t="shared" si="13"/>
        <v>0</v>
      </c>
      <c r="M845">
        <f t="shared" si="14"/>
        <v>2400</v>
      </c>
      <c r="N845">
        <f t="shared" si="15"/>
        <v>2400</v>
      </c>
      <c r="O845">
        <f t="shared" si="16"/>
        <v>2400</v>
      </c>
      <c r="P845">
        <f t="shared" si="17"/>
        <v>2400</v>
      </c>
      <c r="Q845">
        <f t="shared" si="18"/>
        <v>2400</v>
      </c>
      <c r="R845">
        <f t="shared" si="19"/>
        <v>2400</v>
      </c>
      <c r="S845">
        <f t="shared" si="20"/>
        <v>2400</v>
      </c>
      <c r="T845">
        <f t="shared" si="21"/>
        <v>2400</v>
      </c>
    </row>
    <row r="846" spans="1:20" x14ac:dyDescent="0.4">
      <c r="A846">
        <v>2074</v>
      </c>
      <c r="B846">
        <v>0</v>
      </c>
      <c r="C846">
        <v>2.4</v>
      </c>
      <c r="D846">
        <v>2.4</v>
      </c>
      <c r="E846">
        <v>2.4</v>
      </c>
      <c r="F846">
        <v>2.4</v>
      </c>
      <c r="G846">
        <v>2.4</v>
      </c>
      <c r="H846">
        <v>2.4</v>
      </c>
      <c r="I846">
        <v>2.4</v>
      </c>
      <c r="J846">
        <v>2.4</v>
      </c>
      <c r="L846">
        <f t="shared" si="13"/>
        <v>0</v>
      </c>
      <c r="M846">
        <f t="shared" si="14"/>
        <v>2400</v>
      </c>
      <c r="N846">
        <f t="shared" si="15"/>
        <v>2400</v>
      </c>
      <c r="O846">
        <f t="shared" si="16"/>
        <v>2400</v>
      </c>
      <c r="P846">
        <f t="shared" si="17"/>
        <v>2400</v>
      </c>
      <c r="Q846">
        <f t="shared" si="18"/>
        <v>2400</v>
      </c>
      <c r="R846">
        <f t="shared" si="19"/>
        <v>2400</v>
      </c>
      <c r="S846">
        <f t="shared" si="20"/>
        <v>2400</v>
      </c>
      <c r="T846">
        <f t="shared" si="21"/>
        <v>2400</v>
      </c>
    </row>
    <row r="847" spans="1:20" x14ac:dyDescent="0.4">
      <c r="A847">
        <v>2075</v>
      </c>
      <c r="B847">
        <v>0</v>
      </c>
      <c r="C847">
        <v>2.4</v>
      </c>
      <c r="D847">
        <v>2.4</v>
      </c>
      <c r="E847">
        <v>2.4</v>
      </c>
      <c r="F847">
        <v>2.4</v>
      </c>
      <c r="G847">
        <v>2.4</v>
      </c>
      <c r="H847">
        <v>2.4</v>
      </c>
      <c r="I847">
        <v>2.4</v>
      </c>
      <c r="J847">
        <v>2.4</v>
      </c>
      <c r="L847">
        <f t="shared" si="13"/>
        <v>0</v>
      </c>
      <c r="M847">
        <f t="shared" si="14"/>
        <v>2400</v>
      </c>
      <c r="N847">
        <f t="shared" si="15"/>
        <v>2400</v>
      </c>
      <c r="O847">
        <f t="shared" si="16"/>
        <v>2400</v>
      </c>
      <c r="P847">
        <f t="shared" si="17"/>
        <v>2400</v>
      </c>
      <c r="Q847">
        <f t="shared" si="18"/>
        <v>2400</v>
      </c>
      <c r="R847">
        <f t="shared" si="19"/>
        <v>2400</v>
      </c>
      <c r="S847">
        <f t="shared" si="20"/>
        <v>2400</v>
      </c>
      <c r="T847">
        <f t="shared" si="21"/>
        <v>2400</v>
      </c>
    </row>
    <row r="849" spans="1:3" x14ac:dyDescent="0.4">
      <c r="A849" t="s">
        <v>26</v>
      </c>
      <c r="B849" t="s">
        <v>25</v>
      </c>
      <c r="C849" t="s">
        <v>24</v>
      </c>
    </row>
    <row r="851" spans="1:3" x14ac:dyDescent="0.4">
      <c r="A851" t="s">
        <v>22</v>
      </c>
      <c r="B851" t="s">
        <v>34</v>
      </c>
      <c r="C851" t="s">
        <v>33</v>
      </c>
    </row>
    <row r="852" spans="1:3" x14ac:dyDescent="0.4">
      <c r="A852">
        <v>2021</v>
      </c>
      <c r="B852">
        <v>0.52669999999999995</v>
      </c>
      <c r="C852">
        <v>9.5000000000000001E-2</v>
      </c>
    </row>
    <row r="853" spans="1:3" x14ac:dyDescent="0.4">
      <c r="A853">
        <v>2022</v>
      </c>
      <c r="B853">
        <v>0.373</v>
      </c>
      <c r="C853">
        <v>7.4499999999999997E-2</v>
      </c>
    </row>
    <row r="854" spans="1:3" x14ac:dyDescent="0.4">
      <c r="A854">
        <v>2023</v>
      </c>
      <c r="B854">
        <v>0.38300000000000001</v>
      </c>
      <c r="C854">
        <v>8.8700000000000001E-2</v>
      </c>
    </row>
    <row r="855" spans="1:3" x14ac:dyDescent="0.4">
      <c r="A855">
        <v>2024</v>
      </c>
      <c r="B855">
        <v>0.42799999999999999</v>
      </c>
      <c r="C855">
        <v>0.1178</v>
      </c>
    </row>
    <row r="856" spans="1:3" x14ac:dyDescent="0.4">
      <c r="A856">
        <v>2025</v>
      </c>
      <c r="B856">
        <v>0.4929</v>
      </c>
      <c r="C856">
        <v>0.1749</v>
      </c>
    </row>
    <row r="857" spans="1:3" x14ac:dyDescent="0.4">
      <c r="A857">
        <v>2026</v>
      </c>
      <c r="B857">
        <v>0.54200000000000004</v>
      </c>
      <c r="C857">
        <v>0.2427</v>
      </c>
    </row>
    <row r="858" spans="1:3" x14ac:dyDescent="0.4">
      <c r="A858">
        <v>2027</v>
      </c>
      <c r="B858">
        <v>0.59019999999999995</v>
      </c>
      <c r="C858">
        <v>0.31730000000000003</v>
      </c>
    </row>
    <row r="859" spans="1:3" x14ac:dyDescent="0.4">
      <c r="A859">
        <v>2028</v>
      </c>
      <c r="B859">
        <v>0.63180000000000003</v>
      </c>
      <c r="C859">
        <v>0.39410000000000001</v>
      </c>
    </row>
    <row r="860" spans="1:3" x14ac:dyDescent="0.4">
      <c r="A860">
        <v>2029</v>
      </c>
      <c r="B860">
        <v>0.66190000000000004</v>
      </c>
      <c r="C860">
        <v>0.4</v>
      </c>
    </row>
    <row r="861" spans="1:3" x14ac:dyDescent="0.4">
      <c r="A861">
        <v>2030</v>
      </c>
      <c r="B861">
        <v>0.69599999999999995</v>
      </c>
      <c r="C861">
        <v>0.50760000000000005</v>
      </c>
    </row>
    <row r="862" spans="1:3" x14ac:dyDescent="0.4">
      <c r="A862">
        <v>2031</v>
      </c>
      <c r="B862">
        <v>0.72799999999999998</v>
      </c>
      <c r="C862">
        <v>0.6099</v>
      </c>
    </row>
    <row r="863" spans="1:3" x14ac:dyDescent="0.4">
      <c r="A863">
        <v>2032</v>
      </c>
      <c r="B863">
        <v>0.74350000000000005</v>
      </c>
      <c r="C863">
        <v>0.5585</v>
      </c>
    </row>
    <row r="864" spans="1:3" x14ac:dyDescent="0.4">
      <c r="A864">
        <v>2033</v>
      </c>
      <c r="B864">
        <v>0.75160000000000005</v>
      </c>
      <c r="C864">
        <v>0.54390000000000005</v>
      </c>
    </row>
    <row r="865" spans="1:3" x14ac:dyDescent="0.4">
      <c r="A865">
        <v>2034</v>
      </c>
      <c r="B865">
        <v>0.7641</v>
      </c>
      <c r="C865">
        <v>0.56869999999999998</v>
      </c>
    </row>
    <row r="866" spans="1:3" x14ac:dyDescent="0.4">
      <c r="A866">
        <v>2035</v>
      </c>
      <c r="B866">
        <v>0.78</v>
      </c>
      <c r="C866">
        <v>0.62939999999999996</v>
      </c>
    </row>
    <row r="867" spans="1:3" x14ac:dyDescent="0.4">
      <c r="A867">
        <v>2036</v>
      </c>
      <c r="B867">
        <v>0.78900000000000003</v>
      </c>
      <c r="C867">
        <v>0.63949999999999996</v>
      </c>
    </row>
    <row r="868" spans="1:3" x14ac:dyDescent="0.4">
      <c r="A868">
        <v>2037</v>
      </c>
      <c r="B868">
        <v>0.79320000000000002</v>
      </c>
      <c r="C868">
        <v>0.65810000000000002</v>
      </c>
    </row>
    <row r="869" spans="1:3" x14ac:dyDescent="0.4">
      <c r="A869">
        <v>2038</v>
      </c>
      <c r="B869">
        <v>0.78739999999999999</v>
      </c>
      <c r="C869">
        <v>0.6512</v>
      </c>
    </row>
    <row r="870" spans="1:3" x14ac:dyDescent="0.4">
      <c r="A870">
        <v>2039</v>
      </c>
      <c r="B870">
        <v>0.80630000000000002</v>
      </c>
      <c r="C870">
        <v>0.72529999999999994</v>
      </c>
    </row>
    <row r="871" spans="1:3" x14ac:dyDescent="0.4">
      <c r="A871">
        <v>2040</v>
      </c>
      <c r="B871">
        <v>0.81200000000000006</v>
      </c>
      <c r="C871">
        <v>0.75119999999999998</v>
      </c>
    </row>
    <row r="872" spans="1:3" x14ac:dyDescent="0.4">
      <c r="A872">
        <v>2041</v>
      </c>
      <c r="B872">
        <v>0.79979999999999996</v>
      </c>
      <c r="C872">
        <v>0.68020000000000003</v>
      </c>
    </row>
    <row r="873" spans="1:3" x14ac:dyDescent="0.4">
      <c r="A873">
        <v>2042</v>
      </c>
      <c r="B873">
        <v>0.81630000000000003</v>
      </c>
      <c r="C873">
        <v>0.69499999999999995</v>
      </c>
    </row>
    <row r="874" spans="1:3" x14ac:dyDescent="0.4">
      <c r="A874">
        <v>2043</v>
      </c>
      <c r="B874">
        <v>0.84419999999999995</v>
      </c>
      <c r="C874">
        <v>0.80530000000000002</v>
      </c>
    </row>
    <row r="875" spans="1:3" x14ac:dyDescent="0.4">
      <c r="A875">
        <v>2044</v>
      </c>
      <c r="B875">
        <v>0.8488</v>
      </c>
      <c r="C875">
        <v>0.81340000000000001</v>
      </c>
    </row>
    <row r="876" spans="1:3" x14ac:dyDescent="0.4">
      <c r="A876">
        <v>2045</v>
      </c>
      <c r="B876">
        <v>0.8478</v>
      </c>
      <c r="C876">
        <v>0.82589999999999997</v>
      </c>
    </row>
    <row r="877" spans="1:3" x14ac:dyDescent="0.4">
      <c r="A877">
        <v>2046</v>
      </c>
      <c r="B877">
        <v>0.82340000000000002</v>
      </c>
      <c r="C877">
        <v>0.72970000000000002</v>
      </c>
    </row>
    <row r="878" spans="1:3" x14ac:dyDescent="0.4">
      <c r="A878">
        <v>2047</v>
      </c>
      <c r="B878">
        <v>0.84260000000000002</v>
      </c>
      <c r="C878">
        <v>0.80789999999999995</v>
      </c>
    </row>
    <row r="879" spans="1:3" x14ac:dyDescent="0.4">
      <c r="A879">
        <v>2048</v>
      </c>
      <c r="B879">
        <v>0.83750000000000002</v>
      </c>
      <c r="C879">
        <v>0.81240000000000001</v>
      </c>
    </row>
    <row r="880" spans="1:3" x14ac:dyDescent="0.4">
      <c r="A880">
        <v>2049</v>
      </c>
      <c r="B880">
        <v>0.84319999999999995</v>
      </c>
      <c r="C880">
        <v>0.81320000000000003</v>
      </c>
    </row>
    <row r="881" spans="1:3" x14ac:dyDescent="0.4">
      <c r="A881">
        <v>2050</v>
      </c>
      <c r="B881">
        <v>0.83160000000000001</v>
      </c>
      <c r="C881">
        <v>0.76539999999999997</v>
      </c>
    </row>
    <row r="882" spans="1:3" x14ac:dyDescent="0.4">
      <c r="A882">
        <v>2051</v>
      </c>
      <c r="B882">
        <v>0.84450000000000003</v>
      </c>
      <c r="C882">
        <v>0.81820000000000004</v>
      </c>
    </row>
    <row r="883" spans="1:3" x14ac:dyDescent="0.4">
      <c r="A883">
        <v>2052</v>
      </c>
      <c r="B883">
        <v>0.8498</v>
      </c>
      <c r="C883">
        <v>0.82550000000000001</v>
      </c>
    </row>
    <row r="884" spans="1:3" x14ac:dyDescent="0.4">
      <c r="A884">
        <v>2053</v>
      </c>
      <c r="B884">
        <v>0.83530000000000004</v>
      </c>
      <c r="C884">
        <v>0.73950000000000005</v>
      </c>
    </row>
    <row r="885" spans="1:3" x14ac:dyDescent="0.4">
      <c r="A885">
        <v>2054</v>
      </c>
      <c r="B885">
        <v>0.83069999999999999</v>
      </c>
      <c r="C885">
        <v>0.71040000000000003</v>
      </c>
    </row>
    <row r="886" spans="1:3" x14ac:dyDescent="0.4">
      <c r="A886">
        <v>2055</v>
      </c>
      <c r="B886">
        <v>0.83809999999999996</v>
      </c>
      <c r="C886">
        <v>0.82020000000000004</v>
      </c>
    </row>
    <row r="887" spans="1:3" x14ac:dyDescent="0.4">
      <c r="A887">
        <v>2056</v>
      </c>
      <c r="B887">
        <v>0.81599999999999995</v>
      </c>
      <c r="C887">
        <v>0.75390000000000001</v>
      </c>
    </row>
    <row r="888" spans="1:3" x14ac:dyDescent="0.4">
      <c r="A888">
        <v>2057</v>
      </c>
      <c r="B888">
        <v>0.78559999999999997</v>
      </c>
      <c r="C888">
        <v>0.60709999999999997</v>
      </c>
    </row>
    <row r="889" spans="1:3" x14ac:dyDescent="0.4">
      <c r="A889">
        <v>2058</v>
      </c>
      <c r="B889">
        <v>0.78410000000000002</v>
      </c>
      <c r="C889">
        <v>0.5776</v>
      </c>
    </row>
    <row r="890" spans="1:3" x14ac:dyDescent="0.4">
      <c r="A890">
        <v>2059</v>
      </c>
      <c r="B890">
        <v>0.83079999999999998</v>
      </c>
      <c r="C890">
        <v>0.77580000000000005</v>
      </c>
    </row>
    <row r="891" spans="1:3" x14ac:dyDescent="0.4">
      <c r="A891">
        <v>2060</v>
      </c>
      <c r="B891">
        <v>0.85940000000000005</v>
      </c>
      <c r="C891">
        <v>0.88229999999999997</v>
      </c>
    </row>
    <row r="892" spans="1:3" x14ac:dyDescent="0.4">
      <c r="A892">
        <v>2061</v>
      </c>
      <c r="B892">
        <v>0.874</v>
      </c>
      <c r="C892">
        <v>0.92410000000000003</v>
      </c>
    </row>
    <row r="893" spans="1:3" x14ac:dyDescent="0.4">
      <c r="A893">
        <v>2062</v>
      </c>
      <c r="B893">
        <v>0.86060000000000003</v>
      </c>
      <c r="C893">
        <v>0.86550000000000005</v>
      </c>
    </row>
    <row r="894" spans="1:3" x14ac:dyDescent="0.4">
      <c r="A894">
        <v>2063</v>
      </c>
      <c r="B894">
        <v>0.86150000000000004</v>
      </c>
      <c r="C894">
        <v>0.86280000000000001</v>
      </c>
    </row>
    <row r="895" spans="1:3" x14ac:dyDescent="0.4">
      <c r="A895">
        <v>2064</v>
      </c>
      <c r="B895">
        <v>0.84550000000000003</v>
      </c>
      <c r="C895">
        <v>0.72089999999999999</v>
      </c>
    </row>
    <row r="896" spans="1:3" x14ac:dyDescent="0.4">
      <c r="A896">
        <v>2065</v>
      </c>
      <c r="B896">
        <v>0.86219999999999997</v>
      </c>
      <c r="C896">
        <v>0.79869999999999997</v>
      </c>
    </row>
    <row r="897" spans="1:21" x14ac:dyDescent="0.4">
      <c r="A897">
        <v>2066</v>
      </c>
      <c r="B897">
        <v>0.8498</v>
      </c>
      <c r="C897">
        <v>0.80369999999999997</v>
      </c>
    </row>
    <row r="898" spans="1:21" x14ac:dyDescent="0.4">
      <c r="A898">
        <v>2067</v>
      </c>
      <c r="B898">
        <v>0.83879999999999999</v>
      </c>
      <c r="C898">
        <v>0.72340000000000004</v>
      </c>
    </row>
    <row r="899" spans="1:21" x14ac:dyDescent="0.4">
      <c r="A899">
        <v>2068</v>
      </c>
      <c r="B899">
        <v>0.83399999999999996</v>
      </c>
      <c r="C899">
        <v>0.69730000000000003</v>
      </c>
    </row>
    <row r="900" spans="1:21" x14ac:dyDescent="0.4">
      <c r="A900">
        <v>2069</v>
      </c>
      <c r="B900">
        <v>0.83460000000000001</v>
      </c>
      <c r="C900">
        <v>0.73529999999999995</v>
      </c>
    </row>
    <row r="901" spans="1:21" x14ac:dyDescent="0.4">
      <c r="A901">
        <v>2070</v>
      </c>
      <c r="B901">
        <v>0.83220000000000005</v>
      </c>
      <c r="C901">
        <v>0.76090000000000002</v>
      </c>
    </row>
    <row r="902" spans="1:21" x14ac:dyDescent="0.4">
      <c r="A902">
        <v>2071</v>
      </c>
      <c r="B902">
        <v>0.82820000000000005</v>
      </c>
      <c r="C902">
        <v>0.69469999999999998</v>
      </c>
    </row>
    <row r="903" spans="1:21" x14ac:dyDescent="0.4">
      <c r="A903">
        <v>2072</v>
      </c>
      <c r="B903">
        <v>0.84699999999999998</v>
      </c>
      <c r="C903">
        <v>0.79990000000000006</v>
      </c>
    </row>
    <row r="904" spans="1:21" x14ac:dyDescent="0.4">
      <c r="A904">
        <v>2073</v>
      </c>
      <c r="B904">
        <v>0.85609999999999997</v>
      </c>
      <c r="C904">
        <v>0.8286</v>
      </c>
    </row>
    <row r="905" spans="1:21" x14ac:dyDescent="0.4">
      <c r="A905">
        <v>2074</v>
      </c>
      <c r="B905">
        <v>0.86080000000000001</v>
      </c>
      <c r="C905">
        <v>0.8992</v>
      </c>
    </row>
    <row r="906" spans="1:21" x14ac:dyDescent="0.4">
      <c r="A906">
        <v>2075</v>
      </c>
      <c r="B906">
        <v>0.8125</v>
      </c>
      <c r="C906">
        <v>0.65610000000000002</v>
      </c>
    </row>
    <row r="908" spans="1:21" x14ac:dyDescent="0.4">
      <c r="A908" t="s">
        <v>26</v>
      </c>
      <c r="B908" t="s">
        <v>25</v>
      </c>
      <c r="C908" t="s">
        <v>24</v>
      </c>
      <c r="D908" t="s">
        <v>32</v>
      </c>
    </row>
    <row r="910" spans="1:21" x14ac:dyDescent="0.4">
      <c r="A910" t="s">
        <v>22</v>
      </c>
      <c r="B910" s="2">
        <v>0.01</v>
      </c>
      <c r="C910" s="2">
        <v>0.05</v>
      </c>
      <c r="D910" s="2">
        <v>0.1</v>
      </c>
      <c r="E910" s="2">
        <v>0.25</v>
      </c>
      <c r="F910" s="2">
        <v>0.5</v>
      </c>
      <c r="G910" s="2">
        <v>0.75</v>
      </c>
      <c r="H910" s="2">
        <v>0.9</v>
      </c>
      <c r="I910" s="2">
        <v>0.95</v>
      </c>
      <c r="J910" s="2">
        <v>0.99</v>
      </c>
      <c r="L910" t="s">
        <v>22</v>
      </c>
      <c r="M910" s="2">
        <v>0.01</v>
      </c>
      <c r="N910" s="2">
        <v>0.05</v>
      </c>
      <c r="O910" s="2">
        <v>0.1</v>
      </c>
      <c r="P910" s="2">
        <v>0.25</v>
      </c>
      <c r="Q910" s="2">
        <v>0.5</v>
      </c>
      <c r="R910" s="2">
        <v>0.75</v>
      </c>
      <c r="S910" s="2">
        <v>0.9</v>
      </c>
      <c r="T910" s="2">
        <v>0.95</v>
      </c>
      <c r="U910" s="2">
        <v>0.99</v>
      </c>
    </row>
    <row r="911" spans="1:21" x14ac:dyDescent="0.4">
      <c r="A911">
        <v>2021</v>
      </c>
      <c r="B911">
        <v>0.28199999999999997</v>
      </c>
      <c r="C911">
        <v>0.38500000000000001</v>
      </c>
      <c r="D911">
        <v>0.41860000000000003</v>
      </c>
      <c r="E911">
        <v>0.46460000000000001</v>
      </c>
      <c r="F911">
        <v>0.52529999999999999</v>
      </c>
      <c r="G911">
        <v>0.58240000000000003</v>
      </c>
      <c r="H911">
        <v>0.63719999999999999</v>
      </c>
      <c r="I911">
        <v>0.6603</v>
      </c>
      <c r="J911">
        <v>0.83160000000000001</v>
      </c>
      <c r="L911">
        <v>2021</v>
      </c>
      <c r="M911" s="14">
        <f>B911*0.63</f>
        <v>0.17765999999999998</v>
      </c>
      <c r="N911" s="14">
        <f t="shared" ref="N911:U924" si="22">C911*0.63</f>
        <v>0.24255000000000002</v>
      </c>
      <c r="O911" s="14">
        <f t="shared" si="22"/>
        <v>0.26371800000000001</v>
      </c>
      <c r="P911" s="14">
        <f t="shared" si="22"/>
        <v>0.29269800000000001</v>
      </c>
      <c r="Q911" s="14">
        <f t="shared" si="22"/>
        <v>0.33093899999999998</v>
      </c>
      <c r="R911" s="14">
        <f t="shared" si="22"/>
        <v>0.36691200000000002</v>
      </c>
      <c r="S911" s="14">
        <f t="shared" si="22"/>
        <v>0.40143600000000002</v>
      </c>
      <c r="T911" s="14">
        <f t="shared" si="22"/>
        <v>0.415989</v>
      </c>
      <c r="U911" s="14">
        <f t="shared" si="22"/>
        <v>0.52390800000000004</v>
      </c>
    </row>
    <row r="912" spans="1:21" x14ac:dyDescent="0.4">
      <c r="A912">
        <v>2022</v>
      </c>
      <c r="B912">
        <v>0.2238</v>
      </c>
      <c r="C912">
        <v>0.25480000000000003</v>
      </c>
      <c r="D912">
        <v>0.27850000000000003</v>
      </c>
      <c r="E912">
        <v>0.32590000000000002</v>
      </c>
      <c r="F912">
        <v>0.3654</v>
      </c>
      <c r="G912">
        <v>0.41260000000000002</v>
      </c>
      <c r="H912">
        <v>0.4738</v>
      </c>
      <c r="I912">
        <v>0.50819999999999999</v>
      </c>
      <c r="J912">
        <v>0.58609999999999995</v>
      </c>
      <c r="L912">
        <v>2022</v>
      </c>
      <c r="M912" s="14">
        <f t="shared" ref="M912:M924" si="23">B912*0.63</f>
        <v>0.14099400000000001</v>
      </c>
      <c r="N912" s="14">
        <f t="shared" si="22"/>
        <v>0.16052400000000003</v>
      </c>
      <c r="O912" s="14">
        <f t="shared" si="22"/>
        <v>0.17545500000000003</v>
      </c>
      <c r="P912" s="14">
        <f t="shared" si="22"/>
        <v>0.20531700000000003</v>
      </c>
      <c r="Q912" s="14">
        <f t="shared" si="22"/>
        <v>0.23020199999999999</v>
      </c>
      <c r="R912" s="14">
        <f t="shared" si="22"/>
        <v>0.259938</v>
      </c>
      <c r="S912" s="14">
        <f t="shared" si="22"/>
        <v>0.29849399999999998</v>
      </c>
      <c r="T912" s="14">
        <f t="shared" si="22"/>
        <v>0.32016600000000001</v>
      </c>
      <c r="U912" s="14">
        <f t="shared" si="22"/>
        <v>0.36924299999999999</v>
      </c>
    </row>
    <row r="913" spans="1:21" x14ac:dyDescent="0.4">
      <c r="A913">
        <v>2023</v>
      </c>
      <c r="B913">
        <v>0.22339999999999999</v>
      </c>
      <c r="C913">
        <v>0.25359999999999999</v>
      </c>
      <c r="D913">
        <v>0.2797</v>
      </c>
      <c r="E913">
        <v>0.31840000000000002</v>
      </c>
      <c r="F913">
        <v>0.37290000000000001</v>
      </c>
      <c r="G913">
        <v>0.43540000000000001</v>
      </c>
      <c r="H913">
        <v>0.50839999999999996</v>
      </c>
      <c r="I913">
        <v>0.54700000000000004</v>
      </c>
      <c r="J913">
        <v>0.62739999999999996</v>
      </c>
      <c r="L913">
        <v>2023</v>
      </c>
      <c r="M913" s="14">
        <f t="shared" si="23"/>
        <v>0.14074200000000001</v>
      </c>
      <c r="N913" s="14">
        <f t="shared" si="22"/>
        <v>0.15976799999999999</v>
      </c>
      <c r="O913" s="14">
        <f t="shared" si="22"/>
        <v>0.17621100000000001</v>
      </c>
      <c r="P913" s="14">
        <f t="shared" si="22"/>
        <v>0.20059200000000002</v>
      </c>
      <c r="Q913" s="14">
        <f t="shared" si="22"/>
        <v>0.234927</v>
      </c>
      <c r="R913" s="14">
        <f t="shared" si="22"/>
        <v>0.27430199999999999</v>
      </c>
      <c r="S913" s="14">
        <f t="shared" si="22"/>
        <v>0.32029199999999997</v>
      </c>
      <c r="T913" s="14">
        <f t="shared" si="22"/>
        <v>0.34461000000000003</v>
      </c>
      <c r="U913" s="14">
        <f t="shared" si="22"/>
        <v>0.395262</v>
      </c>
    </row>
    <row r="914" spans="1:21" x14ac:dyDescent="0.4">
      <c r="A914">
        <v>2024</v>
      </c>
      <c r="B914">
        <v>0.24010000000000001</v>
      </c>
      <c r="C914">
        <v>0.27229999999999999</v>
      </c>
      <c r="D914">
        <v>0.3</v>
      </c>
      <c r="E914">
        <v>0.34279999999999999</v>
      </c>
      <c r="F914">
        <v>0.40639999999999998</v>
      </c>
      <c r="G914">
        <v>0.49709999999999999</v>
      </c>
      <c r="H914">
        <v>0.58209999999999995</v>
      </c>
      <c r="I914">
        <v>0.65090000000000003</v>
      </c>
      <c r="J914">
        <v>0.7762</v>
      </c>
      <c r="L914">
        <v>2024</v>
      </c>
      <c r="M914" s="14">
        <f t="shared" si="23"/>
        <v>0.15126300000000001</v>
      </c>
      <c r="N914" s="14">
        <f t="shared" si="22"/>
        <v>0.17154899999999998</v>
      </c>
      <c r="O914" s="14">
        <f t="shared" si="22"/>
        <v>0.189</v>
      </c>
      <c r="P914" s="14">
        <f t="shared" si="22"/>
        <v>0.21596399999999999</v>
      </c>
      <c r="Q914" s="14">
        <f t="shared" si="22"/>
        <v>0.25603199999999998</v>
      </c>
      <c r="R914" s="14">
        <f t="shared" si="22"/>
        <v>0.31317299999999998</v>
      </c>
      <c r="S914" s="14">
        <f t="shared" si="22"/>
        <v>0.36672299999999997</v>
      </c>
      <c r="T914" s="14">
        <f t="shared" si="22"/>
        <v>0.41006700000000001</v>
      </c>
      <c r="U914" s="14">
        <f t="shared" si="22"/>
        <v>0.489006</v>
      </c>
    </row>
    <row r="915" spans="1:21" x14ac:dyDescent="0.4">
      <c r="A915">
        <v>2025</v>
      </c>
      <c r="B915">
        <v>0.2492</v>
      </c>
      <c r="C915">
        <v>0.2913</v>
      </c>
      <c r="D915">
        <v>0.31840000000000002</v>
      </c>
      <c r="E915">
        <v>0.37509999999999999</v>
      </c>
      <c r="F915">
        <v>0.4501</v>
      </c>
      <c r="G915">
        <v>0.56999999999999995</v>
      </c>
      <c r="H915">
        <v>0.70840000000000003</v>
      </c>
      <c r="I915">
        <v>0.81520000000000004</v>
      </c>
      <c r="J915">
        <v>1.1549</v>
      </c>
      <c r="L915">
        <v>2025</v>
      </c>
      <c r="M915" s="14">
        <f t="shared" si="23"/>
        <v>0.156996</v>
      </c>
      <c r="N915" s="14">
        <f t="shared" si="22"/>
        <v>0.18351900000000002</v>
      </c>
      <c r="O915" s="14">
        <f t="shared" si="22"/>
        <v>0.20059200000000002</v>
      </c>
      <c r="P915" s="14">
        <f t="shared" si="22"/>
        <v>0.236313</v>
      </c>
      <c r="Q915" s="14">
        <f t="shared" si="22"/>
        <v>0.28356300000000001</v>
      </c>
      <c r="R915" s="14">
        <f t="shared" si="22"/>
        <v>0.35909999999999997</v>
      </c>
      <c r="S915" s="14">
        <f t="shared" si="22"/>
        <v>0.44629200000000002</v>
      </c>
      <c r="T915" s="14">
        <f t="shared" si="22"/>
        <v>0.51357600000000003</v>
      </c>
      <c r="U915" s="14">
        <f t="shared" si="22"/>
        <v>0.72758699999999998</v>
      </c>
    </row>
    <row r="916" spans="1:21" x14ac:dyDescent="0.4">
      <c r="A916">
        <v>2026</v>
      </c>
      <c r="B916">
        <v>0.25940000000000002</v>
      </c>
      <c r="C916">
        <v>0.29520000000000002</v>
      </c>
      <c r="D916">
        <v>0.3291</v>
      </c>
      <c r="E916">
        <v>0.39179999999999998</v>
      </c>
      <c r="F916">
        <v>0.4773</v>
      </c>
      <c r="G916">
        <v>0.62019999999999997</v>
      </c>
      <c r="H916">
        <v>0.80879999999999996</v>
      </c>
      <c r="I916">
        <v>0.98799999999999999</v>
      </c>
      <c r="J916">
        <v>1.4852000000000001</v>
      </c>
      <c r="L916">
        <v>2026</v>
      </c>
      <c r="M916" s="14">
        <f t="shared" si="23"/>
        <v>0.16342200000000001</v>
      </c>
      <c r="N916" s="14">
        <f t="shared" si="22"/>
        <v>0.185976</v>
      </c>
      <c r="O916" s="14">
        <f t="shared" si="22"/>
        <v>0.20733300000000002</v>
      </c>
      <c r="P916" s="14">
        <f t="shared" si="22"/>
        <v>0.246834</v>
      </c>
      <c r="Q916" s="14">
        <f t="shared" si="22"/>
        <v>0.30069899999999999</v>
      </c>
      <c r="R916" s="14">
        <f t="shared" si="22"/>
        <v>0.39072599999999996</v>
      </c>
      <c r="S916" s="14">
        <f t="shared" si="22"/>
        <v>0.509544</v>
      </c>
      <c r="T916" s="14">
        <f t="shared" si="22"/>
        <v>0.62243999999999999</v>
      </c>
      <c r="U916" s="14">
        <f t="shared" si="22"/>
        <v>0.93567600000000006</v>
      </c>
    </row>
    <row r="917" spans="1:21" x14ac:dyDescent="0.4">
      <c r="A917">
        <v>2027</v>
      </c>
      <c r="B917">
        <v>0.25069999999999998</v>
      </c>
      <c r="C917">
        <v>0.30399999999999999</v>
      </c>
      <c r="D917">
        <v>0.3337</v>
      </c>
      <c r="E917">
        <v>0.40539999999999998</v>
      </c>
      <c r="F917">
        <v>0.50539999999999996</v>
      </c>
      <c r="G917">
        <v>0.67069999999999996</v>
      </c>
      <c r="H917">
        <v>0.89800000000000002</v>
      </c>
      <c r="I917">
        <v>1.1313</v>
      </c>
      <c r="J917">
        <v>1.8951</v>
      </c>
      <c r="L917">
        <v>2027</v>
      </c>
      <c r="M917" s="14">
        <f t="shared" si="23"/>
        <v>0.157941</v>
      </c>
      <c r="N917" s="14">
        <f t="shared" si="22"/>
        <v>0.19152</v>
      </c>
      <c r="O917" s="14">
        <f t="shared" si="22"/>
        <v>0.210231</v>
      </c>
      <c r="P917" s="14">
        <f t="shared" si="22"/>
        <v>0.25540200000000002</v>
      </c>
      <c r="Q917" s="14">
        <f t="shared" si="22"/>
        <v>0.31840199999999996</v>
      </c>
      <c r="R917" s="14">
        <f t="shared" si="22"/>
        <v>0.422541</v>
      </c>
      <c r="S917" s="14">
        <f t="shared" si="22"/>
        <v>0.56574000000000002</v>
      </c>
      <c r="T917" s="14">
        <f t="shared" si="22"/>
        <v>0.71271899999999999</v>
      </c>
      <c r="U917" s="14">
        <f t="shared" si="22"/>
        <v>1.193913</v>
      </c>
    </row>
    <row r="918" spans="1:21" x14ac:dyDescent="0.4">
      <c r="A918">
        <v>2028</v>
      </c>
      <c r="B918">
        <v>0.25829999999999997</v>
      </c>
      <c r="C918">
        <v>0.30959999999999999</v>
      </c>
      <c r="D918">
        <v>0.34139999999999998</v>
      </c>
      <c r="E918">
        <v>0.4199</v>
      </c>
      <c r="F918">
        <v>0.53369999999999995</v>
      </c>
      <c r="G918">
        <v>0.71989999999999998</v>
      </c>
      <c r="H918">
        <v>0.99829999999999997</v>
      </c>
      <c r="I918">
        <v>1.1900999999999999</v>
      </c>
      <c r="J918">
        <v>1.9331</v>
      </c>
      <c r="L918">
        <v>2028</v>
      </c>
      <c r="M918" s="14">
        <f t="shared" si="23"/>
        <v>0.16272899999999998</v>
      </c>
      <c r="N918" s="14">
        <f t="shared" si="22"/>
        <v>0.195048</v>
      </c>
      <c r="O918" s="14">
        <f t="shared" si="22"/>
        <v>0.215082</v>
      </c>
      <c r="P918" s="14">
        <f t="shared" si="22"/>
        <v>0.26453700000000002</v>
      </c>
      <c r="Q918" s="14">
        <f t="shared" si="22"/>
        <v>0.33623099999999995</v>
      </c>
      <c r="R918" s="14">
        <f t="shared" si="22"/>
        <v>0.45353699999999997</v>
      </c>
      <c r="S918" s="14">
        <f t="shared" si="22"/>
        <v>0.62892899999999996</v>
      </c>
      <c r="T918" s="14">
        <f t="shared" si="22"/>
        <v>0.74976299999999996</v>
      </c>
      <c r="U918" s="14">
        <f t="shared" si="22"/>
        <v>1.2178530000000001</v>
      </c>
    </row>
    <row r="919" spans="1:21" x14ac:dyDescent="0.4">
      <c r="A919">
        <v>2029</v>
      </c>
      <c r="B919">
        <v>0.25490000000000002</v>
      </c>
      <c r="C919">
        <v>0.3175</v>
      </c>
      <c r="D919">
        <v>0.3483</v>
      </c>
      <c r="E919">
        <v>0.4259</v>
      </c>
      <c r="F919">
        <v>0.55859999999999999</v>
      </c>
      <c r="G919">
        <v>0.75980000000000003</v>
      </c>
      <c r="H919">
        <v>1.0631999999999999</v>
      </c>
      <c r="I919">
        <v>1.3423</v>
      </c>
      <c r="J919">
        <v>2.3068</v>
      </c>
      <c r="L919">
        <v>2029</v>
      </c>
      <c r="M919" s="14">
        <f t="shared" si="23"/>
        <v>0.16058700000000001</v>
      </c>
      <c r="N919" s="14">
        <f t="shared" si="22"/>
        <v>0.20002500000000001</v>
      </c>
      <c r="O919" s="14">
        <f t="shared" si="22"/>
        <v>0.21942900000000001</v>
      </c>
      <c r="P919" s="14">
        <f t="shared" si="22"/>
        <v>0.26831700000000003</v>
      </c>
      <c r="Q919" s="14">
        <f t="shared" si="22"/>
        <v>0.35191800000000001</v>
      </c>
      <c r="R919" s="14">
        <f t="shared" si="22"/>
        <v>0.47867400000000004</v>
      </c>
      <c r="S919" s="14">
        <f t="shared" si="22"/>
        <v>0.66981599999999997</v>
      </c>
      <c r="T919" s="14">
        <f t="shared" si="22"/>
        <v>0.84564899999999998</v>
      </c>
      <c r="U919" s="14">
        <f t="shared" si="22"/>
        <v>1.453284</v>
      </c>
    </row>
    <row r="920" spans="1:21" x14ac:dyDescent="0.4">
      <c r="A920">
        <v>2030</v>
      </c>
      <c r="B920">
        <v>0.24829999999999999</v>
      </c>
      <c r="C920">
        <v>0.3216</v>
      </c>
      <c r="D920">
        <v>0.35349999999999998</v>
      </c>
      <c r="E920">
        <v>0.43890000000000001</v>
      </c>
      <c r="F920">
        <v>0.56559999999999999</v>
      </c>
      <c r="G920">
        <v>0.80879999999999996</v>
      </c>
      <c r="H920">
        <v>1.0846</v>
      </c>
      <c r="I920">
        <v>1.37</v>
      </c>
      <c r="J920">
        <v>2.7387000000000001</v>
      </c>
      <c r="L920">
        <v>2030</v>
      </c>
      <c r="M920" s="14">
        <f t="shared" si="23"/>
        <v>0.15642899999999998</v>
      </c>
      <c r="N920" s="14">
        <f t="shared" si="22"/>
        <v>0.20260800000000001</v>
      </c>
      <c r="O920" s="14">
        <f t="shared" si="22"/>
        <v>0.22270499999999999</v>
      </c>
      <c r="P920" s="14">
        <f t="shared" si="22"/>
        <v>0.276507</v>
      </c>
      <c r="Q920" s="14">
        <f t="shared" si="22"/>
        <v>0.35632799999999998</v>
      </c>
      <c r="R920" s="14">
        <f t="shared" si="22"/>
        <v>0.509544</v>
      </c>
      <c r="S920" s="14">
        <f t="shared" si="22"/>
        <v>0.68329799999999996</v>
      </c>
      <c r="T920" s="14">
        <f t="shared" si="22"/>
        <v>0.86310000000000009</v>
      </c>
      <c r="U920" s="14">
        <f t="shared" si="22"/>
        <v>1.7253810000000001</v>
      </c>
    </row>
    <row r="921" spans="1:21" x14ac:dyDescent="0.4">
      <c r="A921">
        <v>2031</v>
      </c>
      <c r="B921">
        <v>0.25619999999999998</v>
      </c>
      <c r="C921">
        <v>0.32479999999999998</v>
      </c>
      <c r="D921">
        <v>0.36430000000000001</v>
      </c>
      <c r="E921">
        <v>0.44540000000000002</v>
      </c>
      <c r="F921">
        <v>0.58879999999999999</v>
      </c>
      <c r="G921">
        <v>0.80959999999999999</v>
      </c>
      <c r="H921">
        <v>1.1396999999999999</v>
      </c>
      <c r="I921">
        <v>1.502</v>
      </c>
      <c r="J921">
        <v>2.6894</v>
      </c>
      <c r="L921">
        <v>2031</v>
      </c>
      <c r="M921" s="14">
        <f t="shared" si="23"/>
        <v>0.16140599999999999</v>
      </c>
      <c r="N921" s="14">
        <f t="shared" si="22"/>
        <v>0.204624</v>
      </c>
      <c r="O921" s="14">
        <f t="shared" si="22"/>
        <v>0.22950900000000002</v>
      </c>
      <c r="P921" s="14">
        <f t="shared" si="22"/>
        <v>0.28060200000000002</v>
      </c>
      <c r="Q921" s="14">
        <f t="shared" si="22"/>
        <v>0.370944</v>
      </c>
      <c r="R921" s="14">
        <f t="shared" si="22"/>
        <v>0.51004799999999995</v>
      </c>
      <c r="S921" s="14">
        <f t="shared" si="22"/>
        <v>0.71801099999999995</v>
      </c>
      <c r="T921" s="14">
        <f t="shared" si="22"/>
        <v>0.94625999999999999</v>
      </c>
      <c r="U921" s="14">
        <f t="shared" si="22"/>
        <v>1.6943220000000001</v>
      </c>
    </row>
    <row r="922" spans="1:21" x14ac:dyDescent="0.4">
      <c r="A922">
        <v>2032</v>
      </c>
      <c r="B922">
        <v>0.24010000000000001</v>
      </c>
      <c r="C922">
        <v>0.3256</v>
      </c>
      <c r="D922">
        <v>0.36109999999999998</v>
      </c>
      <c r="E922">
        <v>0.45219999999999999</v>
      </c>
      <c r="F922">
        <v>0.58940000000000003</v>
      </c>
      <c r="G922">
        <v>0.8246</v>
      </c>
      <c r="H922">
        <v>1.2165999999999999</v>
      </c>
      <c r="I922">
        <v>1.7278</v>
      </c>
      <c r="J922">
        <v>3.3746999999999998</v>
      </c>
      <c r="L922">
        <v>2032</v>
      </c>
      <c r="M922" s="14">
        <f t="shared" si="23"/>
        <v>0.15126300000000001</v>
      </c>
      <c r="N922" s="14">
        <f t="shared" si="22"/>
        <v>0.205128</v>
      </c>
      <c r="O922" s="14">
        <f t="shared" si="22"/>
        <v>0.22749299999999997</v>
      </c>
      <c r="P922" s="14">
        <f t="shared" si="22"/>
        <v>0.28488599999999997</v>
      </c>
      <c r="Q922" s="14">
        <f t="shared" si="22"/>
        <v>0.37132200000000004</v>
      </c>
      <c r="R922" s="14">
        <f t="shared" si="22"/>
        <v>0.51949800000000002</v>
      </c>
      <c r="S922" s="14">
        <f t="shared" si="22"/>
        <v>0.76645799999999997</v>
      </c>
      <c r="T922" s="14">
        <f t="shared" si="22"/>
        <v>1.088514</v>
      </c>
      <c r="U922" s="14">
        <f t="shared" si="22"/>
        <v>2.126061</v>
      </c>
    </row>
    <row r="923" spans="1:21" x14ac:dyDescent="0.4">
      <c r="A923">
        <v>2033</v>
      </c>
      <c r="B923">
        <v>0.2477</v>
      </c>
      <c r="C923">
        <v>0.32890000000000003</v>
      </c>
      <c r="D923">
        <v>0.36520000000000002</v>
      </c>
      <c r="E923">
        <v>0.4531</v>
      </c>
      <c r="F923">
        <v>0.60070000000000001</v>
      </c>
      <c r="G923">
        <v>0.82740000000000002</v>
      </c>
      <c r="H923">
        <v>1.2444</v>
      </c>
      <c r="I923">
        <v>1.6961999999999999</v>
      </c>
      <c r="J923">
        <v>3.238</v>
      </c>
      <c r="L923">
        <v>2033</v>
      </c>
      <c r="M923" s="14">
        <f t="shared" si="23"/>
        <v>0.156051</v>
      </c>
      <c r="N923" s="14">
        <f t="shared" si="22"/>
        <v>0.20720700000000003</v>
      </c>
      <c r="O923" s="14">
        <f t="shared" si="22"/>
        <v>0.23007600000000003</v>
      </c>
      <c r="P923" s="14">
        <f t="shared" si="22"/>
        <v>0.28545300000000001</v>
      </c>
      <c r="Q923" s="14">
        <f t="shared" si="22"/>
        <v>0.37844100000000003</v>
      </c>
      <c r="R923" s="14">
        <f t="shared" si="22"/>
        <v>0.521262</v>
      </c>
      <c r="S923" s="14">
        <f t="shared" si="22"/>
        <v>0.783972</v>
      </c>
      <c r="T923" s="14">
        <f t="shared" si="22"/>
        <v>1.0686059999999999</v>
      </c>
      <c r="U923" s="14">
        <f t="shared" si="22"/>
        <v>2.0399400000000001</v>
      </c>
    </row>
    <row r="924" spans="1:21" x14ac:dyDescent="0.4">
      <c r="A924">
        <v>2034</v>
      </c>
      <c r="B924">
        <v>0.24959999999999999</v>
      </c>
      <c r="C924">
        <v>0.32740000000000002</v>
      </c>
      <c r="D924">
        <v>0.37</v>
      </c>
      <c r="E924">
        <v>0.46739999999999998</v>
      </c>
      <c r="F924">
        <v>0.60629999999999995</v>
      </c>
      <c r="G924">
        <v>0.85399999999999998</v>
      </c>
      <c r="H924">
        <v>1.2733000000000001</v>
      </c>
      <c r="I924">
        <v>1.6838</v>
      </c>
      <c r="J924">
        <v>3.3378999999999999</v>
      </c>
      <c r="L924">
        <v>2034</v>
      </c>
      <c r="M924" s="14">
        <f t="shared" si="23"/>
        <v>0.157248</v>
      </c>
      <c r="N924" s="14">
        <f t="shared" si="22"/>
        <v>0.20626200000000003</v>
      </c>
      <c r="O924" s="14">
        <f t="shared" si="22"/>
        <v>0.2331</v>
      </c>
      <c r="P924" s="14">
        <f t="shared" si="22"/>
        <v>0.294462</v>
      </c>
      <c r="Q924" s="14">
        <f t="shared" si="22"/>
        <v>0.38196899999999995</v>
      </c>
      <c r="R924" s="14">
        <f t="shared" si="22"/>
        <v>0.53801999999999994</v>
      </c>
      <c r="S924" s="14">
        <f t="shared" si="22"/>
        <v>0.80217900000000009</v>
      </c>
      <c r="T924" s="14">
        <f t="shared" si="22"/>
        <v>1.060794</v>
      </c>
      <c r="U924" s="14">
        <f t="shared" si="22"/>
        <v>2.1028769999999999</v>
      </c>
    </row>
    <row r="925" spans="1:21" x14ac:dyDescent="0.4">
      <c r="A925">
        <v>2035</v>
      </c>
      <c r="B925">
        <v>0.2636</v>
      </c>
      <c r="C925">
        <v>0.33450000000000002</v>
      </c>
      <c r="D925">
        <v>0.37719999999999998</v>
      </c>
      <c r="E925">
        <v>0.46920000000000001</v>
      </c>
      <c r="F925">
        <v>0.61160000000000003</v>
      </c>
      <c r="G925">
        <v>0.87209999999999999</v>
      </c>
      <c r="H925">
        <v>1.2833000000000001</v>
      </c>
      <c r="I925">
        <v>1.6765000000000001</v>
      </c>
      <c r="J925">
        <v>3.0605000000000002</v>
      </c>
      <c r="L925">
        <f>L924+1</f>
        <v>2035</v>
      </c>
      <c r="M925" s="14">
        <f t="shared" ref="M925:M965" si="24">B925*0.63</f>
        <v>0.16606799999999999</v>
      </c>
      <c r="N925" s="14">
        <f t="shared" ref="N925:N965" si="25">C925*0.63</f>
        <v>0.21073500000000001</v>
      </c>
      <c r="O925" s="14">
        <f t="shared" ref="O925:O965" si="26">D925*0.63</f>
        <v>0.23763599999999999</v>
      </c>
      <c r="P925" s="14">
        <f t="shared" ref="P925:P965" si="27">E925*0.63</f>
        <v>0.29559600000000003</v>
      </c>
      <c r="Q925" s="14">
        <f t="shared" ref="Q925:Q965" si="28">F925*0.63</f>
        <v>0.38530800000000004</v>
      </c>
      <c r="R925" s="14">
        <f t="shared" ref="R925:R965" si="29">G925*0.63</f>
        <v>0.54942299999999999</v>
      </c>
      <c r="S925" s="14">
        <f t="shared" ref="S925:S965" si="30">H925*0.63</f>
        <v>0.80847900000000006</v>
      </c>
      <c r="T925" s="14">
        <f t="shared" ref="T925:T965" si="31">I925*0.63</f>
        <v>1.056195</v>
      </c>
      <c r="U925" s="14">
        <f t="shared" ref="U925:U965" si="32">J925*0.63</f>
        <v>1.9281150000000002</v>
      </c>
    </row>
    <row r="926" spans="1:21" x14ac:dyDescent="0.4">
      <c r="A926">
        <v>2036</v>
      </c>
      <c r="B926">
        <v>0.2601</v>
      </c>
      <c r="C926">
        <v>0.33079999999999998</v>
      </c>
      <c r="D926">
        <v>0.3846</v>
      </c>
      <c r="E926">
        <v>0.46779999999999999</v>
      </c>
      <c r="F926">
        <v>0.63049999999999995</v>
      </c>
      <c r="G926">
        <v>0.87849999999999995</v>
      </c>
      <c r="H926">
        <v>1.2664</v>
      </c>
      <c r="I926">
        <v>1.7122999999999999</v>
      </c>
      <c r="J926">
        <v>3.3597999999999999</v>
      </c>
      <c r="L926">
        <f t="shared" ref="L926:L965" si="33">L925+1</f>
        <v>2036</v>
      </c>
      <c r="M926" s="14">
        <f t="shared" si="24"/>
        <v>0.16386300000000001</v>
      </c>
      <c r="N926" s="14">
        <f t="shared" si="25"/>
        <v>0.20840399999999998</v>
      </c>
      <c r="O926" s="14">
        <f t="shared" si="26"/>
        <v>0.24229800000000001</v>
      </c>
      <c r="P926" s="14">
        <f t="shared" si="27"/>
        <v>0.29471399999999998</v>
      </c>
      <c r="Q926" s="14">
        <f t="shared" si="28"/>
        <v>0.39721499999999998</v>
      </c>
      <c r="R926" s="14">
        <f t="shared" si="29"/>
        <v>0.55345499999999992</v>
      </c>
      <c r="S926" s="14">
        <f t="shared" si="30"/>
        <v>0.79783199999999999</v>
      </c>
      <c r="T926" s="14">
        <f t="shared" si="31"/>
        <v>1.078749</v>
      </c>
      <c r="U926" s="14">
        <f t="shared" si="32"/>
        <v>2.1166740000000002</v>
      </c>
    </row>
    <row r="927" spans="1:21" x14ac:dyDescent="0.4">
      <c r="A927">
        <v>2037</v>
      </c>
      <c r="B927">
        <v>0.25840000000000002</v>
      </c>
      <c r="C927">
        <v>0.34150000000000003</v>
      </c>
      <c r="D927">
        <v>0.379</v>
      </c>
      <c r="E927">
        <v>0.47720000000000001</v>
      </c>
      <c r="F927">
        <v>0.63759999999999994</v>
      </c>
      <c r="G927">
        <v>0.89500000000000002</v>
      </c>
      <c r="H927">
        <v>1.3052999999999999</v>
      </c>
      <c r="I927">
        <v>1.6329</v>
      </c>
      <c r="J927">
        <v>3.0644</v>
      </c>
      <c r="L927">
        <f t="shared" si="33"/>
        <v>2037</v>
      </c>
      <c r="M927" s="14">
        <f t="shared" si="24"/>
        <v>0.16279200000000002</v>
      </c>
      <c r="N927" s="14">
        <f t="shared" si="25"/>
        <v>0.21514500000000003</v>
      </c>
      <c r="O927" s="14">
        <f t="shared" si="26"/>
        <v>0.23877000000000001</v>
      </c>
      <c r="P927" s="14">
        <f t="shared" si="27"/>
        <v>0.30063600000000001</v>
      </c>
      <c r="Q927" s="14">
        <f t="shared" si="28"/>
        <v>0.40168799999999999</v>
      </c>
      <c r="R927" s="14">
        <f t="shared" si="29"/>
        <v>0.56384999999999996</v>
      </c>
      <c r="S927" s="14">
        <f t="shared" si="30"/>
        <v>0.82233899999999993</v>
      </c>
      <c r="T927" s="14">
        <f t="shared" si="31"/>
        <v>1.0287269999999999</v>
      </c>
      <c r="U927" s="14">
        <f t="shared" si="32"/>
        <v>1.930572</v>
      </c>
    </row>
    <row r="928" spans="1:21" x14ac:dyDescent="0.4">
      <c r="A928">
        <v>2038</v>
      </c>
      <c r="B928">
        <v>0.2387</v>
      </c>
      <c r="C928">
        <v>0.3473</v>
      </c>
      <c r="D928">
        <v>0.38290000000000002</v>
      </c>
      <c r="E928">
        <v>0.47339999999999999</v>
      </c>
      <c r="F928">
        <v>0.63580000000000003</v>
      </c>
      <c r="G928">
        <v>0.9304</v>
      </c>
      <c r="H928">
        <v>1.2829999999999999</v>
      </c>
      <c r="I928">
        <v>1.5831999999999999</v>
      </c>
      <c r="J928">
        <v>2.7250000000000001</v>
      </c>
      <c r="L928">
        <f t="shared" si="33"/>
        <v>2038</v>
      </c>
      <c r="M928" s="14">
        <f t="shared" si="24"/>
        <v>0.15038099999999999</v>
      </c>
      <c r="N928" s="14">
        <f t="shared" si="25"/>
        <v>0.21879899999999999</v>
      </c>
      <c r="O928" s="14">
        <f t="shared" si="26"/>
        <v>0.24122700000000002</v>
      </c>
      <c r="P928" s="14">
        <f t="shared" si="27"/>
        <v>0.29824200000000001</v>
      </c>
      <c r="Q928" s="14">
        <f t="shared" si="28"/>
        <v>0.40055400000000002</v>
      </c>
      <c r="R928" s="14">
        <f t="shared" si="29"/>
        <v>0.58615200000000001</v>
      </c>
      <c r="S928" s="14">
        <f t="shared" si="30"/>
        <v>0.80828999999999995</v>
      </c>
      <c r="T928" s="14">
        <f t="shared" si="31"/>
        <v>0.99741599999999997</v>
      </c>
      <c r="U928" s="14">
        <f t="shared" si="32"/>
        <v>1.71675</v>
      </c>
    </row>
    <row r="929" spans="1:21" x14ac:dyDescent="0.4">
      <c r="A929">
        <v>2039</v>
      </c>
      <c r="B929">
        <v>0.255</v>
      </c>
      <c r="C929">
        <v>0.34370000000000001</v>
      </c>
      <c r="D929">
        <v>0.38100000000000001</v>
      </c>
      <c r="E929">
        <v>0.46910000000000002</v>
      </c>
      <c r="F929">
        <v>0.63529999999999998</v>
      </c>
      <c r="G929">
        <v>0.91200000000000003</v>
      </c>
      <c r="H929">
        <v>1.2714000000000001</v>
      </c>
      <c r="I929">
        <v>1.7137</v>
      </c>
      <c r="J929">
        <v>3.3744999999999998</v>
      </c>
      <c r="L929">
        <f t="shared" si="33"/>
        <v>2039</v>
      </c>
      <c r="M929" s="14">
        <f t="shared" si="24"/>
        <v>0.16065000000000002</v>
      </c>
      <c r="N929" s="14">
        <f t="shared" si="25"/>
        <v>0.216531</v>
      </c>
      <c r="O929" s="14">
        <f t="shared" si="26"/>
        <v>0.24002999999999999</v>
      </c>
      <c r="P929" s="14">
        <f t="shared" si="27"/>
        <v>0.29553299999999999</v>
      </c>
      <c r="Q929" s="14">
        <f t="shared" si="28"/>
        <v>0.40023900000000001</v>
      </c>
      <c r="R929" s="14">
        <f t="shared" si="29"/>
        <v>0.57456000000000007</v>
      </c>
      <c r="S929" s="14">
        <f t="shared" si="30"/>
        <v>0.80098200000000008</v>
      </c>
      <c r="T929" s="14">
        <f t="shared" si="31"/>
        <v>1.079631</v>
      </c>
      <c r="U929" s="14">
        <f t="shared" si="32"/>
        <v>2.1259350000000001</v>
      </c>
    </row>
    <row r="930" spans="1:21" x14ac:dyDescent="0.4">
      <c r="A930">
        <v>2040</v>
      </c>
      <c r="B930">
        <v>0.24790000000000001</v>
      </c>
      <c r="C930">
        <v>0.33050000000000002</v>
      </c>
      <c r="D930">
        <v>0.38069999999999998</v>
      </c>
      <c r="E930">
        <v>0.48330000000000001</v>
      </c>
      <c r="F930">
        <v>0.63529999999999998</v>
      </c>
      <c r="G930">
        <v>0.89349999999999996</v>
      </c>
      <c r="H930">
        <v>1.2950999999999999</v>
      </c>
      <c r="I930">
        <v>1.7351000000000001</v>
      </c>
      <c r="J930">
        <v>4.9499000000000004</v>
      </c>
      <c r="L930">
        <f t="shared" si="33"/>
        <v>2040</v>
      </c>
      <c r="M930" s="14">
        <f t="shared" si="24"/>
        <v>0.15617700000000001</v>
      </c>
      <c r="N930" s="14">
        <f t="shared" si="25"/>
        <v>0.20821500000000001</v>
      </c>
      <c r="O930" s="14">
        <f t="shared" si="26"/>
        <v>0.239841</v>
      </c>
      <c r="P930" s="14">
        <f t="shared" si="27"/>
        <v>0.304479</v>
      </c>
      <c r="Q930" s="14">
        <f t="shared" si="28"/>
        <v>0.40023900000000001</v>
      </c>
      <c r="R930" s="14">
        <f t="shared" si="29"/>
        <v>0.56290499999999999</v>
      </c>
      <c r="S930" s="14">
        <f t="shared" si="30"/>
        <v>0.815913</v>
      </c>
      <c r="T930" s="14">
        <f t="shared" si="31"/>
        <v>1.093113</v>
      </c>
      <c r="U930" s="14">
        <f t="shared" si="32"/>
        <v>3.1184370000000001</v>
      </c>
    </row>
    <row r="931" spans="1:21" x14ac:dyDescent="0.4">
      <c r="A931">
        <v>2041</v>
      </c>
      <c r="B931">
        <v>0.23899999999999999</v>
      </c>
      <c r="C931">
        <v>0.33789999999999998</v>
      </c>
      <c r="D931">
        <v>0.3785</v>
      </c>
      <c r="E931">
        <v>0.47920000000000001</v>
      </c>
      <c r="F931">
        <v>0.63009999999999999</v>
      </c>
      <c r="G931">
        <v>0.88759999999999994</v>
      </c>
      <c r="H931">
        <v>1.3448</v>
      </c>
      <c r="I931">
        <v>1.7060999999999999</v>
      </c>
      <c r="J931">
        <v>3.9822000000000002</v>
      </c>
      <c r="L931">
        <f t="shared" si="33"/>
        <v>2041</v>
      </c>
      <c r="M931" s="14">
        <f t="shared" si="24"/>
        <v>0.15056999999999998</v>
      </c>
      <c r="N931" s="14">
        <f t="shared" si="25"/>
        <v>0.21287699999999998</v>
      </c>
      <c r="O931" s="14">
        <f t="shared" si="26"/>
        <v>0.238455</v>
      </c>
      <c r="P931" s="14">
        <f t="shared" si="27"/>
        <v>0.301896</v>
      </c>
      <c r="Q931" s="14">
        <f t="shared" si="28"/>
        <v>0.39696300000000001</v>
      </c>
      <c r="R931" s="14">
        <f t="shared" si="29"/>
        <v>0.55918800000000002</v>
      </c>
      <c r="S931" s="14">
        <f t="shared" si="30"/>
        <v>0.84722399999999998</v>
      </c>
      <c r="T931" s="14">
        <f t="shared" si="31"/>
        <v>1.074843</v>
      </c>
      <c r="U931" s="14">
        <f t="shared" si="32"/>
        <v>2.5087860000000002</v>
      </c>
    </row>
    <row r="932" spans="1:21" x14ac:dyDescent="0.4">
      <c r="A932">
        <v>2042</v>
      </c>
      <c r="B932">
        <v>0.24349999999999999</v>
      </c>
      <c r="C932">
        <v>0.32929999999999998</v>
      </c>
      <c r="D932">
        <v>0.375</v>
      </c>
      <c r="E932">
        <v>0.46789999999999998</v>
      </c>
      <c r="F932">
        <v>0.63539999999999996</v>
      </c>
      <c r="G932">
        <v>0.88790000000000002</v>
      </c>
      <c r="H932">
        <v>1.3738999999999999</v>
      </c>
      <c r="I932">
        <v>1.8242</v>
      </c>
      <c r="J932">
        <v>3.3147000000000002</v>
      </c>
      <c r="L932">
        <f t="shared" si="33"/>
        <v>2042</v>
      </c>
      <c r="M932" s="14">
        <f t="shared" si="24"/>
        <v>0.15340499999999999</v>
      </c>
      <c r="N932" s="14">
        <f t="shared" si="25"/>
        <v>0.20745899999999998</v>
      </c>
      <c r="O932" s="14">
        <f t="shared" si="26"/>
        <v>0.23625000000000002</v>
      </c>
      <c r="P932" s="14">
        <f t="shared" si="27"/>
        <v>0.29477700000000001</v>
      </c>
      <c r="Q932" s="14">
        <f t="shared" si="28"/>
        <v>0.40030199999999999</v>
      </c>
      <c r="R932" s="14">
        <f t="shared" si="29"/>
        <v>0.55937700000000001</v>
      </c>
      <c r="S932" s="14">
        <f t="shared" si="30"/>
        <v>0.86555699999999991</v>
      </c>
      <c r="T932" s="14">
        <f t="shared" si="31"/>
        <v>1.149246</v>
      </c>
      <c r="U932" s="14">
        <f t="shared" si="32"/>
        <v>2.0882610000000001</v>
      </c>
    </row>
    <row r="933" spans="1:21" x14ac:dyDescent="0.4">
      <c r="A933">
        <v>2043</v>
      </c>
      <c r="B933">
        <v>0.25629999999999997</v>
      </c>
      <c r="C933">
        <v>0.32329999999999998</v>
      </c>
      <c r="D933">
        <v>0.37609999999999999</v>
      </c>
      <c r="E933">
        <v>0.47699999999999998</v>
      </c>
      <c r="F933">
        <v>0.63580000000000003</v>
      </c>
      <c r="G933">
        <v>0.90110000000000001</v>
      </c>
      <c r="H933">
        <v>1.3928</v>
      </c>
      <c r="I933">
        <v>2.0051000000000001</v>
      </c>
      <c r="J933">
        <v>4.1307</v>
      </c>
      <c r="L933">
        <f t="shared" si="33"/>
        <v>2043</v>
      </c>
      <c r="M933" s="14">
        <f t="shared" si="24"/>
        <v>0.16146899999999997</v>
      </c>
      <c r="N933" s="14">
        <f t="shared" si="25"/>
        <v>0.203679</v>
      </c>
      <c r="O933" s="14">
        <f t="shared" si="26"/>
        <v>0.23694299999999999</v>
      </c>
      <c r="P933" s="14">
        <f t="shared" si="27"/>
        <v>0.30051</v>
      </c>
      <c r="Q933" s="14">
        <f t="shared" si="28"/>
        <v>0.40055400000000002</v>
      </c>
      <c r="R933" s="14">
        <f t="shared" si="29"/>
        <v>0.567693</v>
      </c>
      <c r="S933" s="14">
        <f t="shared" si="30"/>
        <v>0.87746400000000002</v>
      </c>
      <c r="T933" s="14">
        <f t="shared" si="31"/>
        <v>1.2632130000000001</v>
      </c>
      <c r="U933" s="14">
        <f t="shared" si="32"/>
        <v>2.602341</v>
      </c>
    </row>
    <row r="934" spans="1:21" x14ac:dyDescent="0.4">
      <c r="A934">
        <v>2044</v>
      </c>
      <c r="B934">
        <v>0.25590000000000002</v>
      </c>
      <c r="C934">
        <v>0.33129999999999998</v>
      </c>
      <c r="D934">
        <v>0.37390000000000001</v>
      </c>
      <c r="E934">
        <v>0.47749999999999998</v>
      </c>
      <c r="F934">
        <v>0.63200000000000001</v>
      </c>
      <c r="G934">
        <v>0.92020000000000002</v>
      </c>
      <c r="H934">
        <v>1.4556</v>
      </c>
      <c r="I934">
        <v>2.0112999999999999</v>
      </c>
      <c r="J934">
        <v>4.3140000000000001</v>
      </c>
      <c r="L934">
        <f t="shared" si="33"/>
        <v>2044</v>
      </c>
      <c r="M934" s="14">
        <f t="shared" si="24"/>
        <v>0.161217</v>
      </c>
      <c r="N934" s="14">
        <f t="shared" si="25"/>
        <v>0.20871899999999999</v>
      </c>
      <c r="O934" s="14">
        <f t="shared" si="26"/>
        <v>0.23555700000000002</v>
      </c>
      <c r="P934" s="14">
        <f t="shared" si="27"/>
        <v>0.30082500000000001</v>
      </c>
      <c r="Q934" s="14">
        <f t="shared" si="28"/>
        <v>0.39816000000000001</v>
      </c>
      <c r="R934" s="14">
        <f t="shared" si="29"/>
        <v>0.57972599999999996</v>
      </c>
      <c r="S934" s="14">
        <f t="shared" si="30"/>
        <v>0.91702799999999995</v>
      </c>
      <c r="T934" s="14">
        <f t="shared" si="31"/>
        <v>1.2671189999999999</v>
      </c>
      <c r="U934" s="14">
        <f t="shared" si="32"/>
        <v>2.7178200000000001</v>
      </c>
    </row>
    <row r="935" spans="1:21" x14ac:dyDescent="0.4">
      <c r="A935">
        <v>2045</v>
      </c>
      <c r="B935">
        <v>0.24560000000000001</v>
      </c>
      <c r="C935">
        <v>0.33460000000000001</v>
      </c>
      <c r="D935">
        <v>0.38450000000000001</v>
      </c>
      <c r="E935">
        <v>0.46810000000000002</v>
      </c>
      <c r="F935">
        <v>0.62480000000000002</v>
      </c>
      <c r="G935">
        <v>0.91479999999999995</v>
      </c>
      <c r="H935">
        <v>1.4342999999999999</v>
      </c>
      <c r="I935">
        <v>1.9824999999999999</v>
      </c>
      <c r="J935">
        <v>3.9952000000000001</v>
      </c>
      <c r="L935">
        <f t="shared" si="33"/>
        <v>2045</v>
      </c>
      <c r="M935" s="14">
        <f t="shared" si="24"/>
        <v>0.154728</v>
      </c>
      <c r="N935" s="14">
        <f t="shared" si="25"/>
        <v>0.21079800000000001</v>
      </c>
      <c r="O935" s="14">
        <f t="shared" si="26"/>
        <v>0.24223500000000001</v>
      </c>
      <c r="P935" s="14">
        <f t="shared" si="27"/>
        <v>0.29490300000000003</v>
      </c>
      <c r="Q935" s="14">
        <f t="shared" si="28"/>
        <v>0.39362400000000003</v>
      </c>
      <c r="R935" s="14">
        <f t="shared" si="29"/>
        <v>0.57632399999999995</v>
      </c>
      <c r="S935" s="14">
        <f t="shared" si="30"/>
        <v>0.903609</v>
      </c>
      <c r="T935" s="14">
        <f t="shared" si="31"/>
        <v>1.2489749999999999</v>
      </c>
      <c r="U935" s="14">
        <f t="shared" si="32"/>
        <v>2.5169760000000001</v>
      </c>
    </row>
    <row r="936" spans="1:21" x14ac:dyDescent="0.4">
      <c r="A936">
        <v>2046</v>
      </c>
      <c r="B936">
        <v>0.23469999999999999</v>
      </c>
      <c r="C936">
        <v>0.33160000000000001</v>
      </c>
      <c r="D936">
        <v>0.37780000000000002</v>
      </c>
      <c r="E936">
        <v>0.46439999999999998</v>
      </c>
      <c r="F936">
        <v>0.62770000000000004</v>
      </c>
      <c r="G936">
        <v>0.91259999999999997</v>
      </c>
      <c r="H936">
        <v>1.3962000000000001</v>
      </c>
      <c r="I936">
        <v>2.0224000000000002</v>
      </c>
      <c r="J936">
        <v>3.4767999999999999</v>
      </c>
      <c r="L936">
        <f t="shared" si="33"/>
        <v>2046</v>
      </c>
      <c r="M936" s="14">
        <f t="shared" si="24"/>
        <v>0.14786099999999999</v>
      </c>
      <c r="N936" s="14">
        <f t="shared" si="25"/>
        <v>0.20890800000000001</v>
      </c>
      <c r="O936" s="14">
        <f t="shared" si="26"/>
        <v>0.23801400000000003</v>
      </c>
      <c r="P936" s="14">
        <f t="shared" si="27"/>
        <v>0.292572</v>
      </c>
      <c r="Q936" s="14">
        <f t="shared" si="28"/>
        <v>0.39545100000000005</v>
      </c>
      <c r="R936" s="14">
        <f t="shared" si="29"/>
        <v>0.57493799999999995</v>
      </c>
      <c r="S936" s="14">
        <f t="shared" si="30"/>
        <v>0.87960600000000011</v>
      </c>
      <c r="T936" s="14">
        <f t="shared" si="31"/>
        <v>1.2741120000000001</v>
      </c>
      <c r="U936" s="14">
        <f t="shared" si="32"/>
        <v>2.1903839999999999</v>
      </c>
    </row>
    <row r="937" spans="1:21" x14ac:dyDescent="0.4">
      <c r="A937">
        <v>2047</v>
      </c>
      <c r="B937">
        <v>0.24340000000000001</v>
      </c>
      <c r="C937">
        <v>0.34250000000000003</v>
      </c>
      <c r="D937">
        <v>0.38650000000000001</v>
      </c>
      <c r="E937">
        <v>0.4773</v>
      </c>
      <c r="F937">
        <v>0.62949999999999995</v>
      </c>
      <c r="G937">
        <v>0.90669999999999995</v>
      </c>
      <c r="H937">
        <v>1.3833</v>
      </c>
      <c r="I937">
        <v>1.8721000000000001</v>
      </c>
      <c r="J937">
        <v>4.3695000000000004</v>
      </c>
      <c r="L937">
        <f t="shared" si="33"/>
        <v>2047</v>
      </c>
      <c r="M937" s="14">
        <f t="shared" si="24"/>
        <v>0.15334200000000001</v>
      </c>
      <c r="N937" s="14">
        <f t="shared" si="25"/>
        <v>0.21577500000000002</v>
      </c>
      <c r="O937" s="14">
        <f t="shared" si="26"/>
        <v>0.24349500000000002</v>
      </c>
      <c r="P937" s="14">
        <f t="shared" si="27"/>
        <v>0.30069899999999999</v>
      </c>
      <c r="Q937" s="14">
        <f t="shared" si="28"/>
        <v>0.39658499999999997</v>
      </c>
      <c r="R937" s="14">
        <f t="shared" si="29"/>
        <v>0.57122099999999998</v>
      </c>
      <c r="S937" s="14">
        <f t="shared" si="30"/>
        <v>0.871479</v>
      </c>
      <c r="T937" s="14">
        <f t="shared" si="31"/>
        <v>1.1794230000000001</v>
      </c>
      <c r="U937" s="14">
        <f t="shared" si="32"/>
        <v>2.7527850000000003</v>
      </c>
    </row>
    <row r="938" spans="1:21" x14ac:dyDescent="0.4">
      <c r="A938">
        <v>2048</v>
      </c>
      <c r="B938">
        <v>0.24990000000000001</v>
      </c>
      <c r="C938">
        <v>0.34239999999999998</v>
      </c>
      <c r="D938">
        <v>0.38619999999999999</v>
      </c>
      <c r="E938">
        <v>0.48010000000000003</v>
      </c>
      <c r="F938">
        <v>0.63719999999999999</v>
      </c>
      <c r="G938">
        <v>0.89570000000000005</v>
      </c>
      <c r="H938">
        <v>1.353</v>
      </c>
      <c r="I938">
        <v>1.891</v>
      </c>
      <c r="J938">
        <v>4.2945000000000002</v>
      </c>
      <c r="L938">
        <f t="shared" si="33"/>
        <v>2048</v>
      </c>
      <c r="M938" s="14">
        <f t="shared" si="24"/>
        <v>0.15743700000000002</v>
      </c>
      <c r="N938" s="14">
        <f t="shared" si="25"/>
        <v>0.21571199999999999</v>
      </c>
      <c r="O938" s="14">
        <f t="shared" si="26"/>
        <v>0.24330599999999999</v>
      </c>
      <c r="P938" s="14">
        <f t="shared" si="27"/>
        <v>0.30246300000000004</v>
      </c>
      <c r="Q938" s="14">
        <f t="shared" si="28"/>
        <v>0.40143600000000002</v>
      </c>
      <c r="R938" s="14">
        <f t="shared" si="29"/>
        <v>0.56429099999999999</v>
      </c>
      <c r="S938" s="14">
        <f t="shared" si="30"/>
        <v>0.85238999999999998</v>
      </c>
      <c r="T938" s="14">
        <f t="shared" si="31"/>
        <v>1.19133</v>
      </c>
      <c r="U938" s="14">
        <f t="shared" si="32"/>
        <v>2.7055350000000002</v>
      </c>
    </row>
    <row r="939" spans="1:21" x14ac:dyDescent="0.4">
      <c r="A939">
        <v>2049</v>
      </c>
      <c r="B939">
        <v>0.23860000000000001</v>
      </c>
      <c r="C939">
        <v>0.34160000000000001</v>
      </c>
      <c r="D939">
        <v>0.38429999999999997</v>
      </c>
      <c r="E939">
        <v>0.4713</v>
      </c>
      <c r="F939">
        <v>0.62990000000000002</v>
      </c>
      <c r="G939">
        <v>0.93530000000000002</v>
      </c>
      <c r="H939">
        <v>1.3314999999999999</v>
      </c>
      <c r="I939">
        <v>1.7787999999999999</v>
      </c>
      <c r="J939">
        <v>5.2199</v>
      </c>
      <c r="L939">
        <f t="shared" si="33"/>
        <v>2049</v>
      </c>
      <c r="M939" s="14">
        <f t="shared" si="24"/>
        <v>0.15031800000000001</v>
      </c>
      <c r="N939" s="14">
        <f t="shared" si="25"/>
        <v>0.21520800000000001</v>
      </c>
      <c r="O939" s="14">
        <f t="shared" si="26"/>
        <v>0.24210899999999999</v>
      </c>
      <c r="P939" s="14">
        <f t="shared" si="27"/>
        <v>0.29691899999999999</v>
      </c>
      <c r="Q939" s="14">
        <f t="shared" si="28"/>
        <v>0.396837</v>
      </c>
      <c r="R939" s="14">
        <f t="shared" si="29"/>
        <v>0.58923900000000007</v>
      </c>
      <c r="S939" s="14">
        <f t="shared" si="30"/>
        <v>0.83884499999999995</v>
      </c>
      <c r="T939" s="14">
        <f t="shared" si="31"/>
        <v>1.120644</v>
      </c>
      <c r="U939" s="14">
        <f t="shared" si="32"/>
        <v>3.2885369999999998</v>
      </c>
    </row>
    <row r="940" spans="1:21" x14ac:dyDescent="0.4">
      <c r="A940">
        <v>2050</v>
      </c>
      <c r="B940">
        <v>0.23619999999999999</v>
      </c>
      <c r="C940">
        <v>0.33610000000000001</v>
      </c>
      <c r="D940">
        <v>0.38400000000000001</v>
      </c>
      <c r="E940">
        <v>0.47339999999999999</v>
      </c>
      <c r="F940">
        <v>0.62129999999999996</v>
      </c>
      <c r="G940">
        <v>0.92479999999999996</v>
      </c>
      <c r="H940">
        <v>1.4177999999999999</v>
      </c>
      <c r="I940">
        <v>1.8787</v>
      </c>
      <c r="J940">
        <v>4.4382999999999999</v>
      </c>
      <c r="L940">
        <f t="shared" si="33"/>
        <v>2050</v>
      </c>
      <c r="M940" s="14">
        <f t="shared" si="24"/>
        <v>0.14880599999999999</v>
      </c>
      <c r="N940" s="14">
        <f t="shared" si="25"/>
        <v>0.21174300000000001</v>
      </c>
      <c r="O940" s="14">
        <f t="shared" si="26"/>
        <v>0.24192</v>
      </c>
      <c r="P940" s="14">
        <f t="shared" si="27"/>
        <v>0.29824200000000001</v>
      </c>
      <c r="Q940" s="14">
        <f t="shared" si="28"/>
        <v>0.39141899999999996</v>
      </c>
      <c r="R940" s="14">
        <f t="shared" si="29"/>
        <v>0.58262400000000003</v>
      </c>
      <c r="S940" s="14">
        <f t="shared" si="30"/>
        <v>0.89321399999999995</v>
      </c>
      <c r="T940" s="14">
        <f t="shared" si="31"/>
        <v>1.183581</v>
      </c>
      <c r="U940" s="14">
        <f t="shared" si="32"/>
        <v>2.7961290000000001</v>
      </c>
    </row>
    <row r="941" spans="1:21" x14ac:dyDescent="0.4">
      <c r="A941">
        <v>2051</v>
      </c>
      <c r="B941">
        <v>0.2606</v>
      </c>
      <c r="C941">
        <v>0.34710000000000002</v>
      </c>
      <c r="D941">
        <v>0.38100000000000001</v>
      </c>
      <c r="E941">
        <v>0.47899999999999998</v>
      </c>
      <c r="F941">
        <v>0.63429999999999997</v>
      </c>
      <c r="G941">
        <v>0.94110000000000005</v>
      </c>
      <c r="H941">
        <v>1.3684000000000001</v>
      </c>
      <c r="I941">
        <v>1.9702</v>
      </c>
      <c r="J941">
        <v>3.6564000000000001</v>
      </c>
      <c r="L941">
        <f t="shared" si="33"/>
        <v>2051</v>
      </c>
      <c r="M941" s="14">
        <f t="shared" si="24"/>
        <v>0.16417799999999999</v>
      </c>
      <c r="N941" s="14">
        <f t="shared" si="25"/>
        <v>0.21867300000000001</v>
      </c>
      <c r="O941" s="14">
        <f t="shared" si="26"/>
        <v>0.24002999999999999</v>
      </c>
      <c r="P941" s="14">
        <f t="shared" si="27"/>
        <v>0.30176999999999998</v>
      </c>
      <c r="Q941" s="14">
        <f t="shared" si="28"/>
        <v>0.39960899999999999</v>
      </c>
      <c r="R941" s="14">
        <f t="shared" si="29"/>
        <v>0.592893</v>
      </c>
      <c r="S941" s="14">
        <f t="shared" si="30"/>
        <v>0.86209200000000008</v>
      </c>
      <c r="T941" s="14">
        <f t="shared" si="31"/>
        <v>1.2412259999999999</v>
      </c>
      <c r="U941" s="14">
        <f t="shared" si="32"/>
        <v>2.3035320000000001</v>
      </c>
    </row>
    <row r="942" spans="1:21" x14ac:dyDescent="0.4">
      <c r="A942">
        <v>2052</v>
      </c>
      <c r="B942">
        <v>0.26329999999999998</v>
      </c>
      <c r="C942">
        <v>0.34139999999999998</v>
      </c>
      <c r="D942">
        <v>0.38629999999999998</v>
      </c>
      <c r="E942">
        <v>0.47089999999999999</v>
      </c>
      <c r="F942">
        <v>0.6371</v>
      </c>
      <c r="G942">
        <v>0.94510000000000005</v>
      </c>
      <c r="H942">
        <v>1.3620000000000001</v>
      </c>
      <c r="I942">
        <v>1.9621</v>
      </c>
      <c r="J942">
        <v>4.7603</v>
      </c>
      <c r="L942">
        <f t="shared" si="33"/>
        <v>2052</v>
      </c>
      <c r="M942" s="14">
        <f t="shared" si="24"/>
        <v>0.165879</v>
      </c>
      <c r="N942" s="14">
        <f t="shared" si="25"/>
        <v>0.215082</v>
      </c>
      <c r="O942" s="14">
        <f t="shared" si="26"/>
        <v>0.24336899999999997</v>
      </c>
      <c r="P942" s="14">
        <f t="shared" si="27"/>
        <v>0.29666700000000001</v>
      </c>
      <c r="Q942" s="14">
        <f t="shared" si="28"/>
        <v>0.40137299999999998</v>
      </c>
      <c r="R942" s="14">
        <f t="shared" si="29"/>
        <v>0.59541300000000008</v>
      </c>
      <c r="S942" s="14">
        <f t="shared" si="30"/>
        <v>0.85806000000000004</v>
      </c>
      <c r="T942" s="14">
        <f t="shared" si="31"/>
        <v>1.2361230000000001</v>
      </c>
      <c r="U942" s="14">
        <f t="shared" si="32"/>
        <v>2.9989889999999999</v>
      </c>
    </row>
    <row r="943" spans="1:21" x14ac:dyDescent="0.4">
      <c r="A943">
        <v>2053</v>
      </c>
      <c r="B943">
        <v>0.27600000000000002</v>
      </c>
      <c r="C943">
        <v>0.3377</v>
      </c>
      <c r="D943">
        <v>0.38619999999999999</v>
      </c>
      <c r="E943">
        <v>0.46760000000000002</v>
      </c>
      <c r="F943">
        <v>0.62860000000000005</v>
      </c>
      <c r="G943">
        <v>0.9446</v>
      </c>
      <c r="H943">
        <v>1.4409000000000001</v>
      </c>
      <c r="I943">
        <v>1.9829000000000001</v>
      </c>
      <c r="J943">
        <v>3.5975000000000001</v>
      </c>
      <c r="L943">
        <f t="shared" si="33"/>
        <v>2053</v>
      </c>
      <c r="M943" s="14">
        <f t="shared" si="24"/>
        <v>0.17388000000000001</v>
      </c>
      <c r="N943" s="14">
        <f t="shared" si="25"/>
        <v>0.212751</v>
      </c>
      <c r="O943" s="14">
        <f t="shared" si="26"/>
        <v>0.24330599999999999</v>
      </c>
      <c r="P943" s="14">
        <f t="shared" si="27"/>
        <v>0.29458800000000002</v>
      </c>
      <c r="Q943" s="14">
        <f t="shared" si="28"/>
        <v>0.39601800000000004</v>
      </c>
      <c r="R943" s="14">
        <f t="shared" si="29"/>
        <v>0.59509800000000002</v>
      </c>
      <c r="S943" s="14">
        <f t="shared" si="30"/>
        <v>0.9077670000000001</v>
      </c>
      <c r="T943" s="14">
        <f t="shared" si="31"/>
        <v>1.2492270000000001</v>
      </c>
      <c r="U943" s="14">
        <f t="shared" si="32"/>
        <v>2.2664249999999999</v>
      </c>
    </row>
    <row r="944" spans="1:21" x14ac:dyDescent="0.4">
      <c r="A944">
        <v>2054</v>
      </c>
      <c r="B944">
        <v>0.28489999999999999</v>
      </c>
      <c r="C944">
        <v>0.33479999999999999</v>
      </c>
      <c r="D944">
        <v>0.38540000000000002</v>
      </c>
      <c r="E944">
        <v>0.46810000000000002</v>
      </c>
      <c r="F944">
        <v>0.62839999999999996</v>
      </c>
      <c r="G944">
        <v>0.93859999999999999</v>
      </c>
      <c r="H944">
        <v>1.4081999999999999</v>
      </c>
      <c r="I944">
        <v>1.9894000000000001</v>
      </c>
      <c r="J944">
        <v>3.8136999999999999</v>
      </c>
      <c r="L944">
        <f t="shared" si="33"/>
        <v>2054</v>
      </c>
      <c r="M944" s="14">
        <f t="shared" si="24"/>
        <v>0.17948699999999998</v>
      </c>
      <c r="N944" s="14">
        <f t="shared" si="25"/>
        <v>0.210924</v>
      </c>
      <c r="O944" s="14">
        <f t="shared" si="26"/>
        <v>0.24280200000000002</v>
      </c>
      <c r="P944" s="14">
        <f t="shared" si="27"/>
        <v>0.29490300000000003</v>
      </c>
      <c r="Q944" s="14">
        <f t="shared" si="28"/>
        <v>0.39589199999999997</v>
      </c>
      <c r="R944" s="14">
        <f t="shared" si="29"/>
        <v>0.59131800000000001</v>
      </c>
      <c r="S944" s="14">
        <f t="shared" si="30"/>
        <v>0.8871659999999999</v>
      </c>
      <c r="T944" s="14">
        <f t="shared" si="31"/>
        <v>1.253322</v>
      </c>
      <c r="U944" s="14">
        <f t="shared" si="32"/>
        <v>2.402631</v>
      </c>
    </row>
    <row r="945" spans="1:21" x14ac:dyDescent="0.4">
      <c r="A945">
        <v>2055</v>
      </c>
      <c r="B945">
        <v>0.27460000000000001</v>
      </c>
      <c r="C945">
        <v>0.33979999999999999</v>
      </c>
      <c r="D945">
        <v>0.37730000000000002</v>
      </c>
      <c r="E945">
        <v>0.46939999999999998</v>
      </c>
      <c r="F945">
        <v>0.62370000000000003</v>
      </c>
      <c r="G945">
        <v>0.89380000000000004</v>
      </c>
      <c r="H945">
        <v>1.3818999999999999</v>
      </c>
      <c r="I945">
        <v>2.0057999999999998</v>
      </c>
      <c r="J945">
        <v>4.3611000000000004</v>
      </c>
      <c r="L945">
        <f t="shared" si="33"/>
        <v>2055</v>
      </c>
      <c r="M945" s="14">
        <f t="shared" si="24"/>
        <v>0.17299800000000001</v>
      </c>
      <c r="N945" s="14">
        <f t="shared" si="25"/>
        <v>0.21407399999999999</v>
      </c>
      <c r="O945" s="14">
        <f t="shared" si="26"/>
        <v>0.23769900000000002</v>
      </c>
      <c r="P945" s="14">
        <f t="shared" si="27"/>
        <v>0.29572199999999998</v>
      </c>
      <c r="Q945" s="14">
        <f t="shared" si="28"/>
        <v>0.39293100000000003</v>
      </c>
      <c r="R945" s="14">
        <f t="shared" si="29"/>
        <v>0.56309399999999998</v>
      </c>
      <c r="S945" s="14">
        <f t="shared" si="30"/>
        <v>0.87059699999999995</v>
      </c>
      <c r="T945" s="14">
        <f t="shared" si="31"/>
        <v>1.2636539999999998</v>
      </c>
      <c r="U945" s="14">
        <f t="shared" si="32"/>
        <v>2.7474930000000004</v>
      </c>
    </row>
    <row r="946" spans="1:21" x14ac:dyDescent="0.4">
      <c r="A946">
        <v>2056</v>
      </c>
      <c r="B946">
        <v>0.26379999999999998</v>
      </c>
      <c r="C946">
        <v>0.3377</v>
      </c>
      <c r="D946">
        <v>0.37159999999999999</v>
      </c>
      <c r="E946">
        <v>0.46160000000000001</v>
      </c>
      <c r="F946">
        <v>0.62870000000000004</v>
      </c>
      <c r="G946">
        <v>0.8992</v>
      </c>
      <c r="H946">
        <v>1.2863</v>
      </c>
      <c r="I946">
        <v>1.6823999999999999</v>
      </c>
      <c r="J946">
        <v>4.5319000000000003</v>
      </c>
      <c r="L946">
        <f t="shared" si="33"/>
        <v>2056</v>
      </c>
      <c r="M946" s="14">
        <f t="shared" si="24"/>
        <v>0.16619399999999998</v>
      </c>
      <c r="N946" s="14">
        <f t="shared" si="25"/>
        <v>0.212751</v>
      </c>
      <c r="O946" s="14">
        <f t="shared" si="26"/>
        <v>0.23410799999999998</v>
      </c>
      <c r="P946" s="14">
        <f t="shared" si="27"/>
        <v>0.29080800000000001</v>
      </c>
      <c r="Q946" s="14">
        <f t="shared" si="28"/>
        <v>0.39608100000000002</v>
      </c>
      <c r="R946" s="14">
        <f t="shared" si="29"/>
        <v>0.566496</v>
      </c>
      <c r="S946" s="14">
        <f t="shared" si="30"/>
        <v>0.81036900000000001</v>
      </c>
      <c r="T946" s="14">
        <f t="shared" si="31"/>
        <v>1.059912</v>
      </c>
      <c r="U946" s="14">
        <f t="shared" si="32"/>
        <v>2.8550970000000002</v>
      </c>
    </row>
    <row r="947" spans="1:21" x14ac:dyDescent="0.4">
      <c r="A947">
        <v>2057</v>
      </c>
      <c r="B947">
        <v>0.2571</v>
      </c>
      <c r="C947">
        <v>0.33610000000000001</v>
      </c>
      <c r="D947">
        <v>0.37580000000000002</v>
      </c>
      <c r="E947">
        <v>0.46679999999999999</v>
      </c>
      <c r="F947">
        <v>0.62749999999999995</v>
      </c>
      <c r="G947">
        <v>0.88400000000000001</v>
      </c>
      <c r="H947">
        <v>1.272</v>
      </c>
      <c r="I947">
        <v>1.7305999999999999</v>
      </c>
      <c r="J947">
        <v>3.4167000000000001</v>
      </c>
      <c r="L947">
        <f t="shared" si="33"/>
        <v>2057</v>
      </c>
      <c r="M947" s="14">
        <f t="shared" si="24"/>
        <v>0.16197300000000001</v>
      </c>
      <c r="N947" s="14">
        <f t="shared" si="25"/>
        <v>0.21174300000000001</v>
      </c>
      <c r="O947" s="14">
        <f t="shared" si="26"/>
        <v>0.23675400000000002</v>
      </c>
      <c r="P947" s="14">
        <f t="shared" si="27"/>
        <v>0.29408400000000001</v>
      </c>
      <c r="Q947" s="14">
        <f t="shared" si="28"/>
        <v>0.39532499999999998</v>
      </c>
      <c r="R947" s="14">
        <f t="shared" si="29"/>
        <v>0.55691999999999997</v>
      </c>
      <c r="S947" s="14">
        <f t="shared" si="30"/>
        <v>0.80136000000000007</v>
      </c>
      <c r="T947" s="14">
        <f t="shared" si="31"/>
        <v>1.0902779999999999</v>
      </c>
      <c r="U947" s="14">
        <f t="shared" si="32"/>
        <v>2.1525210000000001</v>
      </c>
    </row>
    <row r="948" spans="1:21" x14ac:dyDescent="0.4">
      <c r="A948">
        <v>2058</v>
      </c>
      <c r="B948">
        <v>0.25140000000000001</v>
      </c>
      <c r="C948">
        <v>0.3281</v>
      </c>
      <c r="D948">
        <v>0.38269999999999998</v>
      </c>
      <c r="E948">
        <v>0.46560000000000001</v>
      </c>
      <c r="F948">
        <v>0.62770000000000004</v>
      </c>
      <c r="G948">
        <v>0.90129999999999999</v>
      </c>
      <c r="H948">
        <v>1.3379000000000001</v>
      </c>
      <c r="I948">
        <v>1.6738</v>
      </c>
      <c r="J948">
        <v>3.2725</v>
      </c>
      <c r="L948">
        <f t="shared" si="33"/>
        <v>2058</v>
      </c>
      <c r="M948" s="14">
        <f t="shared" si="24"/>
        <v>0.15838200000000002</v>
      </c>
      <c r="N948" s="14">
        <f t="shared" si="25"/>
        <v>0.206703</v>
      </c>
      <c r="O948" s="14">
        <f t="shared" si="26"/>
        <v>0.24110099999999998</v>
      </c>
      <c r="P948" s="14">
        <f t="shared" si="27"/>
        <v>0.29332800000000003</v>
      </c>
      <c r="Q948" s="14">
        <f t="shared" si="28"/>
        <v>0.39545100000000005</v>
      </c>
      <c r="R948" s="14">
        <f t="shared" si="29"/>
        <v>0.56781899999999996</v>
      </c>
      <c r="S948" s="14">
        <f t="shared" si="30"/>
        <v>0.8428770000000001</v>
      </c>
      <c r="T948" s="14">
        <f t="shared" si="31"/>
        <v>1.054494</v>
      </c>
      <c r="U948" s="14">
        <f t="shared" si="32"/>
        <v>2.0616750000000001</v>
      </c>
    </row>
    <row r="949" spans="1:21" x14ac:dyDescent="0.4">
      <c r="A949">
        <v>2059</v>
      </c>
      <c r="B949">
        <v>0.25</v>
      </c>
      <c r="C949">
        <v>0.3347</v>
      </c>
      <c r="D949">
        <v>0.38229999999999997</v>
      </c>
      <c r="E949">
        <v>0.47260000000000002</v>
      </c>
      <c r="F949">
        <v>0.62280000000000002</v>
      </c>
      <c r="G949">
        <v>0.90800000000000003</v>
      </c>
      <c r="H949">
        <v>1.3140000000000001</v>
      </c>
      <c r="I949">
        <v>1.9986999999999999</v>
      </c>
      <c r="J949">
        <v>4.0726000000000004</v>
      </c>
      <c r="L949">
        <f t="shared" si="33"/>
        <v>2059</v>
      </c>
      <c r="M949" s="14">
        <f t="shared" si="24"/>
        <v>0.1575</v>
      </c>
      <c r="N949" s="14">
        <f t="shared" si="25"/>
        <v>0.21086099999999999</v>
      </c>
      <c r="O949" s="14">
        <f t="shared" si="26"/>
        <v>0.24084899999999998</v>
      </c>
      <c r="P949" s="14">
        <f t="shared" si="27"/>
        <v>0.297738</v>
      </c>
      <c r="Q949" s="14">
        <f t="shared" si="28"/>
        <v>0.39236399999999999</v>
      </c>
      <c r="R949" s="14">
        <f t="shared" si="29"/>
        <v>0.57203999999999999</v>
      </c>
      <c r="S949" s="14">
        <f t="shared" si="30"/>
        <v>0.82782</v>
      </c>
      <c r="T949" s="14">
        <f t="shared" si="31"/>
        <v>1.2591809999999999</v>
      </c>
      <c r="U949" s="14">
        <f t="shared" si="32"/>
        <v>2.5657380000000005</v>
      </c>
    </row>
    <row r="950" spans="1:21" x14ac:dyDescent="0.4">
      <c r="A950">
        <v>2060</v>
      </c>
      <c r="B950">
        <v>0.22670000000000001</v>
      </c>
      <c r="C950">
        <v>0.33150000000000002</v>
      </c>
      <c r="D950">
        <v>0.3886</v>
      </c>
      <c r="E950">
        <v>0.47060000000000002</v>
      </c>
      <c r="F950">
        <v>0.62709999999999999</v>
      </c>
      <c r="G950">
        <v>0.92079999999999995</v>
      </c>
      <c r="H950">
        <v>1.4343999999999999</v>
      </c>
      <c r="I950">
        <v>2.0848</v>
      </c>
      <c r="J950">
        <v>4.7760999999999996</v>
      </c>
      <c r="L950">
        <f t="shared" si="33"/>
        <v>2060</v>
      </c>
      <c r="M950" s="14">
        <f t="shared" si="24"/>
        <v>0.142821</v>
      </c>
      <c r="N950" s="14">
        <f t="shared" si="25"/>
        <v>0.208845</v>
      </c>
      <c r="O950" s="14">
        <f t="shared" si="26"/>
        <v>0.24481800000000001</v>
      </c>
      <c r="P950" s="14">
        <f t="shared" si="27"/>
        <v>0.29647800000000002</v>
      </c>
      <c r="Q950" s="14">
        <f t="shared" si="28"/>
        <v>0.39507300000000001</v>
      </c>
      <c r="R950" s="14">
        <f t="shared" si="29"/>
        <v>0.58010399999999995</v>
      </c>
      <c r="S950" s="14">
        <f t="shared" si="30"/>
        <v>0.90367199999999992</v>
      </c>
      <c r="T950" s="14">
        <f t="shared" si="31"/>
        <v>1.3134239999999999</v>
      </c>
      <c r="U950" s="14">
        <f t="shared" si="32"/>
        <v>3.0089429999999999</v>
      </c>
    </row>
    <row r="951" spans="1:21" x14ac:dyDescent="0.4">
      <c r="A951">
        <v>2061</v>
      </c>
      <c r="B951">
        <v>0.21909999999999999</v>
      </c>
      <c r="C951">
        <v>0.33450000000000002</v>
      </c>
      <c r="D951">
        <v>0.38450000000000001</v>
      </c>
      <c r="E951">
        <v>0.48609999999999998</v>
      </c>
      <c r="F951">
        <v>0.62980000000000003</v>
      </c>
      <c r="G951">
        <v>0.93010000000000004</v>
      </c>
      <c r="H951">
        <v>1.3996999999999999</v>
      </c>
      <c r="I951">
        <v>2.1465999999999998</v>
      </c>
      <c r="J951">
        <v>5.0789999999999997</v>
      </c>
      <c r="L951">
        <f t="shared" si="33"/>
        <v>2061</v>
      </c>
      <c r="M951" s="14">
        <f t="shared" si="24"/>
        <v>0.13803299999999999</v>
      </c>
      <c r="N951" s="14">
        <f t="shared" si="25"/>
        <v>0.21073500000000001</v>
      </c>
      <c r="O951" s="14">
        <f t="shared" si="26"/>
        <v>0.24223500000000001</v>
      </c>
      <c r="P951" s="14">
        <f t="shared" si="27"/>
        <v>0.30624299999999999</v>
      </c>
      <c r="Q951" s="14">
        <f t="shared" si="28"/>
        <v>0.39677400000000002</v>
      </c>
      <c r="R951" s="14">
        <f t="shared" si="29"/>
        <v>0.58596300000000001</v>
      </c>
      <c r="S951" s="14">
        <f t="shared" si="30"/>
        <v>0.88181100000000001</v>
      </c>
      <c r="T951" s="14">
        <f t="shared" si="31"/>
        <v>1.3523579999999999</v>
      </c>
      <c r="U951" s="14">
        <f t="shared" si="32"/>
        <v>3.19977</v>
      </c>
    </row>
    <row r="952" spans="1:21" x14ac:dyDescent="0.4">
      <c r="A952">
        <v>2062</v>
      </c>
      <c r="B952">
        <v>0.2303</v>
      </c>
      <c r="C952">
        <v>0.33200000000000002</v>
      </c>
      <c r="D952">
        <v>0.38629999999999998</v>
      </c>
      <c r="E952">
        <v>0.48149999999999998</v>
      </c>
      <c r="F952">
        <v>0.64</v>
      </c>
      <c r="G952">
        <v>0.94079999999999997</v>
      </c>
      <c r="H952">
        <v>1.4056</v>
      </c>
      <c r="I952">
        <v>1.9086000000000001</v>
      </c>
      <c r="J952">
        <v>5.0841000000000003</v>
      </c>
      <c r="L952">
        <f t="shared" si="33"/>
        <v>2062</v>
      </c>
      <c r="M952" s="14">
        <f t="shared" si="24"/>
        <v>0.145089</v>
      </c>
      <c r="N952" s="14">
        <f t="shared" si="25"/>
        <v>0.20916000000000001</v>
      </c>
      <c r="O952" s="14">
        <f t="shared" si="26"/>
        <v>0.24336899999999997</v>
      </c>
      <c r="P952" s="14">
        <f t="shared" si="27"/>
        <v>0.30334499999999998</v>
      </c>
      <c r="Q952" s="14">
        <f t="shared" si="28"/>
        <v>0.4032</v>
      </c>
      <c r="R952" s="14">
        <f t="shared" si="29"/>
        <v>0.59270400000000001</v>
      </c>
      <c r="S952" s="14">
        <f t="shared" si="30"/>
        <v>0.88552799999999998</v>
      </c>
      <c r="T952" s="14">
        <f t="shared" si="31"/>
        <v>1.202418</v>
      </c>
      <c r="U952" s="14">
        <f t="shared" si="32"/>
        <v>3.2029830000000001</v>
      </c>
    </row>
    <row r="953" spans="1:21" x14ac:dyDescent="0.4">
      <c r="A953">
        <v>2063</v>
      </c>
      <c r="B953">
        <v>0.2601</v>
      </c>
      <c r="C953">
        <v>0.34129999999999999</v>
      </c>
      <c r="D953">
        <v>0.37990000000000002</v>
      </c>
      <c r="E953">
        <v>0.4798</v>
      </c>
      <c r="F953">
        <v>0.65210000000000001</v>
      </c>
      <c r="G953">
        <v>0.97909999999999997</v>
      </c>
      <c r="H953">
        <v>1.3948</v>
      </c>
      <c r="I953">
        <v>1.8702000000000001</v>
      </c>
      <c r="J953">
        <v>4.9055</v>
      </c>
      <c r="L953">
        <f t="shared" si="33"/>
        <v>2063</v>
      </c>
      <c r="M953" s="14">
        <f t="shared" si="24"/>
        <v>0.16386300000000001</v>
      </c>
      <c r="N953" s="14">
        <f t="shared" si="25"/>
        <v>0.21501899999999999</v>
      </c>
      <c r="O953" s="14">
        <f t="shared" si="26"/>
        <v>0.23933700000000002</v>
      </c>
      <c r="P953" s="14">
        <f t="shared" si="27"/>
        <v>0.30227399999999999</v>
      </c>
      <c r="Q953" s="14">
        <f t="shared" si="28"/>
        <v>0.41082299999999999</v>
      </c>
      <c r="R953" s="14">
        <f t="shared" si="29"/>
        <v>0.61683299999999996</v>
      </c>
      <c r="S953" s="14">
        <f t="shared" si="30"/>
        <v>0.87872400000000006</v>
      </c>
      <c r="T953" s="14">
        <f t="shared" si="31"/>
        <v>1.178226</v>
      </c>
      <c r="U953" s="14">
        <f t="shared" si="32"/>
        <v>3.090465</v>
      </c>
    </row>
    <row r="954" spans="1:21" x14ac:dyDescent="0.4">
      <c r="A954">
        <v>2064</v>
      </c>
      <c r="B954">
        <v>0.2676</v>
      </c>
      <c r="C954">
        <v>0.34089999999999998</v>
      </c>
      <c r="D954">
        <v>0.38179999999999997</v>
      </c>
      <c r="E954">
        <v>0.48970000000000002</v>
      </c>
      <c r="F954">
        <v>0.64049999999999996</v>
      </c>
      <c r="G954">
        <v>0.98719999999999997</v>
      </c>
      <c r="H954">
        <v>1.4196</v>
      </c>
      <c r="I954">
        <v>1.8735999999999999</v>
      </c>
      <c r="J954">
        <v>4.0243000000000002</v>
      </c>
      <c r="L954">
        <f t="shared" si="33"/>
        <v>2064</v>
      </c>
      <c r="M954" s="14">
        <f t="shared" si="24"/>
        <v>0.16858800000000002</v>
      </c>
      <c r="N954" s="14">
        <f t="shared" si="25"/>
        <v>0.21476699999999999</v>
      </c>
      <c r="O954" s="14">
        <f t="shared" si="26"/>
        <v>0.240534</v>
      </c>
      <c r="P954" s="14">
        <f t="shared" si="27"/>
        <v>0.30851100000000004</v>
      </c>
      <c r="Q954" s="14">
        <f t="shared" si="28"/>
        <v>0.40351499999999996</v>
      </c>
      <c r="R954" s="14">
        <f t="shared" si="29"/>
        <v>0.62193599999999993</v>
      </c>
      <c r="S954" s="14">
        <f t="shared" si="30"/>
        <v>0.89434800000000003</v>
      </c>
      <c r="T954" s="14">
        <f t="shared" si="31"/>
        <v>1.1803679999999999</v>
      </c>
      <c r="U954" s="14">
        <f t="shared" si="32"/>
        <v>2.5353090000000003</v>
      </c>
    </row>
    <row r="955" spans="1:21" x14ac:dyDescent="0.4">
      <c r="A955">
        <v>2065</v>
      </c>
      <c r="B955">
        <v>0.26679999999999998</v>
      </c>
      <c r="C955">
        <v>0.33979999999999999</v>
      </c>
      <c r="D955">
        <v>0.39129999999999998</v>
      </c>
      <c r="E955">
        <v>0.48359999999999997</v>
      </c>
      <c r="F955">
        <v>0.65390000000000004</v>
      </c>
      <c r="G955">
        <v>1</v>
      </c>
      <c r="H955">
        <v>1.4089</v>
      </c>
      <c r="I955">
        <v>1.879</v>
      </c>
      <c r="J955">
        <v>3.9146999999999998</v>
      </c>
      <c r="L955">
        <f t="shared" si="33"/>
        <v>2065</v>
      </c>
      <c r="M955" s="14">
        <f t="shared" si="24"/>
        <v>0.16808399999999998</v>
      </c>
      <c r="N955" s="14">
        <f t="shared" si="25"/>
        <v>0.21407399999999999</v>
      </c>
      <c r="O955" s="14">
        <f t="shared" si="26"/>
        <v>0.24651899999999999</v>
      </c>
      <c r="P955" s="14">
        <f t="shared" si="27"/>
        <v>0.30466799999999999</v>
      </c>
      <c r="Q955" s="14">
        <f t="shared" si="28"/>
        <v>0.41195700000000002</v>
      </c>
      <c r="R955" s="14">
        <f t="shared" si="29"/>
        <v>0.63</v>
      </c>
      <c r="S955" s="14">
        <f t="shared" si="30"/>
        <v>0.88760700000000003</v>
      </c>
      <c r="T955" s="14">
        <f t="shared" si="31"/>
        <v>1.18377</v>
      </c>
      <c r="U955" s="14">
        <f t="shared" si="32"/>
        <v>2.4662609999999998</v>
      </c>
    </row>
    <row r="956" spans="1:21" x14ac:dyDescent="0.4">
      <c r="A956">
        <v>2066</v>
      </c>
      <c r="B956">
        <v>0.26719999999999999</v>
      </c>
      <c r="C956">
        <v>0.33850000000000002</v>
      </c>
      <c r="D956">
        <v>0.38740000000000002</v>
      </c>
      <c r="E956">
        <v>0.4819</v>
      </c>
      <c r="F956">
        <v>0.66520000000000001</v>
      </c>
      <c r="G956">
        <v>0.98470000000000002</v>
      </c>
      <c r="H956">
        <v>1.3801000000000001</v>
      </c>
      <c r="I956">
        <v>1.8660000000000001</v>
      </c>
      <c r="J956">
        <v>3.5042</v>
      </c>
      <c r="L956">
        <f t="shared" si="33"/>
        <v>2066</v>
      </c>
      <c r="M956" s="14">
        <f t="shared" si="24"/>
        <v>0.16833599999999999</v>
      </c>
      <c r="N956" s="14">
        <f t="shared" si="25"/>
        <v>0.21325500000000003</v>
      </c>
      <c r="O956" s="14">
        <f t="shared" si="26"/>
        <v>0.24406200000000003</v>
      </c>
      <c r="P956" s="14">
        <f t="shared" si="27"/>
        <v>0.30359700000000001</v>
      </c>
      <c r="Q956" s="14">
        <f t="shared" si="28"/>
        <v>0.419076</v>
      </c>
      <c r="R956" s="14">
        <f t="shared" si="29"/>
        <v>0.62036100000000005</v>
      </c>
      <c r="S956" s="14">
        <f t="shared" si="30"/>
        <v>0.8694630000000001</v>
      </c>
      <c r="T956" s="14">
        <f t="shared" si="31"/>
        <v>1.1755800000000001</v>
      </c>
      <c r="U956" s="14">
        <f t="shared" si="32"/>
        <v>2.207646</v>
      </c>
    </row>
    <row r="957" spans="1:21" x14ac:dyDescent="0.4">
      <c r="A957">
        <v>2067</v>
      </c>
      <c r="B957">
        <v>0.26390000000000002</v>
      </c>
      <c r="C957">
        <v>0.34470000000000001</v>
      </c>
      <c r="D957">
        <v>0.3881</v>
      </c>
      <c r="E957">
        <v>0.48089999999999999</v>
      </c>
      <c r="F957">
        <v>0.65620000000000001</v>
      </c>
      <c r="G957">
        <v>0.9728</v>
      </c>
      <c r="H957">
        <v>1.3438000000000001</v>
      </c>
      <c r="I957">
        <v>1.8851</v>
      </c>
      <c r="J957">
        <v>3.6602999999999999</v>
      </c>
      <c r="L957">
        <f t="shared" si="33"/>
        <v>2067</v>
      </c>
      <c r="M957" s="14">
        <f t="shared" si="24"/>
        <v>0.16625700000000002</v>
      </c>
      <c r="N957" s="14">
        <f t="shared" si="25"/>
        <v>0.21716099999999999</v>
      </c>
      <c r="O957" s="14">
        <f t="shared" si="26"/>
        <v>0.244503</v>
      </c>
      <c r="P957" s="14">
        <f t="shared" si="27"/>
        <v>0.30296699999999999</v>
      </c>
      <c r="Q957" s="14">
        <f t="shared" si="28"/>
        <v>0.413406</v>
      </c>
      <c r="R957" s="14">
        <f t="shared" si="29"/>
        <v>0.61286399999999996</v>
      </c>
      <c r="S957" s="14">
        <f t="shared" si="30"/>
        <v>0.84659400000000007</v>
      </c>
      <c r="T957" s="14">
        <f t="shared" si="31"/>
        <v>1.187613</v>
      </c>
      <c r="U957" s="14">
        <f t="shared" si="32"/>
        <v>2.3059889999999998</v>
      </c>
    </row>
    <row r="958" spans="1:21" x14ac:dyDescent="0.4">
      <c r="A958">
        <v>2068</v>
      </c>
      <c r="B958">
        <v>0.27050000000000002</v>
      </c>
      <c r="C958">
        <v>0.3458</v>
      </c>
      <c r="D958">
        <v>0.39029999999999998</v>
      </c>
      <c r="E958">
        <v>0.48570000000000002</v>
      </c>
      <c r="F958">
        <v>0.6512</v>
      </c>
      <c r="G958">
        <v>0.96130000000000004</v>
      </c>
      <c r="H958">
        <v>1.2968</v>
      </c>
      <c r="I958">
        <v>1.9035</v>
      </c>
      <c r="J958">
        <v>3.6271</v>
      </c>
      <c r="L958">
        <f t="shared" si="33"/>
        <v>2068</v>
      </c>
      <c r="M958" s="14">
        <f t="shared" si="24"/>
        <v>0.17041500000000001</v>
      </c>
      <c r="N958" s="14">
        <f t="shared" si="25"/>
        <v>0.21785399999999999</v>
      </c>
      <c r="O958" s="14">
        <f t="shared" si="26"/>
        <v>0.245889</v>
      </c>
      <c r="P958" s="14">
        <f t="shared" si="27"/>
        <v>0.30599100000000001</v>
      </c>
      <c r="Q958" s="14">
        <f t="shared" si="28"/>
        <v>0.41025600000000001</v>
      </c>
      <c r="R958" s="14">
        <f t="shared" si="29"/>
        <v>0.60561900000000002</v>
      </c>
      <c r="S958" s="14">
        <f t="shared" si="30"/>
        <v>0.81698399999999993</v>
      </c>
      <c r="T958" s="14">
        <f t="shared" si="31"/>
        <v>1.1992050000000001</v>
      </c>
      <c r="U958" s="14">
        <f t="shared" si="32"/>
        <v>2.2850730000000001</v>
      </c>
    </row>
    <row r="959" spans="1:21" x14ac:dyDescent="0.4">
      <c r="A959">
        <v>2069</v>
      </c>
      <c r="B959">
        <v>0.26719999999999999</v>
      </c>
      <c r="C959">
        <v>0.3448</v>
      </c>
      <c r="D959">
        <v>0.39219999999999999</v>
      </c>
      <c r="E959">
        <v>0.48849999999999999</v>
      </c>
      <c r="F959">
        <v>0.64929999999999999</v>
      </c>
      <c r="G959">
        <v>0.95320000000000005</v>
      </c>
      <c r="H959">
        <v>1.3465</v>
      </c>
      <c r="I959">
        <v>1.8597999999999999</v>
      </c>
      <c r="J959">
        <v>3.4165999999999999</v>
      </c>
      <c r="L959">
        <f t="shared" si="33"/>
        <v>2069</v>
      </c>
      <c r="M959" s="14">
        <f t="shared" si="24"/>
        <v>0.16833599999999999</v>
      </c>
      <c r="N959" s="14">
        <f t="shared" si="25"/>
        <v>0.217224</v>
      </c>
      <c r="O959" s="14">
        <f t="shared" si="26"/>
        <v>0.247086</v>
      </c>
      <c r="P959" s="14">
        <f t="shared" si="27"/>
        <v>0.307755</v>
      </c>
      <c r="Q959" s="14">
        <f t="shared" si="28"/>
        <v>0.40905900000000001</v>
      </c>
      <c r="R959" s="14">
        <f t="shared" si="29"/>
        <v>0.60051600000000005</v>
      </c>
      <c r="S959" s="14">
        <f t="shared" si="30"/>
        <v>0.84829500000000002</v>
      </c>
      <c r="T959" s="14">
        <f t="shared" si="31"/>
        <v>1.1716739999999999</v>
      </c>
      <c r="U959" s="14">
        <f t="shared" si="32"/>
        <v>2.1524579999999998</v>
      </c>
    </row>
    <row r="960" spans="1:21" x14ac:dyDescent="0.4">
      <c r="A960">
        <v>2070</v>
      </c>
      <c r="B960">
        <v>0.26250000000000001</v>
      </c>
      <c r="C960">
        <v>0.3458</v>
      </c>
      <c r="D960">
        <v>0.39219999999999999</v>
      </c>
      <c r="E960">
        <v>0.49049999999999999</v>
      </c>
      <c r="F960">
        <v>0.65210000000000001</v>
      </c>
      <c r="G960">
        <v>0.9365</v>
      </c>
      <c r="H960">
        <v>1.3576999999999999</v>
      </c>
      <c r="I960">
        <v>1.7958000000000001</v>
      </c>
      <c r="J960">
        <v>4.3045</v>
      </c>
      <c r="L960">
        <f t="shared" si="33"/>
        <v>2070</v>
      </c>
      <c r="M960" s="14">
        <f t="shared" si="24"/>
        <v>0.16537500000000002</v>
      </c>
      <c r="N960" s="14">
        <f t="shared" si="25"/>
        <v>0.21785399999999999</v>
      </c>
      <c r="O960" s="14">
        <f t="shared" si="26"/>
        <v>0.247086</v>
      </c>
      <c r="P960" s="14">
        <f t="shared" si="27"/>
        <v>0.30901499999999998</v>
      </c>
      <c r="Q960" s="14">
        <f t="shared" si="28"/>
        <v>0.41082299999999999</v>
      </c>
      <c r="R960" s="14">
        <f t="shared" si="29"/>
        <v>0.58999500000000005</v>
      </c>
      <c r="S960" s="14">
        <f t="shared" si="30"/>
        <v>0.85535099999999997</v>
      </c>
      <c r="T960" s="14">
        <f t="shared" si="31"/>
        <v>1.131354</v>
      </c>
      <c r="U960" s="14">
        <f t="shared" si="32"/>
        <v>2.7118350000000002</v>
      </c>
    </row>
    <row r="961" spans="1:21" x14ac:dyDescent="0.4">
      <c r="A961">
        <v>2071</v>
      </c>
      <c r="B961">
        <v>0.27189999999999998</v>
      </c>
      <c r="C961">
        <v>0.33739999999999998</v>
      </c>
      <c r="D961">
        <v>0.3886</v>
      </c>
      <c r="E961">
        <v>0.48120000000000002</v>
      </c>
      <c r="F961">
        <v>0.65710000000000002</v>
      </c>
      <c r="G961">
        <v>0.94199999999999995</v>
      </c>
      <c r="H961">
        <v>1.3230999999999999</v>
      </c>
      <c r="I961">
        <v>1.9172</v>
      </c>
      <c r="J961">
        <v>4.0522</v>
      </c>
      <c r="L961">
        <f t="shared" si="33"/>
        <v>2071</v>
      </c>
      <c r="M961" s="14">
        <f t="shared" si="24"/>
        <v>0.17129699999999998</v>
      </c>
      <c r="N961" s="14">
        <f t="shared" si="25"/>
        <v>0.212562</v>
      </c>
      <c r="O961" s="14">
        <f t="shared" si="26"/>
        <v>0.24481800000000001</v>
      </c>
      <c r="P961" s="14">
        <f t="shared" si="27"/>
        <v>0.30315600000000004</v>
      </c>
      <c r="Q961" s="14">
        <f t="shared" si="28"/>
        <v>0.41397300000000004</v>
      </c>
      <c r="R961" s="14">
        <f t="shared" si="29"/>
        <v>0.59345999999999999</v>
      </c>
      <c r="S961" s="14">
        <f t="shared" si="30"/>
        <v>0.83355299999999999</v>
      </c>
      <c r="T961" s="14">
        <f t="shared" si="31"/>
        <v>1.2078359999999999</v>
      </c>
      <c r="U961" s="14">
        <f t="shared" si="32"/>
        <v>2.552886</v>
      </c>
    </row>
    <row r="962" spans="1:21" x14ac:dyDescent="0.4">
      <c r="A962">
        <v>2072</v>
      </c>
      <c r="B962">
        <v>0.2621</v>
      </c>
      <c r="C962">
        <v>0.33789999999999998</v>
      </c>
      <c r="D962">
        <v>0.3856</v>
      </c>
      <c r="E962">
        <v>0.48049999999999998</v>
      </c>
      <c r="F962">
        <v>0.65710000000000002</v>
      </c>
      <c r="G962">
        <v>0.95630000000000004</v>
      </c>
      <c r="H962">
        <v>1.3545</v>
      </c>
      <c r="I962">
        <v>1.8842000000000001</v>
      </c>
      <c r="J962">
        <v>4.0705999999999998</v>
      </c>
      <c r="L962">
        <f t="shared" si="33"/>
        <v>2072</v>
      </c>
      <c r="M962" s="14">
        <f t="shared" si="24"/>
        <v>0.16512299999999999</v>
      </c>
      <c r="N962" s="14">
        <f t="shared" si="25"/>
        <v>0.21287699999999998</v>
      </c>
      <c r="O962" s="14">
        <f t="shared" si="26"/>
        <v>0.24292800000000001</v>
      </c>
      <c r="P962" s="14">
        <f t="shared" si="27"/>
        <v>0.30271500000000001</v>
      </c>
      <c r="Q962" s="14">
        <f t="shared" si="28"/>
        <v>0.41397300000000004</v>
      </c>
      <c r="R962" s="14">
        <f t="shared" si="29"/>
        <v>0.60246900000000003</v>
      </c>
      <c r="S962" s="14">
        <f t="shared" si="30"/>
        <v>0.85333500000000007</v>
      </c>
      <c r="T962" s="14">
        <f t="shared" si="31"/>
        <v>1.187046</v>
      </c>
      <c r="U962" s="14">
        <f t="shared" si="32"/>
        <v>2.5644779999999998</v>
      </c>
    </row>
    <row r="963" spans="1:21" x14ac:dyDescent="0.4">
      <c r="A963">
        <v>2073</v>
      </c>
      <c r="B963">
        <v>0.25380000000000003</v>
      </c>
      <c r="C963">
        <v>0.34050000000000002</v>
      </c>
      <c r="D963">
        <v>0.38429999999999997</v>
      </c>
      <c r="E963">
        <v>0.47689999999999999</v>
      </c>
      <c r="F963">
        <v>0.64529999999999998</v>
      </c>
      <c r="G963">
        <v>0.95340000000000003</v>
      </c>
      <c r="H963">
        <v>1.3214999999999999</v>
      </c>
      <c r="I963">
        <v>1.9690000000000001</v>
      </c>
      <c r="J963">
        <v>4.7038000000000002</v>
      </c>
      <c r="L963">
        <f t="shared" si="33"/>
        <v>2073</v>
      </c>
      <c r="M963" s="14">
        <f t="shared" si="24"/>
        <v>0.15989400000000001</v>
      </c>
      <c r="N963" s="14">
        <f t="shared" si="25"/>
        <v>0.21451500000000001</v>
      </c>
      <c r="O963" s="14">
        <f t="shared" si="26"/>
        <v>0.24210899999999999</v>
      </c>
      <c r="P963" s="14">
        <f t="shared" si="27"/>
        <v>0.30044700000000002</v>
      </c>
      <c r="Q963" s="14">
        <f t="shared" si="28"/>
        <v>0.40653899999999998</v>
      </c>
      <c r="R963" s="14">
        <f t="shared" si="29"/>
        <v>0.60064200000000001</v>
      </c>
      <c r="S963" s="14">
        <f t="shared" si="30"/>
        <v>0.83254499999999998</v>
      </c>
      <c r="T963" s="14">
        <f t="shared" si="31"/>
        <v>1.24047</v>
      </c>
      <c r="U963" s="14">
        <f t="shared" si="32"/>
        <v>2.9633940000000001</v>
      </c>
    </row>
    <row r="964" spans="1:21" x14ac:dyDescent="0.4">
      <c r="A964">
        <v>2074</v>
      </c>
      <c r="B964">
        <v>0.25440000000000002</v>
      </c>
      <c r="C964">
        <v>0.34570000000000001</v>
      </c>
      <c r="D964">
        <v>0.38619999999999999</v>
      </c>
      <c r="E964">
        <v>0.4703</v>
      </c>
      <c r="F964">
        <v>0.63849999999999996</v>
      </c>
      <c r="G964">
        <v>0.93879999999999997</v>
      </c>
      <c r="H964">
        <v>1.3381000000000001</v>
      </c>
      <c r="I964">
        <v>1.9802999999999999</v>
      </c>
      <c r="J964">
        <v>4.7724000000000002</v>
      </c>
      <c r="L964">
        <f t="shared" si="33"/>
        <v>2074</v>
      </c>
      <c r="M964" s="14">
        <f t="shared" si="24"/>
        <v>0.160272</v>
      </c>
      <c r="N964" s="14">
        <f t="shared" si="25"/>
        <v>0.21779100000000001</v>
      </c>
      <c r="O964" s="14">
        <f t="shared" si="26"/>
        <v>0.24330599999999999</v>
      </c>
      <c r="P964" s="14">
        <f t="shared" si="27"/>
        <v>0.29628900000000002</v>
      </c>
      <c r="Q964" s="14">
        <f t="shared" si="28"/>
        <v>0.40225499999999997</v>
      </c>
      <c r="R964" s="14">
        <f t="shared" si="29"/>
        <v>0.59144399999999997</v>
      </c>
      <c r="S964" s="14">
        <f t="shared" si="30"/>
        <v>0.84300300000000006</v>
      </c>
      <c r="T964" s="14">
        <f t="shared" si="31"/>
        <v>1.2475890000000001</v>
      </c>
      <c r="U964" s="14">
        <f t="shared" si="32"/>
        <v>3.0066120000000001</v>
      </c>
    </row>
    <row r="965" spans="1:21" x14ac:dyDescent="0.4">
      <c r="A965">
        <v>2075</v>
      </c>
      <c r="B965">
        <v>0.26200000000000001</v>
      </c>
      <c r="C965">
        <v>0.34039999999999998</v>
      </c>
      <c r="D965">
        <v>0.38629999999999998</v>
      </c>
      <c r="E965">
        <v>0.46510000000000001</v>
      </c>
      <c r="F965">
        <v>0.63400000000000001</v>
      </c>
      <c r="G965">
        <v>0.94599999999999995</v>
      </c>
      <c r="H965">
        <v>1.3508</v>
      </c>
      <c r="I965">
        <v>1.8859999999999999</v>
      </c>
      <c r="J965">
        <v>3.7023999999999999</v>
      </c>
      <c r="L965">
        <f t="shared" si="33"/>
        <v>2075</v>
      </c>
      <c r="M965" s="14">
        <f t="shared" si="24"/>
        <v>0.16506000000000001</v>
      </c>
      <c r="N965" s="14">
        <f t="shared" si="25"/>
        <v>0.21445199999999998</v>
      </c>
      <c r="O965" s="14">
        <f t="shared" si="26"/>
        <v>0.24336899999999997</v>
      </c>
      <c r="P965" s="14">
        <f t="shared" si="27"/>
        <v>0.29301300000000002</v>
      </c>
      <c r="Q965" s="14">
        <f t="shared" si="28"/>
        <v>0.39942</v>
      </c>
      <c r="R965" s="14">
        <f t="shared" si="29"/>
        <v>0.59597999999999995</v>
      </c>
      <c r="S965" s="14">
        <f t="shared" si="30"/>
        <v>0.85100399999999998</v>
      </c>
      <c r="T965" s="14">
        <f t="shared" si="31"/>
        <v>1.18818</v>
      </c>
      <c r="U965" s="14">
        <f t="shared" si="32"/>
        <v>2.3325119999999999</v>
      </c>
    </row>
    <row r="967" spans="1:21" x14ac:dyDescent="0.4">
      <c r="A967" s="1">
        <v>45658</v>
      </c>
      <c r="B967" t="s">
        <v>3</v>
      </c>
      <c r="C967" t="s">
        <v>2</v>
      </c>
      <c r="D967" t="s">
        <v>1</v>
      </c>
      <c r="E967" t="s">
        <v>0</v>
      </c>
      <c r="F967" t="s">
        <v>31</v>
      </c>
      <c r="G967">
        <v>1000</v>
      </c>
      <c r="H967" t="s">
        <v>30</v>
      </c>
    </row>
    <row r="969" spans="1:21" x14ac:dyDescent="0.4">
      <c r="A969">
        <v>2021</v>
      </c>
    </row>
    <row r="971" spans="1:21" x14ac:dyDescent="0.4">
      <c r="A971" t="s">
        <v>0</v>
      </c>
      <c r="B971" s="2">
        <v>0.01</v>
      </c>
      <c r="C971" s="2">
        <v>0.05</v>
      </c>
      <c r="D971" s="2">
        <v>0.1</v>
      </c>
      <c r="E971" s="2">
        <v>0.25</v>
      </c>
      <c r="F971" s="2">
        <v>0.5</v>
      </c>
      <c r="G971" s="2">
        <v>0.75</v>
      </c>
      <c r="H971" s="2">
        <v>0.9</v>
      </c>
      <c r="I971" s="2">
        <v>0.95</v>
      </c>
      <c r="J971" s="2">
        <v>0.99</v>
      </c>
    </row>
    <row r="972" spans="1:21" x14ac:dyDescent="0.4">
      <c r="A972">
        <v>1</v>
      </c>
      <c r="B972">
        <v>140.23699999999999</v>
      </c>
      <c r="C972">
        <v>175.09</v>
      </c>
      <c r="D972">
        <v>184.83199999999999</v>
      </c>
      <c r="E972">
        <v>216.71299999999999</v>
      </c>
      <c r="F972">
        <v>261.14800000000002</v>
      </c>
      <c r="G972">
        <v>317.36900000000003</v>
      </c>
      <c r="H972">
        <v>385.62900000000002</v>
      </c>
      <c r="I972">
        <v>409.50799999999998</v>
      </c>
      <c r="J972">
        <v>464.92500000000001</v>
      </c>
    </row>
    <row r="973" spans="1:21" x14ac:dyDescent="0.4">
      <c r="A973">
        <v>2</v>
      </c>
      <c r="B973">
        <v>58.938899999999997</v>
      </c>
      <c r="C973">
        <v>77.947699999999998</v>
      </c>
      <c r="D973">
        <v>80.861999999999995</v>
      </c>
      <c r="E973">
        <v>85.445099999999996</v>
      </c>
      <c r="F973">
        <v>100.4175</v>
      </c>
      <c r="G973">
        <v>112.524</v>
      </c>
      <c r="H973">
        <v>125.34699999999999</v>
      </c>
      <c r="I973">
        <v>138.49799999999999</v>
      </c>
      <c r="J973">
        <v>148.43899999999999</v>
      </c>
    </row>
    <row r="974" spans="1:21" x14ac:dyDescent="0.4">
      <c r="A974">
        <v>3</v>
      </c>
      <c r="B974">
        <v>34.198599999999999</v>
      </c>
      <c r="C974">
        <v>41.346600000000002</v>
      </c>
      <c r="D974">
        <v>43.517699999999998</v>
      </c>
      <c r="E974">
        <v>47.938099999999999</v>
      </c>
      <c r="F974">
        <v>54.8765</v>
      </c>
      <c r="G974">
        <v>60.445500000000003</v>
      </c>
      <c r="H974">
        <v>67.3245</v>
      </c>
      <c r="I974">
        <v>74.481700000000004</v>
      </c>
      <c r="J974">
        <v>84.833500000000001</v>
      </c>
    </row>
    <row r="975" spans="1:21" x14ac:dyDescent="0.4">
      <c r="A975">
        <v>4</v>
      </c>
      <c r="B975">
        <v>4.4701000000000004</v>
      </c>
      <c r="C975">
        <v>6.3288000000000002</v>
      </c>
      <c r="D975">
        <v>7.3712</v>
      </c>
      <c r="E975">
        <v>8.3369</v>
      </c>
      <c r="F975">
        <v>9.5329999999999995</v>
      </c>
      <c r="G975">
        <v>10.835800000000001</v>
      </c>
      <c r="H975">
        <v>12.5169</v>
      </c>
      <c r="I975">
        <v>14.0136</v>
      </c>
      <c r="J975">
        <v>20.605399999999999</v>
      </c>
    </row>
    <row r="976" spans="1:21" x14ac:dyDescent="0.4">
      <c r="A976">
        <v>5</v>
      </c>
      <c r="B976">
        <v>1.2938000000000001</v>
      </c>
      <c r="C976">
        <v>1.6031</v>
      </c>
      <c r="D976">
        <v>1.7337</v>
      </c>
      <c r="E976">
        <v>2.2441</v>
      </c>
      <c r="F976">
        <v>2.6907000000000001</v>
      </c>
      <c r="G976">
        <v>3.2694999999999999</v>
      </c>
      <c r="H976">
        <v>4.2092000000000001</v>
      </c>
      <c r="I976">
        <v>4.8898000000000001</v>
      </c>
      <c r="J976">
        <v>7.4995000000000003</v>
      </c>
    </row>
    <row r="977" spans="1:10" x14ac:dyDescent="0.4">
      <c r="A977">
        <v>6</v>
      </c>
      <c r="B977">
        <v>0.29170000000000001</v>
      </c>
      <c r="C977">
        <v>0.48420000000000002</v>
      </c>
      <c r="D977">
        <v>0.60240000000000005</v>
      </c>
      <c r="E977">
        <v>0.69359999999999999</v>
      </c>
      <c r="F977">
        <v>0.96650000000000003</v>
      </c>
      <c r="G977">
        <v>1.2286999999999999</v>
      </c>
      <c r="H977">
        <v>1.8233999999999999</v>
      </c>
      <c r="I977">
        <v>2.1764999999999999</v>
      </c>
      <c r="J977">
        <v>5.0518000000000001</v>
      </c>
    </row>
    <row r="978" spans="1:10" x14ac:dyDescent="0.4">
      <c r="A978">
        <v>7</v>
      </c>
      <c r="B978">
        <v>2.7799999999999998E-2</v>
      </c>
      <c r="C978">
        <v>5.8400000000000001E-2</v>
      </c>
      <c r="D978">
        <v>7.3899999999999993E-2</v>
      </c>
      <c r="E978">
        <v>0.10249999999999999</v>
      </c>
      <c r="F978">
        <v>0.15909999999999999</v>
      </c>
      <c r="G978">
        <v>0.2261</v>
      </c>
      <c r="H978">
        <v>0.31640000000000001</v>
      </c>
      <c r="I978">
        <v>0.39960000000000001</v>
      </c>
      <c r="J978">
        <v>1.3048999999999999</v>
      </c>
    </row>
    <row r="979" spans="1:10" x14ac:dyDescent="0.4">
      <c r="A979">
        <v>8</v>
      </c>
      <c r="B979">
        <v>8.2000000000000007E-3</v>
      </c>
      <c r="C979">
        <v>2.92E-2</v>
      </c>
      <c r="D979">
        <v>3.6999999999999998E-2</v>
      </c>
      <c r="E979">
        <v>5.8400000000000001E-2</v>
      </c>
      <c r="F979">
        <v>0.10920000000000001</v>
      </c>
      <c r="G979">
        <v>0.16700000000000001</v>
      </c>
      <c r="H979">
        <v>0.25750000000000001</v>
      </c>
      <c r="I979">
        <v>0.4456</v>
      </c>
      <c r="J979">
        <v>2.1858</v>
      </c>
    </row>
    <row r="980" spans="1:10" x14ac:dyDescent="0.4">
      <c r="A980">
        <v>9</v>
      </c>
      <c r="B980">
        <v>2.9999999999999997E-4</v>
      </c>
      <c r="C980">
        <v>1.4E-3</v>
      </c>
      <c r="D980">
        <v>2.0999999999999999E-3</v>
      </c>
      <c r="E980">
        <v>3.5000000000000001E-3</v>
      </c>
      <c r="F980">
        <v>8.5000000000000006E-3</v>
      </c>
      <c r="G980">
        <v>1.44E-2</v>
      </c>
      <c r="H980">
        <v>2.23E-2</v>
      </c>
      <c r="I980">
        <v>3.3399999999999999E-2</v>
      </c>
      <c r="J980">
        <v>0.2402</v>
      </c>
    </row>
    <row r="981" spans="1:10" x14ac:dyDescent="0.4">
      <c r="A981">
        <v>10</v>
      </c>
      <c r="B981">
        <v>1E-4</v>
      </c>
      <c r="C981">
        <v>5.0000000000000001E-4</v>
      </c>
      <c r="D981">
        <v>6.9999999999999999E-4</v>
      </c>
      <c r="E981">
        <v>1.5E-3</v>
      </c>
      <c r="F981">
        <v>4.3E-3</v>
      </c>
      <c r="G981">
        <v>6.8999999999999999E-3</v>
      </c>
      <c r="H981">
        <v>1.43E-2</v>
      </c>
      <c r="I981">
        <v>2.4199999999999999E-2</v>
      </c>
      <c r="J981">
        <v>0.26090000000000002</v>
      </c>
    </row>
    <row r="982" spans="1:10" x14ac:dyDescent="0.4">
      <c r="A982">
        <v>11</v>
      </c>
      <c r="B982">
        <v>0</v>
      </c>
      <c r="C982">
        <v>1E-4</v>
      </c>
      <c r="D982">
        <v>2.0000000000000001E-4</v>
      </c>
      <c r="E982">
        <v>4.0000000000000002E-4</v>
      </c>
      <c r="F982">
        <v>1.4E-3</v>
      </c>
      <c r="G982">
        <v>2.8E-3</v>
      </c>
      <c r="H982">
        <v>5.1000000000000004E-3</v>
      </c>
      <c r="I982">
        <v>8.2000000000000007E-3</v>
      </c>
      <c r="J982">
        <v>0.1988</v>
      </c>
    </row>
    <row r="983" spans="1:10" x14ac:dyDescent="0.4">
      <c r="A983">
        <v>12</v>
      </c>
      <c r="B983">
        <v>0</v>
      </c>
      <c r="C983">
        <v>0</v>
      </c>
      <c r="D983">
        <v>0</v>
      </c>
      <c r="E983">
        <v>0</v>
      </c>
      <c r="F983">
        <v>1E-4</v>
      </c>
      <c r="G983">
        <v>2.9999999999999997E-4</v>
      </c>
      <c r="H983">
        <v>5.0000000000000001E-4</v>
      </c>
      <c r="I983">
        <v>8.0000000000000004E-4</v>
      </c>
      <c r="J983">
        <v>2.8000000000000001E-2</v>
      </c>
    </row>
    <row r="984" spans="1:10" x14ac:dyDescent="0.4">
      <c r="A984">
        <v>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2.0000000000000001E-4</v>
      </c>
      <c r="H984">
        <v>2.9999999999999997E-4</v>
      </c>
      <c r="I984">
        <v>5.0000000000000001E-4</v>
      </c>
      <c r="J984">
        <v>3.1600000000000003E-2</v>
      </c>
    </row>
    <row r="985" spans="1:10" x14ac:dyDescent="0.4">
      <c r="A985">
        <v>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1E-4</v>
      </c>
      <c r="I985">
        <v>1E-4</v>
      </c>
      <c r="J985">
        <v>1.83E-2</v>
      </c>
    </row>
    <row r="986" spans="1:10" x14ac:dyDescent="0.4">
      <c r="A986" t="s">
        <v>29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1.2699999999999999E-2</v>
      </c>
    </row>
    <row r="988" spans="1:10" x14ac:dyDescent="0.4">
      <c r="A988">
        <v>2022</v>
      </c>
    </row>
    <row r="990" spans="1:10" x14ac:dyDescent="0.4">
      <c r="A990" t="s">
        <v>0</v>
      </c>
      <c r="B990" s="2">
        <v>0.01</v>
      </c>
      <c r="C990" s="2">
        <v>0.05</v>
      </c>
      <c r="D990" s="2">
        <v>0.1</v>
      </c>
      <c r="E990" s="2">
        <v>0.25</v>
      </c>
      <c r="F990" s="2">
        <v>0.5</v>
      </c>
      <c r="G990" s="2">
        <v>0.75</v>
      </c>
      <c r="H990" s="2">
        <v>0.9</v>
      </c>
      <c r="I990" s="2">
        <v>0.95</v>
      </c>
      <c r="J990" s="2">
        <v>0.99</v>
      </c>
    </row>
    <row r="991" spans="1:10" x14ac:dyDescent="0.4">
      <c r="A991">
        <v>1</v>
      </c>
      <c r="B991">
        <v>68.584400000000002</v>
      </c>
      <c r="C991">
        <v>70.063599999999994</v>
      </c>
      <c r="D991">
        <v>76.752300000000005</v>
      </c>
      <c r="E991">
        <v>105.02630000000001</v>
      </c>
      <c r="F991">
        <v>168.3272</v>
      </c>
      <c r="G991">
        <v>235.26220000000001</v>
      </c>
      <c r="H991">
        <v>278.58999999999997</v>
      </c>
      <c r="I991">
        <v>306.41879999999998</v>
      </c>
      <c r="J991">
        <v>323.32839999999999</v>
      </c>
    </row>
    <row r="992" spans="1:10" x14ac:dyDescent="0.4">
      <c r="A992">
        <v>2</v>
      </c>
      <c r="B992">
        <v>87.933300000000003</v>
      </c>
      <c r="C992">
        <v>104.7891</v>
      </c>
      <c r="D992">
        <v>110.9611</v>
      </c>
      <c r="E992">
        <v>128.64359999999999</v>
      </c>
      <c r="F992">
        <v>156.2604</v>
      </c>
      <c r="G992">
        <v>190.5093</v>
      </c>
      <c r="H992">
        <v>233.1403</v>
      </c>
      <c r="I992">
        <v>253.19630000000001</v>
      </c>
      <c r="J992">
        <v>285.54430000000002</v>
      </c>
    </row>
    <row r="993" spans="1:10" x14ac:dyDescent="0.4">
      <c r="A993">
        <v>3</v>
      </c>
      <c r="B993">
        <v>30.214300000000001</v>
      </c>
      <c r="C993">
        <v>40.223799999999997</v>
      </c>
      <c r="D993">
        <v>42.843400000000003</v>
      </c>
      <c r="E993">
        <v>46.865699999999997</v>
      </c>
      <c r="F993">
        <v>54.2059</v>
      </c>
      <c r="G993">
        <v>62.2288</v>
      </c>
      <c r="H993">
        <v>71.565799999999996</v>
      </c>
      <c r="I993">
        <v>78.619600000000005</v>
      </c>
      <c r="J993">
        <v>88.281499999999994</v>
      </c>
    </row>
    <row r="994" spans="1:10" x14ac:dyDescent="0.4">
      <c r="A994">
        <v>4</v>
      </c>
      <c r="B994">
        <v>14.9497</v>
      </c>
      <c r="C994">
        <v>18.462599999999998</v>
      </c>
      <c r="D994">
        <v>20.519300000000001</v>
      </c>
      <c r="E994">
        <v>23.175000000000001</v>
      </c>
      <c r="F994">
        <v>26.434999999999999</v>
      </c>
      <c r="G994">
        <v>30.734200000000001</v>
      </c>
      <c r="H994">
        <v>35.215200000000003</v>
      </c>
      <c r="I994">
        <v>40.095100000000002</v>
      </c>
      <c r="J994">
        <v>48.872999999999998</v>
      </c>
    </row>
    <row r="995" spans="1:10" x14ac:dyDescent="0.4">
      <c r="A995">
        <v>5</v>
      </c>
      <c r="B995">
        <v>1.9639</v>
      </c>
      <c r="C995">
        <v>2.774</v>
      </c>
      <c r="D995">
        <v>3.2635999999999998</v>
      </c>
      <c r="E995">
        <v>3.7555000000000001</v>
      </c>
      <c r="F995">
        <v>4.4817999999999998</v>
      </c>
      <c r="G995">
        <v>5.2587999999999999</v>
      </c>
      <c r="H995">
        <v>6.4375999999999998</v>
      </c>
      <c r="I995">
        <v>7.0209000000000001</v>
      </c>
      <c r="J995">
        <v>12.001200000000001</v>
      </c>
    </row>
    <row r="996" spans="1:10" x14ac:dyDescent="0.4">
      <c r="A996">
        <v>6</v>
      </c>
      <c r="B996">
        <v>0.5373</v>
      </c>
      <c r="C996">
        <v>0.64349999999999996</v>
      </c>
      <c r="D996">
        <v>0.73839999999999995</v>
      </c>
      <c r="E996">
        <v>1.0053000000000001</v>
      </c>
      <c r="F996">
        <v>1.2124999999999999</v>
      </c>
      <c r="G996">
        <v>1.5306</v>
      </c>
      <c r="H996">
        <v>2.0710999999999999</v>
      </c>
      <c r="I996">
        <v>2.4116</v>
      </c>
      <c r="J996">
        <v>4.3022999999999998</v>
      </c>
    </row>
    <row r="997" spans="1:10" x14ac:dyDescent="0.4">
      <c r="A997">
        <v>7</v>
      </c>
      <c r="B997">
        <v>0.1273</v>
      </c>
      <c r="C997">
        <v>0.21410000000000001</v>
      </c>
      <c r="D997">
        <v>0.25090000000000001</v>
      </c>
      <c r="E997">
        <v>0.30840000000000001</v>
      </c>
      <c r="F997">
        <v>0.42230000000000001</v>
      </c>
      <c r="G997">
        <v>0.5857</v>
      </c>
      <c r="H997">
        <v>0.89370000000000005</v>
      </c>
      <c r="I997">
        <v>1.0772999999999999</v>
      </c>
      <c r="J997">
        <v>3.0358000000000001</v>
      </c>
    </row>
    <row r="998" spans="1:10" x14ac:dyDescent="0.4">
      <c r="A998">
        <v>8</v>
      </c>
      <c r="B998">
        <v>1.24E-2</v>
      </c>
      <c r="C998">
        <v>2.5100000000000001E-2</v>
      </c>
      <c r="D998">
        <v>3.2800000000000003E-2</v>
      </c>
      <c r="E998">
        <v>4.53E-2</v>
      </c>
      <c r="F998">
        <v>6.8500000000000005E-2</v>
      </c>
      <c r="G998">
        <v>0.10489999999999999</v>
      </c>
      <c r="H998">
        <v>0.15809999999999999</v>
      </c>
      <c r="I998">
        <v>0.19969999999999999</v>
      </c>
      <c r="J998">
        <v>0.77800000000000002</v>
      </c>
    </row>
    <row r="999" spans="1:10" x14ac:dyDescent="0.4">
      <c r="A999">
        <v>9</v>
      </c>
      <c r="B999">
        <v>3.7000000000000002E-3</v>
      </c>
      <c r="C999">
        <v>1.29E-2</v>
      </c>
      <c r="D999">
        <v>1.6500000000000001E-2</v>
      </c>
      <c r="E999">
        <v>2.6499999999999999E-2</v>
      </c>
      <c r="F999">
        <v>4.8899999999999999E-2</v>
      </c>
      <c r="G999">
        <v>8.0399999999999999E-2</v>
      </c>
      <c r="H999">
        <v>0.12889999999999999</v>
      </c>
      <c r="I999">
        <v>0.22339999999999999</v>
      </c>
      <c r="J999">
        <v>1.2952999999999999</v>
      </c>
    </row>
    <row r="1000" spans="1:10" x14ac:dyDescent="0.4">
      <c r="A1000">
        <v>10</v>
      </c>
      <c r="B1000">
        <v>1E-4</v>
      </c>
      <c r="C1000">
        <v>5.9999999999999995E-4</v>
      </c>
      <c r="D1000">
        <v>8.9999999999999998E-4</v>
      </c>
      <c r="E1000">
        <v>1.6999999999999999E-3</v>
      </c>
      <c r="F1000">
        <v>3.8E-3</v>
      </c>
      <c r="G1000">
        <v>6.8999999999999999E-3</v>
      </c>
      <c r="H1000">
        <v>1.0800000000000001E-2</v>
      </c>
      <c r="I1000">
        <v>1.7600000000000001E-2</v>
      </c>
      <c r="J1000">
        <v>0.14249999999999999</v>
      </c>
    </row>
    <row r="1001" spans="1:10" x14ac:dyDescent="0.4">
      <c r="A1001">
        <v>11</v>
      </c>
      <c r="B1001">
        <v>0</v>
      </c>
      <c r="C1001">
        <v>2.0000000000000001E-4</v>
      </c>
      <c r="D1001">
        <v>2.9999999999999997E-4</v>
      </c>
      <c r="E1001">
        <v>6.9999999999999999E-4</v>
      </c>
      <c r="F1001">
        <v>2E-3</v>
      </c>
      <c r="G1001">
        <v>3.3E-3</v>
      </c>
      <c r="H1001">
        <v>7.7000000000000002E-3</v>
      </c>
      <c r="I1001">
        <v>1.23E-2</v>
      </c>
      <c r="J1001">
        <v>0.15140000000000001</v>
      </c>
    </row>
    <row r="1002" spans="1:10" x14ac:dyDescent="0.4">
      <c r="A1002">
        <v>12</v>
      </c>
      <c r="B1002">
        <v>0</v>
      </c>
      <c r="C1002">
        <v>0</v>
      </c>
      <c r="D1002">
        <v>1E-4</v>
      </c>
      <c r="E1002">
        <v>2.0000000000000001E-4</v>
      </c>
      <c r="F1002">
        <v>6.9999999999999999E-4</v>
      </c>
      <c r="G1002">
        <v>1.2999999999999999E-3</v>
      </c>
      <c r="H1002">
        <v>2.5999999999999999E-3</v>
      </c>
      <c r="I1002">
        <v>4.3E-3</v>
      </c>
      <c r="J1002">
        <v>0.1211</v>
      </c>
    </row>
    <row r="1003" spans="1:10" x14ac:dyDescent="0.4">
      <c r="A1003">
        <v>13</v>
      </c>
      <c r="B1003">
        <v>0</v>
      </c>
      <c r="C1003">
        <v>0</v>
      </c>
      <c r="D1003">
        <v>0</v>
      </c>
      <c r="E1003">
        <v>0</v>
      </c>
      <c r="F1003">
        <v>1E-4</v>
      </c>
      <c r="G1003">
        <v>1E-4</v>
      </c>
      <c r="H1003">
        <v>2.9999999999999997E-4</v>
      </c>
      <c r="I1003">
        <v>4.0000000000000002E-4</v>
      </c>
      <c r="J1003">
        <v>1.7399999999999999E-2</v>
      </c>
    </row>
    <row r="1004" spans="1:10" x14ac:dyDescent="0.4">
      <c r="A1004">
        <v>14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1E-4</v>
      </c>
      <c r="H1004">
        <v>1E-4</v>
      </c>
      <c r="I1004">
        <v>2.9999999999999997E-4</v>
      </c>
      <c r="J1004">
        <v>1.9E-2</v>
      </c>
    </row>
    <row r="1005" spans="1:10" x14ac:dyDescent="0.4">
      <c r="A1005" t="s">
        <v>29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1E-4</v>
      </c>
      <c r="I1005">
        <v>1E-4</v>
      </c>
      <c r="J1005">
        <v>1.89E-2</v>
      </c>
    </row>
    <row r="1007" spans="1:10" x14ac:dyDescent="0.4">
      <c r="A1007">
        <v>2023</v>
      </c>
    </row>
    <row r="1009" spans="1:10" x14ac:dyDescent="0.4">
      <c r="A1009" t="s">
        <v>0</v>
      </c>
      <c r="B1009" s="2">
        <v>0.01</v>
      </c>
      <c r="C1009" s="2">
        <v>0.05</v>
      </c>
      <c r="D1009" s="2">
        <v>0.1</v>
      </c>
      <c r="E1009" s="2">
        <v>0.25</v>
      </c>
      <c r="F1009" s="2">
        <v>0.5</v>
      </c>
      <c r="G1009" s="2">
        <v>0.75</v>
      </c>
      <c r="H1009" s="2">
        <v>0.9</v>
      </c>
      <c r="I1009" s="2">
        <v>0.95</v>
      </c>
      <c r="J1009" s="2">
        <v>0.99</v>
      </c>
    </row>
    <row r="1010" spans="1:10" x14ac:dyDescent="0.4">
      <c r="A1010">
        <v>1</v>
      </c>
      <c r="B1010">
        <v>68.499399999999994</v>
      </c>
      <c r="C1010">
        <v>69.900099999999995</v>
      </c>
      <c r="D1010">
        <v>77.223500000000001</v>
      </c>
      <c r="E1010">
        <v>101.62130000000001</v>
      </c>
      <c r="F1010">
        <v>168.41059999999999</v>
      </c>
      <c r="G1010">
        <v>235.76429999999999</v>
      </c>
      <c r="H1010">
        <v>275.97989999999999</v>
      </c>
      <c r="I1010">
        <v>309.46570000000003</v>
      </c>
      <c r="J1010">
        <v>325.39460000000003</v>
      </c>
    </row>
    <row r="1011" spans="1:10" x14ac:dyDescent="0.4">
      <c r="A1011">
        <v>2</v>
      </c>
      <c r="B1011">
        <v>39.625900000000001</v>
      </c>
      <c r="C1011">
        <v>43.1053</v>
      </c>
      <c r="D1011">
        <v>46.841900000000003</v>
      </c>
      <c r="E1011">
        <v>62.4161</v>
      </c>
      <c r="F1011">
        <v>101.0886</v>
      </c>
      <c r="G1011">
        <v>142.4007</v>
      </c>
      <c r="H1011">
        <v>169.3175</v>
      </c>
      <c r="I1011">
        <v>183.83070000000001</v>
      </c>
      <c r="J1011">
        <v>202.2424</v>
      </c>
    </row>
    <row r="1012" spans="1:10" x14ac:dyDescent="0.4">
      <c r="A1012">
        <v>3</v>
      </c>
      <c r="B1012">
        <v>48.419199999999996</v>
      </c>
      <c r="C1012">
        <v>58.391800000000003</v>
      </c>
      <c r="D1012">
        <v>62.595399999999998</v>
      </c>
      <c r="E1012">
        <v>72.292100000000005</v>
      </c>
      <c r="F1012">
        <v>90.318600000000004</v>
      </c>
      <c r="G1012">
        <v>111.2585</v>
      </c>
      <c r="H1012">
        <v>139.42330000000001</v>
      </c>
      <c r="I1012">
        <v>154.1277</v>
      </c>
      <c r="J1012">
        <v>174.2251</v>
      </c>
    </row>
    <row r="1013" spans="1:10" x14ac:dyDescent="0.4">
      <c r="A1013">
        <v>4</v>
      </c>
      <c r="B1013">
        <v>14.7202</v>
      </c>
      <c r="C1013">
        <v>20.349499999999999</v>
      </c>
      <c r="D1013">
        <v>22.294699999999999</v>
      </c>
      <c r="E1013">
        <v>25.093699999999998</v>
      </c>
      <c r="F1013">
        <v>29.293500000000002</v>
      </c>
      <c r="G1013">
        <v>34.677199999999999</v>
      </c>
      <c r="H1013">
        <v>40.482599999999998</v>
      </c>
      <c r="I1013">
        <v>44.373800000000003</v>
      </c>
      <c r="J1013">
        <v>52.946899999999999</v>
      </c>
    </row>
    <row r="1014" spans="1:10" x14ac:dyDescent="0.4">
      <c r="A1014">
        <v>5</v>
      </c>
      <c r="B1014">
        <v>6.7910000000000004</v>
      </c>
      <c r="C1014">
        <v>9.0535999999999994</v>
      </c>
      <c r="D1014">
        <v>10.3293</v>
      </c>
      <c r="E1014">
        <v>11.9335</v>
      </c>
      <c r="F1014">
        <v>13.8157</v>
      </c>
      <c r="G1014">
        <v>16.606999999999999</v>
      </c>
      <c r="H1014">
        <v>19.564499999999999</v>
      </c>
      <c r="I1014">
        <v>22.677800000000001</v>
      </c>
      <c r="J1014">
        <v>29</v>
      </c>
    </row>
    <row r="1015" spans="1:10" x14ac:dyDescent="0.4">
      <c r="A1015">
        <v>6</v>
      </c>
      <c r="B1015">
        <v>0.86319999999999997</v>
      </c>
      <c r="C1015">
        <v>1.3487</v>
      </c>
      <c r="D1015">
        <v>1.5891999999999999</v>
      </c>
      <c r="E1015">
        <v>1.9177</v>
      </c>
      <c r="F1015">
        <v>2.2921</v>
      </c>
      <c r="G1015">
        <v>2.7660999999999998</v>
      </c>
      <c r="H1015">
        <v>3.4906999999999999</v>
      </c>
      <c r="I1015">
        <v>3.8298999999999999</v>
      </c>
      <c r="J1015">
        <v>6.9077000000000002</v>
      </c>
    </row>
    <row r="1016" spans="1:10" x14ac:dyDescent="0.4">
      <c r="A1016">
        <v>7</v>
      </c>
      <c r="B1016">
        <v>0.24740000000000001</v>
      </c>
      <c r="C1016">
        <v>0.30220000000000002</v>
      </c>
      <c r="D1016">
        <v>0.36280000000000001</v>
      </c>
      <c r="E1016">
        <v>0.49759999999999999</v>
      </c>
      <c r="F1016">
        <v>0.62229999999999996</v>
      </c>
      <c r="G1016">
        <v>0.80230000000000001</v>
      </c>
      <c r="H1016">
        <v>1.1125</v>
      </c>
      <c r="I1016">
        <v>1.3228</v>
      </c>
      <c r="J1016">
        <v>2.7553999999999998</v>
      </c>
    </row>
    <row r="1017" spans="1:10" x14ac:dyDescent="0.4">
      <c r="A1017">
        <v>8</v>
      </c>
      <c r="B1017">
        <v>5.8400000000000001E-2</v>
      </c>
      <c r="C1017">
        <v>0.1046</v>
      </c>
      <c r="D1017">
        <v>0.1201</v>
      </c>
      <c r="E1017">
        <v>0.1583</v>
      </c>
      <c r="F1017">
        <v>0.2175</v>
      </c>
      <c r="G1017">
        <v>0.30149999999999999</v>
      </c>
      <c r="H1017">
        <v>0.48770000000000002</v>
      </c>
      <c r="I1017">
        <v>0.58130000000000004</v>
      </c>
      <c r="J1017">
        <v>1.7626999999999999</v>
      </c>
    </row>
    <row r="1018" spans="1:10" x14ac:dyDescent="0.4">
      <c r="A1018">
        <v>9</v>
      </c>
      <c r="B1018">
        <v>6.3E-3</v>
      </c>
      <c r="C1018">
        <v>1.2500000000000001E-2</v>
      </c>
      <c r="D1018">
        <v>1.6299999999999999E-2</v>
      </c>
      <c r="E1018">
        <v>2.3199999999999998E-2</v>
      </c>
      <c r="F1018">
        <v>3.5400000000000001E-2</v>
      </c>
      <c r="G1018">
        <v>5.4800000000000001E-2</v>
      </c>
      <c r="H1018">
        <v>8.5800000000000001E-2</v>
      </c>
      <c r="I1018">
        <v>0.1082</v>
      </c>
      <c r="J1018">
        <v>0.45369999999999999</v>
      </c>
    </row>
    <row r="1019" spans="1:10" x14ac:dyDescent="0.4">
      <c r="A1019">
        <v>10</v>
      </c>
      <c r="B1019">
        <v>1.8E-3</v>
      </c>
      <c r="C1019">
        <v>6.1999999999999998E-3</v>
      </c>
      <c r="D1019">
        <v>8.3999999999999995E-3</v>
      </c>
      <c r="E1019">
        <v>1.4200000000000001E-2</v>
      </c>
      <c r="F1019">
        <v>2.5000000000000001E-2</v>
      </c>
      <c r="G1019">
        <v>4.2200000000000001E-2</v>
      </c>
      <c r="H1019">
        <v>7.2800000000000004E-2</v>
      </c>
      <c r="I1019">
        <v>0.1181</v>
      </c>
      <c r="J1019">
        <v>0.78410000000000002</v>
      </c>
    </row>
    <row r="1020" spans="1:10" x14ac:dyDescent="0.4">
      <c r="A1020">
        <v>11</v>
      </c>
      <c r="B1020">
        <v>1E-4</v>
      </c>
      <c r="C1020">
        <v>2.9999999999999997E-4</v>
      </c>
      <c r="D1020">
        <v>4.0000000000000002E-4</v>
      </c>
      <c r="E1020">
        <v>8.9999999999999998E-4</v>
      </c>
      <c r="F1020">
        <v>1.9E-3</v>
      </c>
      <c r="G1020">
        <v>3.5999999999999999E-3</v>
      </c>
      <c r="H1020">
        <v>6.0000000000000001E-3</v>
      </c>
      <c r="I1020">
        <v>9.7999999999999997E-3</v>
      </c>
      <c r="J1020">
        <v>8.2600000000000007E-2</v>
      </c>
    </row>
    <row r="1021" spans="1:10" x14ac:dyDescent="0.4">
      <c r="A1021">
        <v>12</v>
      </c>
      <c r="B1021">
        <v>0</v>
      </c>
      <c r="C1021">
        <v>1E-4</v>
      </c>
      <c r="D1021">
        <v>2.0000000000000001E-4</v>
      </c>
      <c r="E1021">
        <v>4.0000000000000002E-4</v>
      </c>
      <c r="F1021">
        <v>1E-3</v>
      </c>
      <c r="G1021">
        <v>1.8E-3</v>
      </c>
      <c r="H1021">
        <v>4.1999999999999997E-3</v>
      </c>
      <c r="I1021">
        <v>6.7000000000000002E-3</v>
      </c>
      <c r="J1021">
        <v>9.0499999999999997E-2</v>
      </c>
    </row>
    <row r="1022" spans="1:10" x14ac:dyDescent="0.4">
      <c r="A1022">
        <v>13</v>
      </c>
      <c r="B1022">
        <v>0</v>
      </c>
      <c r="C1022">
        <v>0</v>
      </c>
      <c r="D1022">
        <v>0</v>
      </c>
      <c r="E1022">
        <v>1E-4</v>
      </c>
      <c r="F1022">
        <v>4.0000000000000002E-4</v>
      </c>
      <c r="G1022">
        <v>6.9999999999999999E-4</v>
      </c>
      <c r="H1022">
        <v>1.4E-3</v>
      </c>
      <c r="I1022">
        <v>2.3E-3</v>
      </c>
      <c r="J1022">
        <v>7.5300000000000006E-2</v>
      </c>
    </row>
    <row r="1023" spans="1:10" x14ac:dyDescent="0.4">
      <c r="A1023">
        <v>14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1E-4</v>
      </c>
      <c r="H1023">
        <v>2.0000000000000001E-4</v>
      </c>
      <c r="I1023">
        <v>2.0000000000000001E-4</v>
      </c>
      <c r="J1023">
        <v>1.0999999999999999E-2</v>
      </c>
    </row>
    <row r="1024" spans="1:10" x14ac:dyDescent="0.4">
      <c r="A1024" t="s">
        <v>29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1E-4</v>
      </c>
      <c r="H1024">
        <v>1E-4</v>
      </c>
      <c r="I1024">
        <v>2.0000000000000001E-4</v>
      </c>
      <c r="J1024">
        <v>2.29E-2</v>
      </c>
    </row>
    <row r="1026" spans="1:10" x14ac:dyDescent="0.4">
      <c r="A1026">
        <v>2024</v>
      </c>
    </row>
    <row r="1028" spans="1:10" x14ac:dyDescent="0.4">
      <c r="A1028" t="s">
        <v>0</v>
      </c>
      <c r="B1028" s="2">
        <v>0.01</v>
      </c>
      <c r="C1028" s="2">
        <v>0.05</v>
      </c>
      <c r="D1028" s="2">
        <v>0.1</v>
      </c>
      <c r="E1028" s="2">
        <v>0.25</v>
      </c>
      <c r="F1028" s="2">
        <v>0.5</v>
      </c>
      <c r="G1028" s="2">
        <v>0.75</v>
      </c>
      <c r="H1028" s="2">
        <v>0.9</v>
      </c>
      <c r="I1028" s="2">
        <v>0.95</v>
      </c>
      <c r="J1028" s="2">
        <v>0.99</v>
      </c>
    </row>
    <row r="1029" spans="1:10" x14ac:dyDescent="0.4">
      <c r="A1029">
        <v>1</v>
      </c>
      <c r="B1029">
        <v>68.765000000000001</v>
      </c>
      <c r="C1029">
        <v>70.105800000000002</v>
      </c>
      <c r="D1029">
        <v>78.702600000000004</v>
      </c>
      <c r="E1029">
        <v>100.4616</v>
      </c>
      <c r="F1029">
        <v>168.28479999999999</v>
      </c>
      <c r="G1029">
        <v>235.51140000000001</v>
      </c>
      <c r="H1029">
        <v>273.98669999999998</v>
      </c>
      <c r="I1029">
        <v>299.55799999999999</v>
      </c>
      <c r="J1029">
        <v>321.70080000000002</v>
      </c>
    </row>
    <row r="1030" spans="1:10" x14ac:dyDescent="0.4">
      <c r="A1030">
        <v>2</v>
      </c>
      <c r="B1030">
        <v>40.633499999999998</v>
      </c>
      <c r="C1030">
        <v>43.640099999999997</v>
      </c>
      <c r="D1030">
        <v>46.103400000000001</v>
      </c>
      <c r="E1030">
        <v>61.904800000000002</v>
      </c>
      <c r="F1030">
        <v>101.9111</v>
      </c>
      <c r="G1030">
        <v>144.589</v>
      </c>
      <c r="H1030">
        <v>169.75380000000001</v>
      </c>
      <c r="I1030">
        <v>187.40799999999999</v>
      </c>
      <c r="J1030">
        <v>208.94479999999999</v>
      </c>
    </row>
    <row r="1031" spans="1:10" x14ac:dyDescent="0.4">
      <c r="A1031">
        <v>3</v>
      </c>
      <c r="B1031">
        <v>21.787099999999999</v>
      </c>
      <c r="C1031">
        <v>24.635100000000001</v>
      </c>
      <c r="D1031">
        <v>26.881699999999999</v>
      </c>
      <c r="E1031">
        <v>35.755699999999997</v>
      </c>
      <c r="F1031">
        <v>58.486600000000003</v>
      </c>
      <c r="G1031">
        <v>82.560199999999995</v>
      </c>
      <c r="H1031">
        <v>100.8326</v>
      </c>
      <c r="I1031">
        <v>109.7396</v>
      </c>
      <c r="J1031">
        <v>123.6397</v>
      </c>
    </row>
    <row r="1032" spans="1:10" x14ac:dyDescent="0.4">
      <c r="A1032">
        <v>4</v>
      </c>
      <c r="B1032">
        <v>23.947700000000001</v>
      </c>
      <c r="C1032">
        <v>29.648900000000001</v>
      </c>
      <c r="D1032">
        <v>32.905000000000001</v>
      </c>
      <c r="E1032">
        <v>38.830300000000001</v>
      </c>
      <c r="F1032">
        <v>49.597499999999997</v>
      </c>
      <c r="G1032">
        <v>62.854500000000002</v>
      </c>
      <c r="H1032">
        <v>79.680999999999997</v>
      </c>
      <c r="I1032">
        <v>89.468400000000003</v>
      </c>
      <c r="J1032">
        <v>104.8182</v>
      </c>
    </row>
    <row r="1033" spans="1:10" x14ac:dyDescent="0.4">
      <c r="A1033">
        <v>5</v>
      </c>
      <c r="B1033">
        <v>6.8394000000000004</v>
      </c>
      <c r="C1033">
        <v>9.6087000000000007</v>
      </c>
      <c r="D1033">
        <v>11.0403</v>
      </c>
      <c r="E1033">
        <v>12.965400000000001</v>
      </c>
      <c r="F1033">
        <v>15.680199999999999</v>
      </c>
      <c r="G1033">
        <v>18.828299999999999</v>
      </c>
      <c r="H1033">
        <v>22.6297</v>
      </c>
      <c r="I1033">
        <v>24.724299999999999</v>
      </c>
      <c r="J1033">
        <v>29.8416</v>
      </c>
    </row>
    <row r="1034" spans="1:10" x14ac:dyDescent="0.4">
      <c r="A1034">
        <v>6</v>
      </c>
      <c r="B1034">
        <v>3.1204999999999998</v>
      </c>
      <c r="C1034">
        <v>4.1555999999999997</v>
      </c>
      <c r="D1034">
        <v>5.0064000000000002</v>
      </c>
      <c r="E1034">
        <v>6.0347</v>
      </c>
      <c r="F1034">
        <v>7.1043000000000003</v>
      </c>
      <c r="G1034">
        <v>8.8299000000000003</v>
      </c>
      <c r="H1034">
        <v>10.6143</v>
      </c>
      <c r="I1034">
        <v>12.472899999999999</v>
      </c>
      <c r="J1034">
        <v>16.356300000000001</v>
      </c>
    </row>
    <row r="1035" spans="1:10" x14ac:dyDescent="0.4">
      <c r="A1035">
        <v>7</v>
      </c>
      <c r="B1035">
        <v>0.37930000000000003</v>
      </c>
      <c r="C1035">
        <v>0.64190000000000003</v>
      </c>
      <c r="D1035">
        <v>0.76039999999999996</v>
      </c>
      <c r="E1035">
        <v>0.94440000000000002</v>
      </c>
      <c r="F1035">
        <v>1.1692</v>
      </c>
      <c r="G1035">
        <v>1.4413</v>
      </c>
      <c r="H1035">
        <v>1.8795999999999999</v>
      </c>
      <c r="I1035">
        <v>2.1341000000000001</v>
      </c>
      <c r="J1035">
        <v>3.8311000000000002</v>
      </c>
    </row>
    <row r="1036" spans="1:10" x14ac:dyDescent="0.4">
      <c r="A1036">
        <v>8</v>
      </c>
      <c r="B1036">
        <v>0.109</v>
      </c>
      <c r="C1036">
        <v>0.1406</v>
      </c>
      <c r="D1036">
        <v>0.18290000000000001</v>
      </c>
      <c r="E1036">
        <v>0.23799999999999999</v>
      </c>
      <c r="F1036">
        <v>0.31950000000000001</v>
      </c>
      <c r="G1036">
        <v>0.41660000000000003</v>
      </c>
      <c r="H1036">
        <v>0.58360000000000001</v>
      </c>
      <c r="I1036">
        <v>0.72709999999999997</v>
      </c>
      <c r="J1036">
        <v>1.5804</v>
      </c>
    </row>
    <row r="1037" spans="1:10" x14ac:dyDescent="0.4">
      <c r="A1037">
        <v>9</v>
      </c>
      <c r="B1037">
        <v>2.75E-2</v>
      </c>
      <c r="C1037">
        <v>4.9299999999999997E-2</v>
      </c>
      <c r="D1037">
        <v>5.67E-2</v>
      </c>
      <c r="E1037">
        <v>7.8899999999999998E-2</v>
      </c>
      <c r="F1037">
        <v>0.1114</v>
      </c>
      <c r="G1037">
        <v>0.15260000000000001</v>
      </c>
      <c r="H1037">
        <v>0.2636</v>
      </c>
      <c r="I1037">
        <v>0.30649999999999999</v>
      </c>
      <c r="J1037">
        <v>1.0270999999999999</v>
      </c>
    </row>
    <row r="1038" spans="1:10" x14ac:dyDescent="0.4">
      <c r="A1038">
        <v>10</v>
      </c>
      <c r="B1038">
        <v>3.3E-3</v>
      </c>
      <c r="C1038">
        <v>6.3E-3</v>
      </c>
      <c r="D1038">
        <v>8.0000000000000002E-3</v>
      </c>
      <c r="E1038">
        <v>1.18E-2</v>
      </c>
      <c r="F1038">
        <v>1.7899999999999999E-2</v>
      </c>
      <c r="G1038">
        <v>2.81E-2</v>
      </c>
      <c r="H1038">
        <v>4.58E-2</v>
      </c>
      <c r="I1038">
        <v>6.1600000000000002E-2</v>
      </c>
      <c r="J1038">
        <v>0.27700000000000002</v>
      </c>
    </row>
    <row r="1039" spans="1:10" x14ac:dyDescent="0.4">
      <c r="A1039">
        <v>11</v>
      </c>
      <c r="B1039">
        <v>1E-3</v>
      </c>
      <c r="C1039">
        <v>3.0999999999999999E-3</v>
      </c>
      <c r="D1039">
        <v>4.1000000000000003E-3</v>
      </c>
      <c r="E1039">
        <v>7.3000000000000001E-3</v>
      </c>
      <c r="F1039">
        <v>1.29E-2</v>
      </c>
      <c r="G1039">
        <v>2.1999999999999999E-2</v>
      </c>
      <c r="H1039">
        <v>3.9300000000000002E-2</v>
      </c>
      <c r="I1039">
        <v>6.2700000000000006E-2</v>
      </c>
      <c r="J1039">
        <v>0.45369999999999999</v>
      </c>
    </row>
    <row r="1040" spans="1:10" x14ac:dyDescent="0.4">
      <c r="A1040">
        <v>12</v>
      </c>
      <c r="B1040">
        <v>0</v>
      </c>
      <c r="C1040">
        <v>2.0000000000000001E-4</v>
      </c>
      <c r="D1040">
        <v>2.0000000000000001E-4</v>
      </c>
      <c r="E1040">
        <v>5.0000000000000001E-4</v>
      </c>
      <c r="F1040">
        <v>1E-3</v>
      </c>
      <c r="G1040">
        <v>1.9E-3</v>
      </c>
      <c r="H1040">
        <v>3.3E-3</v>
      </c>
      <c r="I1040">
        <v>5.3E-3</v>
      </c>
      <c r="J1040">
        <v>4.8899999999999999E-2</v>
      </c>
    </row>
    <row r="1041" spans="1:10" x14ac:dyDescent="0.4">
      <c r="A1041">
        <v>13</v>
      </c>
      <c r="B1041">
        <v>0</v>
      </c>
      <c r="C1041">
        <v>1E-4</v>
      </c>
      <c r="D1041">
        <v>1E-4</v>
      </c>
      <c r="E1041">
        <v>2.0000000000000001E-4</v>
      </c>
      <c r="F1041">
        <v>5.0000000000000001E-4</v>
      </c>
      <c r="G1041">
        <v>8.9999999999999998E-4</v>
      </c>
      <c r="H1041">
        <v>2.3E-3</v>
      </c>
      <c r="I1041">
        <v>3.7000000000000002E-3</v>
      </c>
      <c r="J1041">
        <v>5.6899999999999999E-2</v>
      </c>
    </row>
    <row r="1042" spans="1:10" x14ac:dyDescent="0.4">
      <c r="A1042">
        <v>14</v>
      </c>
      <c r="B1042">
        <v>0</v>
      </c>
      <c r="C1042">
        <v>0</v>
      </c>
      <c r="D1042">
        <v>0</v>
      </c>
      <c r="E1042">
        <v>1E-4</v>
      </c>
      <c r="F1042">
        <v>2.0000000000000001E-4</v>
      </c>
      <c r="G1042">
        <v>4.0000000000000002E-4</v>
      </c>
      <c r="H1042">
        <v>6.9999999999999999E-4</v>
      </c>
      <c r="I1042">
        <v>1.2999999999999999E-3</v>
      </c>
      <c r="J1042">
        <v>4.7500000000000001E-2</v>
      </c>
    </row>
    <row r="1043" spans="1:10" x14ac:dyDescent="0.4">
      <c r="A1043" t="s">
        <v>29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1E-4</v>
      </c>
      <c r="H1043">
        <v>1E-4</v>
      </c>
      <c r="I1043">
        <v>2.0000000000000001E-4</v>
      </c>
      <c r="J1043">
        <v>1.9800000000000002E-2</v>
      </c>
    </row>
    <row r="1045" spans="1:10" x14ac:dyDescent="0.4">
      <c r="A1045">
        <v>2025</v>
      </c>
    </row>
    <row r="1047" spans="1:10" x14ac:dyDescent="0.4">
      <c r="A1047" t="s">
        <v>0</v>
      </c>
      <c r="B1047" s="2">
        <v>0.01</v>
      </c>
      <c r="C1047" s="2">
        <v>0.05</v>
      </c>
      <c r="D1047" s="2">
        <v>0.1</v>
      </c>
      <c r="E1047" s="2">
        <v>0.25</v>
      </c>
      <c r="F1047" s="2">
        <v>0.5</v>
      </c>
      <c r="G1047" s="2">
        <v>0.75</v>
      </c>
      <c r="H1047" s="2">
        <v>0.9</v>
      </c>
      <c r="I1047" s="2">
        <v>0.95</v>
      </c>
      <c r="J1047" s="2">
        <v>0.99</v>
      </c>
    </row>
    <row r="1048" spans="1:10" x14ac:dyDescent="0.4">
      <c r="A1048">
        <v>1</v>
      </c>
      <c r="B1048">
        <v>68.663499999999999</v>
      </c>
      <c r="C1048">
        <v>70.486500000000007</v>
      </c>
      <c r="D1048">
        <v>78.983800000000002</v>
      </c>
      <c r="E1048">
        <v>106.4195</v>
      </c>
      <c r="F1048">
        <v>172.0335</v>
      </c>
      <c r="G1048">
        <v>239.1893</v>
      </c>
      <c r="H1048">
        <v>281.99950000000001</v>
      </c>
      <c r="I1048">
        <v>310.52890000000002</v>
      </c>
      <c r="J1048">
        <v>365.96749999999997</v>
      </c>
    </row>
    <row r="1049" spans="1:10" x14ac:dyDescent="0.4">
      <c r="A1049">
        <v>2</v>
      </c>
      <c r="B1049">
        <v>39.358600000000003</v>
      </c>
      <c r="C1049">
        <v>42.312399999999997</v>
      </c>
      <c r="D1049">
        <v>46.408499999999997</v>
      </c>
      <c r="E1049">
        <v>58.915900000000001</v>
      </c>
      <c r="F1049">
        <v>99.664900000000003</v>
      </c>
      <c r="G1049">
        <v>141.5103</v>
      </c>
      <c r="H1049">
        <v>165.69839999999999</v>
      </c>
      <c r="I1049">
        <v>177.8871</v>
      </c>
      <c r="J1049">
        <v>200.25129999999999</v>
      </c>
    </row>
    <row r="1050" spans="1:10" x14ac:dyDescent="0.4">
      <c r="A1050">
        <v>3</v>
      </c>
      <c r="B1050">
        <v>20.863199999999999</v>
      </c>
      <c r="C1050">
        <v>23.1145</v>
      </c>
      <c r="D1050">
        <v>24.9801</v>
      </c>
      <c r="E1050">
        <v>33.360900000000001</v>
      </c>
      <c r="F1050">
        <v>56.746099999999998</v>
      </c>
      <c r="G1050">
        <v>80.872399999999999</v>
      </c>
      <c r="H1050">
        <v>97.636899999999997</v>
      </c>
      <c r="I1050">
        <v>108.4204</v>
      </c>
      <c r="J1050">
        <v>122.06870000000001</v>
      </c>
    </row>
    <row r="1051" spans="1:10" x14ac:dyDescent="0.4">
      <c r="A1051">
        <v>4</v>
      </c>
      <c r="B1051">
        <v>9.5518999999999998</v>
      </c>
      <c r="C1051">
        <v>11.7948</v>
      </c>
      <c r="D1051">
        <v>13.1873</v>
      </c>
      <c r="E1051">
        <v>17.744</v>
      </c>
      <c r="F1051">
        <v>29.8474</v>
      </c>
      <c r="G1051">
        <v>43.309800000000003</v>
      </c>
      <c r="H1051">
        <v>55.538699999999999</v>
      </c>
      <c r="I1051">
        <v>60.707799999999999</v>
      </c>
      <c r="J1051">
        <v>69.617599999999996</v>
      </c>
    </row>
    <row r="1052" spans="1:10" x14ac:dyDescent="0.4">
      <c r="A1052">
        <v>5</v>
      </c>
      <c r="B1052">
        <v>10.118</v>
      </c>
      <c r="C1052">
        <v>12.9588</v>
      </c>
      <c r="D1052">
        <v>15.0009</v>
      </c>
      <c r="E1052">
        <v>18.8855</v>
      </c>
      <c r="F1052">
        <v>24.994599999999998</v>
      </c>
      <c r="G1052">
        <v>33.022599999999997</v>
      </c>
      <c r="H1052">
        <v>42.825600000000001</v>
      </c>
      <c r="I1052">
        <v>49.255600000000001</v>
      </c>
      <c r="J1052">
        <v>58.195900000000002</v>
      </c>
    </row>
    <row r="1053" spans="1:10" x14ac:dyDescent="0.4">
      <c r="A1053">
        <v>6</v>
      </c>
      <c r="B1053">
        <v>3.0464000000000002</v>
      </c>
      <c r="C1053">
        <v>3.9931000000000001</v>
      </c>
      <c r="D1053">
        <v>4.8327999999999998</v>
      </c>
      <c r="E1053">
        <v>6.2187000000000001</v>
      </c>
      <c r="F1053">
        <v>7.7767999999999997</v>
      </c>
      <c r="G1053">
        <v>9.7263999999999999</v>
      </c>
      <c r="H1053">
        <v>11.8535</v>
      </c>
      <c r="I1053">
        <v>13.389900000000001</v>
      </c>
      <c r="J1053">
        <v>16.335000000000001</v>
      </c>
    </row>
    <row r="1054" spans="1:10" x14ac:dyDescent="0.4">
      <c r="A1054">
        <v>7</v>
      </c>
      <c r="B1054">
        <v>1.3658999999999999</v>
      </c>
      <c r="C1054">
        <v>1.8326</v>
      </c>
      <c r="D1054">
        <v>2.2298</v>
      </c>
      <c r="E1054">
        <v>2.8292000000000002</v>
      </c>
      <c r="F1054">
        <v>3.5809000000000002</v>
      </c>
      <c r="G1054">
        <v>4.5101000000000004</v>
      </c>
      <c r="H1054">
        <v>5.6353</v>
      </c>
      <c r="I1054">
        <v>6.5057999999999998</v>
      </c>
      <c r="J1054">
        <v>8.6556999999999995</v>
      </c>
    </row>
    <row r="1055" spans="1:10" x14ac:dyDescent="0.4">
      <c r="A1055">
        <v>8</v>
      </c>
      <c r="B1055">
        <v>0.15939999999999999</v>
      </c>
      <c r="C1055">
        <v>0.26500000000000001</v>
      </c>
      <c r="D1055">
        <v>0.35339999999999999</v>
      </c>
      <c r="E1055">
        <v>0.45279999999999998</v>
      </c>
      <c r="F1055">
        <v>0.58079999999999998</v>
      </c>
      <c r="G1055">
        <v>0.74560000000000004</v>
      </c>
      <c r="H1055">
        <v>0.99099999999999999</v>
      </c>
      <c r="I1055">
        <v>1.1578999999999999</v>
      </c>
      <c r="J1055">
        <v>2.0996000000000001</v>
      </c>
    </row>
    <row r="1056" spans="1:10" x14ac:dyDescent="0.4">
      <c r="A1056">
        <v>9</v>
      </c>
      <c r="B1056">
        <v>4.4900000000000002E-2</v>
      </c>
      <c r="C1056">
        <v>6.54E-2</v>
      </c>
      <c r="D1056">
        <v>8.2799999999999999E-2</v>
      </c>
      <c r="E1056">
        <v>0.1171</v>
      </c>
      <c r="F1056">
        <v>0.16059999999999999</v>
      </c>
      <c r="G1056">
        <v>0.21560000000000001</v>
      </c>
      <c r="H1056">
        <v>0.30930000000000002</v>
      </c>
      <c r="I1056">
        <v>0.38009999999999999</v>
      </c>
      <c r="J1056">
        <v>0.87050000000000005</v>
      </c>
    </row>
    <row r="1057" spans="1:10" x14ac:dyDescent="0.4">
      <c r="A1057">
        <v>10</v>
      </c>
      <c r="B1057">
        <v>1.21E-2</v>
      </c>
      <c r="C1057">
        <v>2.2499999999999999E-2</v>
      </c>
      <c r="D1057">
        <v>2.6499999999999999E-2</v>
      </c>
      <c r="E1057">
        <v>3.95E-2</v>
      </c>
      <c r="F1057">
        <v>5.7500000000000002E-2</v>
      </c>
      <c r="G1057">
        <v>7.9100000000000004E-2</v>
      </c>
      <c r="H1057">
        <v>0.14000000000000001</v>
      </c>
      <c r="I1057">
        <v>0.16919999999999999</v>
      </c>
      <c r="J1057">
        <v>0.58189999999999997</v>
      </c>
    </row>
    <row r="1058" spans="1:10" x14ac:dyDescent="0.4">
      <c r="A1058">
        <v>11</v>
      </c>
      <c r="B1058">
        <v>1.5E-3</v>
      </c>
      <c r="C1058">
        <v>3.0000000000000001E-3</v>
      </c>
      <c r="D1058">
        <v>3.8E-3</v>
      </c>
      <c r="E1058">
        <v>5.8999999999999999E-3</v>
      </c>
      <c r="F1058">
        <v>9.1000000000000004E-3</v>
      </c>
      <c r="G1058">
        <v>1.4500000000000001E-2</v>
      </c>
      <c r="H1058">
        <v>2.46E-2</v>
      </c>
      <c r="I1058">
        <v>3.2599999999999997E-2</v>
      </c>
      <c r="J1058">
        <v>0.15970000000000001</v>
      </c>
    </row>
    <row r="1059" spans="1:10" x14ac:dyDescent="0.4">
      <c r="A1059">
        <v>12</v>
      </c>
      <c r="B1059">
        <v>5.0000000000000001E-4</v>
      </c>
      <c r="C1059">
        <v>1.5E-3</v>
      </c>
      <c r="D1059">
        <v>2.0999999999999999E-3</v>
      </c>
      <c r="E1059">
        <v>3.5999999999999999E-3</v>
      </c>
      <c r="F1059">
        <v>6.6E-3</v>
      </c>
      <c r="G1059">
        <v>1.15E-2</v>
      </c>
      <c r="H1059">
        <v>2.1700000000000001E-2</v>
      </c>
      <c r="I1059">
        <v>3.3399999999999999E-2</v>
      </c>
      <c r="J1059">
        <v>0.2596</v>
      </c>
    </row>
    <row r="1060" spans="1:10" x14ac:dyDescent="0.4">
      <c r="A1060">
        <v>13</v>
      </c>
      <c r="B1060">
        <v>0</v>
      </c>
      <c r="C1060">
        <v>1E-4</v>
      </c>
      <c r="D1060">
        <v>1E-4</v>
      </c>
      <c r="E1060">
        <v>2.0000000000000001E-4</v>
      </c>
      <c r="F1060">
        <v>5.0000000000000001E-4</v>
      </c>
      <c r="G1060">
        <v>1E-3</v>
      </c>
      <c r="H1060">
        <v>1.8E-3</v>
      </c>
      <c r="I1060">
        <v>2.8E-3</v>
      </c>
      <c r="J1060">
        <v>2.86E-2</v>
      </c>
    </row>
    <row r="1061" spans="1:10" x14ac:dyDescent="0.4">
      <c r="A1061">
        <v>14</v>
      </c>
      <c r="B1061">
        <v>0</v>
      </c>
      <c r="C1061">
        <v>0</v>
      </c>
      <c r="D1061">
        <v>0</v>
      </c>
      <c r="E1061">
        <v>1E-4</v>
      </c>
      <c r="F1061">
        <v>2.9999999999999997E-4</v>
      </c>
      <c r="G1061">
        <v>5.0000000000000001E-4</v>
      </c>
      <c r="H1061">
        <v>1.2999999999999999E-3</v>
      </c>
      <c r="I1061">
        <v>2E-3</v>
      </c>
      <c r="J1061">
        <v>3.1300000000000001E-2</v>
      </c>
    </row>
    <row r="1062" spans="1:10" x14ac:dyDescent="0.4">
      <c r="A1062" t="s">
        <v>29</v>
      </c>
      <c r="B1062">
        <v>0</v>
      </c>
      <c r="C1062">
        <v>0</v>
      </c>
      <c r="D1062">
        <v>0</v>
      </c>
      <c r="E1062">
        <v>0</v>
      </c>
      <c r="F1062">
        <v>1E-4</v>
      </c>
      <c r="G1062">
        <v>2.0000000000000001E-4</v>
      </c>
      <c r="H1062">
        <v>5.0000000000000001E-4</v>
      </c>
      <c r="I1062">
        <v>8.0000000000000004E-4</v>
      </c>
      <c r="J1062">
        <v>3.9199999999999999E-2</v>
      </c>
    </row>
    <row r="1064" spans="1:10" x14ac:dyDescent="0.4">
      <c r="A1064">
        <v>2026</v>
      </c>
    </row>
    <row r="1066" spans="1:10" x14ac:dyDescent="0.4">
      <c r="A1066" t="s">
        <v>0</v>
      </c>
      <c r="B1066" s="2">
        <v>0.01</v>
      </c>
      <c r="C1066" s="2">
        <v>0.05</v>
      </c>
      <c r="D1066" s="2">
        <v>0.1</v>
      </c>
      <c r="E1066" s="2">
        <v>0.25</v>
      </c>
      <c r="F1066" s="2">
        <v>0.5</v>
      </c>
      <c r="G1066" s="2">
        <v>0.75</v>
      </c>
      <c r="H1066" s="2">
        <v>0.9</v>
      </c>
      <c r="I1066" s="2">
        <v>0.95</v>
      </c>
      <c r="J1066" s="2">
        <v>0.99</v>
      </c>
    </row>
    <row r="1067" spans="1:10" x14ac:dyDescent="0.4">
      <c r="A1067">
        <v>1</v>
      </c>
      <c r="B1067">
        <v>68.686099999999996</v>
      </c>
      <c r="C1067">
        <v>70.224000000000004</v>
      </c>
      <c r="D1067">
        <v>79.077100000000002</v>
      </c>
      <c r="E1067">
        <v>104.45659999999999</v>
      </c>
      <c r="F1067">
        <v>167.92910000000001</v>
      </c>
      <c r="G1067">
        <v>239.91329999999999</v>
      </c>
      <c r="H1067">
        <v>286.16879999999998</v>
      </c>
      <c r="I1067">
        <v>307.8399</v>
      </c>
      <c r="J1067">
        <v>337.61219999999997</v>
      </c>
    </row>
    <row r="1068" spans="1:10" x14ac:dyDescent="0.4">
      <c r="A1068">
        <v>2</v>
      </c>
      <c r="B1068">
        <v>39.061300000000003</v>
      </c>
      <c r="C1068">
        <v>42.895400000000002</v>
      </c>
      <c r="D1068">
        <v>47.782200000000003</v>
      </c>
      <c r="E1068">
        <v>62.438200000000002</v>
      </c>
      <c r="F1068">
        <v>103.9661</v>
      </c>
      <c r="G1068">
        <v>144.31100000000001</v>
      </c>
      <c r="H1068">
        <v>170.5522</v>
      </c>
      <c r="I1068">
        <v>187.8629</v>
      </c>
      <c r="J1068">
        <v>208.2123</v>
      </c>
    </row>
    <row r="1069" spans="1:10" x14ac:dyDescent="0.4">
      <c r="A1069">
        <v>3</v>
      </c>
      <c r="B1069">
        <v>18.651</v>
      </c>
      <c r="C1069">
        <v>21.724699999999999</v>
      </c>
      <c r="D1069">
        <v>23.7455</v>
      </c>
      <c r="E1069">
        <v>31.026299999999999</v>
      </c>
      <c r="F1069">
        <v>53.168300000000002</v>
      </c>
      <c r="G1069">
        <v>78.193100000000001</v>
      </c>
      <c r="H1069">
        <v>94.3249</v>
      </c>
      <c r="I1069">
        <v>102.324</v>
      </c>
      <c r="J1069">
        <v>119.27</v>
      </c>
    </row>
    <row r="1070" spans="1:10" x14ac:dyDescent="0.4">
      <c r="A1070">
        <v>4</v>
      </c>
      <c r="B1070">
        <v>7.3507999999999996</v>
      </c>
      <c r="C1070">
        <v>9.7790999999999997</v>
      </c>
      <c r="D1070">
        <v>10.870699999999999</v>
      </c>
      <c r="E1070">
        <v>15.2767</v>
      </c>
      <c r="F1070">
        <v>27.556999999999999</v>
      </c>
      <c r="G1070">
        <v>40.900100000000002</v>
      </c>
      <c r="H1070">
        <v>52.408099999999997</v>
      </c>
      <c r="I1070">
        <v>58.2896</v>
      </c>
      <c r="J1070">
        <v>67.143799999999999</v>
      </c>
    </row>
    <row r="1071" spans="1:10" x14ac:dyDescent="0.4">
      <c r="A1071">
        <v>5</v>
      </c>
      <c r="B1071">
        <v>3.2955999999999999</v>
      </c>
      <c r="C1071">
        <v>4.2892000000000001</v>
      </c>
      <c r="D1071">
        <v>5.4699</v>
      </c>
      <c r="E1071">
        <v>7.8764000000000003</v>
      </c>
      <c r="F1071">
        <v>13.737399999999999</v>
      </c>
      <c r="G1071">
        <v>21.5304</v>
      </c>
      <c r="H1071">
        <v>28.767700000000001</v>
      </c>
      <c r="I1071">
        <v>31.526499999999999</v>
      </c>
      <c r="J1071">
        <v>38.636800000000001</v>
      </c>
    </row>
    <row r="1072" spans="1:10" x14ac:dyDescent="0.4">
      <c r="A1072">
        <v>6</v>
      </c>
      <c r="B1072">
        <v>2.9815</v>
      </c>
      <c r="C1072">
        <v>4.7606000000000002</v>
      </c>
      <c r="D1072">
        <v>5.8749000000000002</v>
      </c>
      <c r="E1072">
        <v>8.1523000000000003</v>
      </c>
      <c r="F1072">
        <v>11.579800000000001</v>
      </c>
      <c r="G1072">
        <v>16.336200000000002</v>
      </c>
      <c r="H1072">
        <v>21.660799999999998</v>
      </c>
      <c r="I1072">
        <v>25.258800000000001</v>
      </c>
      <c r="J1072">
        <v>31.497800000000002</v>
      </c>
    </row>
    <row r="1073" spans="1:10" x14ac:dyDescent="0.4">
      <c r="A1073">
        <v>7</v>
      </c>
      <c r="B1073">
        <v>0.94369999999999998</v>
      </c>
      <c r="C1073">
        <v>1.5108999999999999</v>
      </c>
      <c r="D1073">
        <v>1.9209000000000001</v>
      </c>
      <c r="E1073">
        <v>2.6997</v>
      </c>
      <c r="F1073">
        <v>3.6597</v>
      </c>
      <c r="G1073">
        <v>4.7892999999999999</v>
      </c>
      <c r="H1073">
        <v>6.0339</v>
      </c>
      <c r="I1073">
        <v>6.9635999999999996</v>
      </c>
      <c r="J1073">
        <v>8.9017999999999997</v>
      </c>
    </row>
    <row r="1074" spans="1:10" x14ac:dyDescent="0.4">
      <c r="A1074">
        <v>8</v>
      </c>
      <c r="B1074">
        <v>0.432</v>
      </c>
      <c r="C1074">
        <v>0.70050000000000001</v>
      </c>
      <c r="D1074">
        <v>0.88959999999999995</v>
      </c>
      <c r="E1074">
        <v>1.2585999999999999</v>
      </c>
      <c r="F1074">
        <v>1.7199</v>
      </c>
      <c r="G1074">
        <v>2.2612999999999999</v>
      </c>
      <c r="H1074">
        <v>2.8902999999999999</v>
      </c>
      <c r="I1074">
        <v>3.4327000000000001</v>
      </c>
      <c r="J1074">
        <v>4.6959</v>
      </c>
    </row>
    <row r="1075" spans="1:10" x14ac:dyDescent="0.4">
      <c r="A1075">
        <v>9</v>
      </c>
      <c r="B1075">
        <v>5.28E-2</v>
      </c>
      <c r="C1075">
        <v>0.1057</v>
      </c>
      <c r="D1075">
        <v>0.1434</v>
      </c>
      <c r="E1075">
        <v>0.20610000000000001</v>
      </c>
      <c r="F1075">
        <v>0.28010000000000002</v>
      </c>
      <c r="G1075">
        <v>0.37309999999999999</v>
      </c>
      <c r="H1075">
        <v>0.51060000000000005</v>
      </c>
      <c r="I1075">
        <v>0.61229999999999996</v>
      </c>
      <c r="J1075">
        <v>1.0819000000000001</v>
      </c>
    </row>
    <row r="1076" spans="1:10" x14ac:dyDescent="0.4">
      <c r="A1076">
        <v>10</v>
      </c>
      <c r="B1076">
        <v>1.6899999999999998E-2</v>
      </c>
      <c r="C1076">
        <v>2.81E-2</v>
      </c>
      <c r="D1076">
        <v>3.5099999999999999E-2</v>
      </c>
      <c r="E1076">
        <v>5.5E-2</v>
      </c>
      <c r="F1076">
        <v>8.0299999999999996E-2</v>
      </c>
      <c r="G1076">
        <v>0.11070000000000001</v>
      </c>
      <c r="H1076">
        <v>0.1615</v>
      </c>
      <c r="I1076">
        <v>0.2064</v>
      </c>
      <c r="J1076">
        <v>0.47189999999999999</v>
      </c>
    </row>
    <row r="1077" spans="1:10" x14ac:dyDescent="0.4">
      <c r="A1077">
        <v>11</v>
      </c>
      <c r="B1077">
        <v>5.7000000000000002E-3</v>
      </c>
      <c r="C1077">
        <v>9.1999999999999998E-3</v>
      </c>
      <c r="D1077">
        <v>1.18E-2</v>
      </c>
      <c r="E1077">
        <v>1.8599999999999998E-2</v>
      </c>
      <c r="F1077">
        <v>2.8799999999999999E-2</v>
      </c>
      <c r="G1077">
        <v>4.1200000000000001E-2</v>
      </c>
      <c r="H1077">
        <v>7.2800000000000004E-2</v>
      </c>
      <c r="I1077">
        <v>9.11E-2</v>
      </c>
      <c r="J1077">
        <v>0.30890000000000001</v>
      </c>
    </row>
    <row r="1078" spans="1:10" x14ac:dyDescent="0.4">
      <c r="A1078">
        <v>12</v>
      </c>
      <c r="B1078">
        <v>6.9999999999999999E-4</v>
      </c>
      <c r="C1078">
        <v>1.2999999999999999E-3</v>
      </c>
      <c r="D1078">
        <v>1.6999999999999999E-3</v>
      </c>
      <c r="E1078">
        <v>2.8999999999999998E-3</v>
      </c>
      <c r="F1078">
        <v>4.5999999999999999E-3</v>
      </c>
      <c r="G1078">
        <v>7.4999999999999997E-3</v>
      </c>
      <c r="H1078">
        <v>1.2999999999999999E-2</v>
      </c>
      <c r="I1078">
        <v>1.7399999999999999E-2</v>
      </c>
      <c r="J1078">
        <v>8.5400000000000004E-2</v>
      </c>
    </row>
    <row r="1079" spans="1:10" x14ac:dyDescent="0.4">
      <c r="A1079">
        <v>13</v>
      </c>
      <c r="B1079">
        <v>2.9999999999999997E-4</v>
      </c>
      <c r="C1079">
        <v>6.9999999999999999E-4</v>
      </c>
      <c r="D1079">
        <v>1E-3</v>
      </c>
      <c r="E1079">
        <v>1.8E-3</v>
      </c>
      <c r="F1079">
        <v>3.2000000000000002E-3</v>
      </c>
      <c r="G1079">
        <v>5.8999999999999999E-3</v>
      </c>
      <c r="H1079">
        <v>1.1900000000000001E-2</v>
      </c>
      <c r="I1079">
        <v>1.7600000000000001E-2</v>
      </c>
      <c r="J1079">
        <v>0.14380000000000001</v>
      </c>
    </row>
    <row r="1080" spans="1:10" x14ac:dyDescent="0.4">
      <c r="A1080">
        <v>14</v>
      </c>
      <c r="B1080">
        <v>0</v>
      </c>
      <c r="C1080">
        <v>0</v>
      </c>
      <c r="D1080">
        <v>1E-4</v>
      </c>
      <c r="E1080">
        <v>1E-4</v>
      </c>
      <c r="F1080">
        <v>2.9999999999999997E-4</v>
      </c>
      <c r="G1080">
        <v>5.0000000000000001E-4</v>
      </c>
      <c r="H1080">
        <v>1E-3</v>
      </c>
      <c r="I1080">
        <v>1.5E-3</v>
      </c>
      <c r="J1080">
        <v>1.5699999999999999E-2</v>
      </c>
    </row>
    <row r="1081" spans="1:10" x14ac:dyDescent="0.4">
      <c r="A1081" t="s">
        <v>29</v>
      </c>
      <c r="B1081">
        <v>0</v>
      </c>
      <c r="C1081">
        <v>0</v>
      </c>
      <c r="D1081">
        <v>0</v>
      </c>
      <c r="E1081">
        <v>1E-4</v>
      </c>
      <c r="F1081">
        <v>2.0000000000000001E-4</v>
      </c>
      <c r="G1081">
        <v>4.0000000000000002E-4</v>
      </c>
      <c r="H1081">
        <v>8.9999999999999998E-4</v>
      </c>
      <c r="I1081">
        <v>1.5E-3</v>
      </c>
      <c r="J1081">
        <v>3.7900000000000003E-2</v>
      </c>
    </row>
    <row r="1083" spans="1:10" x14ac:dyDescent="0.4">
      <c r="A1083">
        <v>2027</v>
      </c>
    </row>
    <row r="1085" spans="1:10" x14ac:dyDescent="0.4">
      <c r="A1085" t="s">
        <v>0</v>
      </c>
      <c r="B1085" s="2">
        <v>0.01</v>
      </c>
      <c r="C1085" s="2">
        <v>0.05</v>
      </c>
      <c r="D1085" s="2">
        <v>0.1</v>
      </c>
      <c r="E1085" s="2">
        <v>0.25</v>
      </c>
      <c r="F1085" s="2">
        <v>0.5</v>
      </c>
      <c r="G1085" s="2">
        <v>0.75</v>
      </c>
      <c r="H1085" s="2">
        <v>0.9</v>
      </c>
      <c r="I1085" s="2">
        <v>0.95</v>
      </c>
      <c r="J1085" s="2">
        <v>0.99</v>
      </c>
    </row>
    <row r="1086" spans="1:10" x14ac:dyDescent="0.4">
      <c r="A1086">
        <v>1</v>
      </c>
      <c r="B1086">
        <v>68.487399999999994</v>
      </c>
      <c r="C1086">
        <v>70.689499999999995</v>
      </c>
      <c r="D1086">
        <v>79.395799999999994</v>
      </c>
      <c r="E1086">
        <v>103.2093</v>
      </c>
      <c r="F1086">
        <v>168.36840000000001</v>
      </c>
      <c r="G1086">
        <v>236.6046</v>
      </c>
      <c r="H1086">
        <v>282.55579999999998</v>
      </c>
      <c r="I1086">
        <v>311.90600000000001</v>
      </c>
      <c r="J1086">
        <v>334.38650000000001</v>
      </c>
    </row>
    <row r="1087" spans="1:10" x14ac:dyDescent="0.4">
      <c r="A1087">
        <v>2</v>
      </c>
      <c r="B1087">
        <v>38.586199999999998</v>
      </c>
      <c r="C1087">
        <v>42.6922</v>
      </c>
      <c r="D1087">
        <v>46.468499999999999</v>
      </c>
      <c r="E1087">
        <v>61.701000000000001</v>
      </c>
      <c r="F1087">
        <v>98.890100000000004</v>
      </c>
      <c r="G1087">
        <v>145.57390000000001</v>
      </c>
      <c r="H1087">
        <v>170.6183</v>
      </c>
      <c r="I1087">
        <v>185.42519999999999</v>
      </c>
      <c r="J1087">
        <v>210.74010000000001</v>
      </c>
    </row>
    <row r="1088" spans="1:10" x14ac:dyDescent="0.4">
      <c r="A1088">
        <v>3</v>
      </c>
      <c r="B1088">
        <v>17.9971</v>
      </c>
      <c r="C1088">
        <v>21.3492</v>
      </c>
      <c r="D1088">
        <v>24.217600000000001</v>
      </c>
      <c r="E1088">
        <v>32.479700000000001</v>
      </c>
      <c r="F1088">
        <v>55.738100000000003</v>
      </c>
      <c r="G1088">
        <v>79.468800000000002</v>
      </c>
      <c r="H1088">
        <v>96.930999999999997</v>
      </c>
      <c r="I1088">
        <v>104.764</v>
      </c>
      <c r="J1088">
        <v>123.16759999999999</v>
      </c>
    </row>
    <row r="1089" spans="1:10" x14ac:dyDescent="0.4">
      <c r="A1089">
        <v>4</v>
      </c>
      <c r="B1089">
        <v>4.9009999999999998</v>
      </c>
      <c r="C1089">
        <v>8.6171000000000006</v>
      </c>
      <c r="D1089">
        <v>9.8849999999999998</v>
      </c>
      <c r="E1089">
        <v>14.125999999999999</v>
      </c>
      <c r="F1089">
        <v>24.803100000000001</v>
      </c>
      <c r="G1089">
        <v>38.148800000000001</v>
      </c>
      <c r="H1089">
        <v>49.909500000000001</v>
      </c>
      <c r="I1089">
        <v>55.885599999999997</v>
      </c>
      <c r="J1089">
        <v>65.4863</v>
      </c>
    </row>
    <row r="1090" spans="1:10" x14ac:dyDescent="0.4">
      <c r="A1090">
        <v>5</v>
      </c>
      <c r="B1090">
        <v>1.8032999999999999</v>
      </c>
      <c r="C1090">
        <v>3.2656000000000001</v>
      </c>
      <c r="D1090">
        <v>4.2759</v>
      </c>
      <c r="E1090">
        <v>6.6536</v>
      </c>
      <c r="F1090">
        <v>12.299099999999999</v>
      </c>
      <c r="G1090">
        <v>19.571899999999999</v>
      </c>
      <c r="H1090">
        <v>26.609300000000001</v>
      </c>
      <c r="I1090">
        <v>30.497399999999999</v>
      </c>
      <c r="J1090">
        <v>36.2438</v>
      </c>
    </row>
    <row r="1091" spans="1:10" x14ac:dyDescent="0.4">
      <c r="A1091">
        <v>6</v>
      </c>
      <c r="B1091">
        <v>0.62849999999999995</v>
      </c>
      <c r="C1091">
        <v>1.4286000000000001</v>
      </c>
      <c r="D1091">
        <v>2.0743</v>
      </c>
      <c r="E1091">
        <v>3.4192</v>
      </c>
      <c r="F1091">
        <v>6.1390000000000002</v>
      </c>
      <c r="G1091">
        <v>10.258699999999999</v>
      </c>
      <c r="H1091">
        <v>14.0739</v>
      </c>
      <c r="I1091">
        <v>16.662700000000001</v>
      </c>
      <c r="J1091">
        <v>20.993500000000001</v>
      </c>
    </row>
    <row r="1092" spans="1:10" x14ac:dyDescent="0.4">
      <c r="A1092">
        <v>7</v>
      </c>
      <c r="B1092">
        <v>0.61909999999999998</v>
      </c>
      <c r="C1092">
        <v>1.6188</v>
      </c>
      <c r="D1092">
        <v>2.1913999999999998</v>
      </c>
      <c r="E1092">
        <v>3.4251999999999998</v>
      </c>
      <c r="F1092">
        <v>5.2705000000000002</v>
      </c>
      <c r="G1092">
        <v>7.9452999999999996</v>
      </c>
      <c r="H1092">
        <v>10.8177</v>
      </c>
      <c r="I1092">
        <v>13.0915</v>
      </c>
      <c r="J1092">
        <v>16.735499999999998</v>
      </c>
    </row>
    <row r="1093" spans="1:10" x14ac:dyDescent="0.4">
      <c r="A1093">
        <v>8</v>
      </c>
      <c r="B1093">
        <v>0.2031</v>
      </c>
      <c r="C1093">
        <v>0.5444</v>
      </c>
      <c r="D1093">
        <v>0.72240000000000004</v>
      </c>
      <c r="E1093">
        <v>1.1286</v>
      </c>
      <c r="F1093">
        <v>1.6952</v>
      </c>
      <c r="G1093">
        <v>2.3613</v>
      </c>
      <c r="H1093">
        <v>3.0568</v>
      </c>
      <c r="I1093">
        <v>3.5495000000000001</v>
      </c>
      <c r="J1093">
        <v>4.5876000000000001</v>
      </c>
    </row>
    <row r="1094" spans="1:10" x14ac:dyDescent="0.4">
      <c r="A1094">
        <v>9</v>
      </c>
      <c r="B1094">
        <v>0.1011</v>
      </c>
      <c r="C1094">
        <v>0.26290000000000002</v>
      </c>
      <c r="D1094">
        <v>0.35189999999999999</v>
      </c>
      <c r="E1094">
        <v>0.53759999999999997</v>
      </c>
      <c r="F1094">
        <v>0.81899999999999995</v>
      </c>
      <c r="G1094">
        <v>1.1296999999999999</v>
      </c>
      <c r="H1094">
        <v>1.5041</v>
      </c>
      <c r="I1094">
        <v>1.7615000000000001</v>
      </c>
      <c r="J1094">
        <v>2.5280999999999998</v>
      </c>
    </row>
    <row r="1095" spans="1:10" x14ac:dyDescent="0.4">
      <c r="A1095">
        <v>10</v>
      </c>
      <c r="B1095">
        <v>1.5900000000000001E-2</v>
      </c>
      <c r="C1095">
        <v>4.0899999999999999E-2</v>
      </c>
      <c r="D1095">
        <v>5.74E-2</v>
      </c>
      <c r="E1095">
        <v>9.2700000000000005E-2</v>
      </c>
      <c r="F1095">
        <v>0.1366</v>
      </c>
      <c r="G1095">
        <v>0.19170000000000001</v>
      </c>
      <c r="H1095">
        <v>0.26729999999999998</v>
      </c>
      <c r="I1095">
        <v>0.32429999999999998</v>
      </c>
      <c r="J1095">
        <v>0.58940000000000003</v>
      </c>
    </row>
    <row r="1096" spans="1:10" x14ac:dyDescent="0.4">
      <c r="A1096">
        <v>11</v>
      </c>
      <c r="B1096">
        <v>4.7000000000000002E-3</v>
      </c>
      <c r="C1096">
        <v>1.11E-2</v>
      </c>
      <c r="D1096">
        <v>1.4999999999999999E-2</v>
      </c>
      <c r="E1096">
        <v>2.47E-2</v>
      </c>
      <c r="F1096">
        <v>3.9E-2</v>
      </c>
      <c r="G1096">
        <v>5.6300000000000003E-2</v>
      </c>
      <c r="H1096">
        <v>8.4599999999999995E-2</v>
      </c>
      <c r="I1096">
        <v>0.1076</v>
      </c>
      <c r="J1096">
        <v>0.24229999999999999</v>
      </c>
    </row>
    <row r="1097" spans="1:10" x14ac:dyDescent="0.4">
      <c r="A1097">
        <v>12</v>
      </c>
      <c r="B1097">
        <v>1.6000000000000001E-3</v>
      </c>
      <c r="C1097">
        <v>3.5999999999999999E-3</v>
      </c>
      <c r="D1097">
        <v>5.1000000000000004E-3</v>
      </c>
      <c r="E1097">
        <v>8.6E-3</v>
      </c>
      <c r="F1097">
        <v>1.4200000000000001E-2</v>
      </c>
      <c r="G1097">
        <v>2.1600000000000001E-2</v>
      </c>
      <c r="H1097">
        <v>3.7100000000000001E-2</v>
      </c>
      <c r="I1097">
        <v>4.9799999999999997E-2</v>
      </c>
      <c r="J1097">
        <v>0.1613</v>
      </c>
    </row>
    <row r="1098" spans="1:10" x14ac:dyDescent="0.4">
      <c r="A1098">
        <v>13</v>
      </c>
      <c r="B1098">
        <v>2.0000000000000001E-4</v>
      </c>
      <c r="C1098">
        <v>5.0000000000000001E-4</v>
      </c>
      <c r="D1098">
        <v>8.0000000000000004E-4</v>
      </c>
      <c r="E1098">
        <v>1.2999999999999999E-3</v>
      </c>
      <c r="F1098">
        <v>2.3E-3</v>
      </c>
      <c r="G1098">
        <v>3.8999999999999998E-3</v>
      </c>
      <c r="H1098">
        <v>6.7999999999999996E-3</v>
      </c>
      <c r="I1098">
        <v>9.1000000000000004E-3</v>
      </c>
      <c r="J1098">
        <v>4.7100000000000003E-2</v>
      </c>
    </row>
    <row r="1099" spans="1:10" x14ac:dyDescent="0.4">
      <c r="A1099">
        <v>14</v>
      </c>
      <c r="B1099">
        <v>1E-4</v>
      </c>
      <c r="C1099">
        <v>2.9999999999999997E-4</v>
      </c>
      <c r="D1099">
        <v>4.0000000000000002E-4</v>
      </c>
      <c r="E1099">
        <v>8.0000000000000004E-4</v>
      </c>
      <c r="F1099">
        <v>1.6000000000000001E-3</v>
      </c>
      <c r="G1099">
        <v>3.0000000000000001E-3</v>
      </c>
      <c r="H1099">
        <v>6.0000000000000001E-3</v>
      </c>
      <c r="I1099">
        <v>9.1999999999999998E-3</v>
      </c>
      <c r="J1099">
        <v>7.8E-2</v>
      </c>
    </row>
    <row r="1100" spans="1:10" x14ac:dyDescent="0.4">
      <c r="A1100" t="s">
        <v>29</v>
      </c>
      <c r="B1100">
        <v>0</v>
      </c>
      <c r="C1100">
        <v>0</v>
      </c>
      <c r="D1100">
        <v>0</v>
      </c>
      <c r="E1100">
        <v>1E-4</v>
      </c>
      <c r="F1100">
        <v>2.0000000000000001E-4</v>
      </c>
      <c r="G1100">
        <v>5.0000000000000001E-4</v>
      </c>
      <c r="H1100">
        <v>1E-3</v>
      </c>
      <c r="I1100">
        <v>1.6000000000000001E-3</v>
      </c>
      <c r="J1100">
        <v>2.9100000000000001E-2</v>
      </c>
    </row>
    <row r="1102" spans="1:10" x14ac:dyDescent="0.4">
      <c r="A1102">
        <v>2028</v>
      </c>
    </row>
    <row r="1104" spans="1:10" x14ac:dyDescent="0.4">
      <c r="A1104" t="s">
        <v>0</v>
      </c>
      <c r="B1104" s="2">
        <v>0.01</v>
      </c>
      <c r="C1104" s="2">
        <v>0.05</v>
      </c>
      <c r="D1104" s="2">
        <v>0.1</v>
      </c>
      <c r="E1104" s="2">
        <v>0.25</v>
      </c>
      <c r="F1104" s="2">
        <v>0.5</v>
      </c>
      <c r="G1104" s="2">
        <v>0.75</v>
      </c>
      <c r="H1104" s="2">
        <v>0.9</v>
      </c>
      <c r="I1104" s="2">
        <v>0.95</v>
      </c>
      <c r="J1104" s="2">
        <v>0.99</v>
      </c>
    </row>
    <row r="1105" spans="1:10" x14ac:dyDescent="0.4">
      <c r="A1105">
        <v>1</v>
      </c>
      <c r="B1105">
        <v>68.659000000000006</v>
      </c>
      <c r="C1105">
        <v>69.811899999999994</v>
      </c>
      <c r="D1105">
        <v>76.861800000000002</v>
      </c>
      <c r="E1105">
        <v>99.737899999999996</v>
      </c>
      <c r="F1105">
        <v>168.5549</v>
      </c>
      <c r="G1105">
        <v>238.2705</v>
      </c>
      <c r="H1105">
        <v>281.13319999999999</v>
      </c>
      <c r="I1105">
        <v>311.68029999999999</v>
      </c>
      <c r="J1105">
        <v>379.07929999999999</v>
      </c>
    </row>
    <row r="1106" spans="1:10" x14ac:dyDescent="0.4">
      <c r="A1106">
        <v>2</v>
      </c>
      <c r="B1106">
        <v>38.775300000000001</v>
      </c>
      <c r="C1106">
        <v>42.393300000000004</v>
      </c>
      <c r="D1106">
        <v>46.404400000000003</v>
      </c>
      <c r="E1106">
        <v>60.780299999999997</v>
      </c>
      <c r="F1106">
        <v>100.1066</v>
      </c>
      <c r="G1106">
        <v>138.6353</v>
      </c>
      <c r="H1106">
        <v>170.32339999999999</v>
      </c>
      <c r="I1106">
        <v>185.06800000000001</v>
      </c>
      <c r="J1106">
        <v>208.5498</v>
      </c>
    </row>
    <row r="1107" spans="1:10" x14ac:dyDescent="0.4">
      <c r="A1107">
        <v>3</v>
      </c>
      <c r="B1107">
        <v>16.072399999999998</v>
      </c>
      <c r="C1107">
        <v>20.991700000000002</v>
      </c>
      <c r="D1107">
        <v>23.354399999999998</v>
      </c>
      <c r="E1107">
        <v>31.870799999999999</v>
      </c>
      <c r="F1107">
        <v>51.730200000000004</v>
      </c>
      <c r="G1107">
        <v>77.081100000000006</v>
      </c>
      <c r="H1107">
        <v>95.386600000000001</v>
      </c>
      <c r="I1107">
        <v>105.0077</v>
      </c>
      <c r="J1107">
        <v>122.3395</v>
      </c>
    </row>
    <row r="1108" spans="1:10" x14ac:dyDescent="0.4">
      <c r="A1108">
        <v>4</v>
      </c>
      <c r="B1108">
        <v>4.0269000000000004</v>
      </c>
      <c r="C1108">
        <v>8.0550999999999995</v>
      </c>
      <c r="D1108">
        <v>10.0832</v>
      </c>
      <c r="E1108">
        <v>14.4917</v>
      </c>
      <c r="F1108">
        <v>25.8279</v>
      </c>
      <c r="G1108">
        <v>38.932400000000001</v>
      </c>
      <c r="H1108">
        <v>50.9148</v>
      </c>
      <c r="I1108">
        <v>57.076599999999999</v>
      </c>
      <c r="J1108">
        <v>69.997299999999996</v>
      </c>
    </row>
    <row r="1109" spans="1:10" x14ac:dyDescent="0.4">
      <c r="A1109">
        <v>5</v>
      </c>
      <c r="B1109">
        <v>0.95220000000000005</v>
      </c>
      <c r="C1109">
        <v>2.5480999999999998</v>
      </c>
      <c r="D1109">
        <v>3.5811999999999999</v>
      </c>
      <c r="E1109">
        <v>6.0335000000000001</v>
      </c>
      <c r="F1109">
        <v>11.0329</v>
      </c>
      <c r="G1109">
        <v>18.031099999999999</v>
      </c>
      <c r="H1109">
        <v>25.733699999999999</v>
      </c>
      <c r="I1109">
        <v>29.653400000000001</v>
      </c>
      <c r="J1109">
        <v>35.293100000000003</v>
      </c>
    </row>
    <row r="1110" spans="1:10" x14ac:dyDescent="0.4">
      <c r="A1110">
        <v>6</v>
      </c>
      <c r="B1110">
        <v>0.2757</v>
      </c>
      <c r="C1110">
        <v>0.97419999999999995</v>
      </c>
      <c r="D1110">
        <v>1.4896</v>
      </c>
      <c r="E1110">
        <v>2.8062</v>
      </c>
      <c r="F1110">
        <v>5.2643000000000004</v>
      </c>
      <c r="G1110">
        <v>9.1897000000000002</v>
      </c>
      <c r="H1110">
        <v>13.2849</v>
      </c>
      <c r="I1110">
        <v>15.484500000000001</v>
      </c>
      <c r="J1110">
        <v>19.8171</v>
      </c>
    </row>
    <row r="1111" spans="1:10" x14ac:dyDescent="0.4">
      <c r="A1111">
        <v>7</v>
      </c>
      <c r="B1111">
        <v>9.0899999999999995E-2</v>
      </c>
      <c r="C1111">
        <v>0.42970000000000003</v>
      </c>
      <c r="D1111">
        <v>0.71220000000000006</v>
      </c>
      <c r="E1111">
        <v>1.4272</v>
      </c>
      <c r="F1111">
        <v>2.7343000000000002</v>
      </c>
      <c r="G1111">
        <v>4.7359999999999998</v>
      </c>
      <c r="H1111">
        <v>6.9960000000000004</v>
      </c>
      <c r="I1111">
        <v>8.5710999999999995</v>
      </c>
      <c r="J1111">
        <v>10.9132</v>
      </c>
    </row>
    <row r="1112" spans="1:10" x14ac:dyDescent="0.4">
      <c r="A1112">
        <v>8</v>
      </c>
      <c r="B1112">
        <v>8.5400000000000004E-2</v>
      </c>
      <c r="C1112">
        <v>0.49919999999999998</v>
      </c>
      <c r="D1112">
        <v>0.78500000000000003</v>
      </c>
      <c r="E1112">
        <v>1.4232</v>
      </c>
      <c r="F1112">
        <v>2.3982000000000001</v>
      </c>
      <c r="G1112">
        <v>3.8161</v>
      </c>
      <c r="H1112">
        <v>5.4532999999999996</v>
      </c>
      <c r="I1112">
        <v>6.6581000000000001</v>
      </c>
      <c r="J1112">
        <v>8.8336000000000006</v>
      </c>
    </row>
    <row r="1113" spans="1:10" x14ac:dyDescent="0.4">
      <c r="A1113">
        <v>9</v>
      </c>
      <c r="B1113">
        <v>3.0200000000000001E-2</v>
      </c>
      <c r="C1113">
        <v>0.1734</v>
      </c>
      <c r="D1113">
        <v>0.26540000000000002</v>
      </c>
      <c r="E1113">
        <v>0.48630000000000001</v>
      </c>
      <c r="F1113">
        <v>0.79730000000000001</v>
      </c>
      <c r="G1113">
        <v>1.1838</v>
      </c>
      <c r="H1113">
        <v>1.5572999999999999</v>
      </c>
      <c r="I1113">
        <v>1.7899</v>
      </c>
      <c r="J1113">
        <v>2.4849999999999999</v>
      </c>
    </row>
    <row r="1114" spans="1:10" x14ac:dyDescent="0.4">
      <c r="A1114">
        <v>10</v>
      </c>
      <c r="B1114">
        <v>2.0400000000000001E-2</v>
      </c>
      <c r="C1114">
        <v>8.8400000000000006E-2</v>
      </c>
      <c r="D1114">
        <v>0.13109999999999999</v>
      </c>
      <c r="E1114">
        <v>0.23219999999999999</v>
      </c>
      <c r="F1114">
        <v>0.38500000000000001</v>
      </c>
      <c r="G1114">
        <v>0.57579999999999998</v>
      </c>
      <c r="H1114">
        <v>0.76739999999999997</v>
      </c>
      <c r="I1114">
        <v>0.91159999999999997</v>
      </c>
      <c r="J1114">
        <v>1.4443999999999999</v>
      </c>
    </row>
    <row r="1115" spans="1:10" x14ac:dyDescent="0.4">
      <c r="A1115">
        <v>11</v>
      </c>
      <c r="B1115">
        <v>3.3E-3</v>
      </c>
      <c r="C1115">
        <v>1.32E-2</v>
      </c>
      <c r="D1115">
        <v>2.23E-2</v>
      </c>
      <c r="E1115">
        <v>4.0800000000000003E-2</v>
      </c>
      <c r="F1115">
        <v>6.5100000000000005E-2</v>
      </c>
      <c r="G1115">
        <v>9.7600000000000006E-2</v>
      </c>
      <c r="H1115">
        <v>0.13819999999999999</v>
      </c>
      <c r="I1115">
        <v>0.1734</v>
      </c>
      <c r="J1115">
        <v>0.31380000000000002</v>
      </c>
    </row>
    <row r="1116" spans="1:10" x14ac:dyDescent="0.4">
      <c r="A1116">
        <v>12</v>
      </c>
      <c r="B1116">
        <v>1E-3</v>
      </c>
      <c r="C1116">
        <v>3.8E-3</v>
      </c>
      <c r="D1116">
        <v>6.3E-3</v>
      </c>
      <c r="E1116">
        <v>1.09E-2</v>
      </c>
      <c r="F1116">
        <v>1.8599999999999998E-2</v>
      </c>
      <c r="G1116">
        <v>2.87E-2</v>
      </c>
      <c r="H1116">
        <v>4.41E-2</v>
      </c>
      <c r="I1116">
        <v>5.7099999999999998E-2</v>
      </c>
      <c r="J1116">
        <v>0.12189999999999999</v>
      </c>
    </row>
    <row r="1117" spans="1:10" x14ac:dyDescent="0.4">
      <c r="A1117">
        <v>13</v>
      </c>
      <c r="B1117">
        <v>2.9999999999999997E-4</v>
      </c>
      <c r="C1117">
        <v>1.2999999999999999E-3</v>
      </c>
      <c r="D1117">
        <v>2.0999999999999999E-3</v>
      </c>
      <c r="E1117">
        <v>3.8999999999999998E-3</v>
      </c>
      <c r="F1117">
        <v>6.8999999999999999E-3</v>
      </c>
      <c r="G1117">
        <v>1.09E-2</v>
      </c>
      <c r="H1117">
        <v>1.9300000000000001E-2</v>
      </c>
      <c r="I1117">
        <v>2.6200000000000001E-2</v>
      </c>
      <c r="J1117">
        <v>8.5199999999999998E-2</v>
      </c>
    </row>
    <row r="1118" spans="1:10" x14ac:dyDescent="0.4">
      <c r="A1118">
        <v>14</v>
      </c>
      <c r="B1118">
        <v>1E-4</v>
      </c>
      <c r="C1118">
        <v>2.0000000000000001E-4</v>
      </c>
      <c r="D1118">
        <v>2.9999999999999997E-4</v>
      </c>
      <c r="E1118">
        <v>5.9999999999999995E-4</v>
      </c>
      <c r="F1118">
        <v>1.1000000000000001E-3</v>
      </c>
      <c r="G1118">
        <v>1.9E-3</v>
      </c>
      <c r="H1118">
        <v>3.5000000000000001E-3</v>
      </c>
      <c r="I1118">
        <v>4.7999999999999996E-3</v>
      </c>
      <c r="J1118">
        <v>2.4500000000000001E-2</v>
      </c>
    </row>
    <row r="1119" spans="1:10" x14ac:dyDescent="0.4">
      <c r="A1119" t="s">
        <v>29</v>
      </c>
      <c r="B1119">
        <v>0</v>
      </c>
      <c r="C1119">
        <v>1E-4</v>
      </c>
      <c r="D1119">
        <v>2.0000000000000001E-4</v>
      </c>
      <c r="E1119">
        <v>4.0000000000000002E-4</v>
      </c>
      <c r="F1119">
        <v>8.9999999999999998E-4</v>
      </c>
      <c r="G1119">
        <v>1.6999999999999999E-3</v>
      </c>
      <c r="H1119">
        <v>3.5000000000000001E-3</v>
      </c>
      <c r="I1119">
        <v>5.4999999999999997E-3</v>
      </c>
      <c r="J1119">
        <v>5.5100000000000003E-2</v>
      </c>
    </row>
    <row r="1121" spans="1:10" x14ac:dyDescent="0.4">
      <c r="A1121">
        <v>2029</v>
      </c>
    </row>
    <row r="1123" spans="1:10" x14ac:dyDescent="0.4">
      <c r="A1123" t="s">
        <v>0</v>
      </c>
      <c r="B1123" s="2">
        <v>0.01</v>
      </c>
      <c r="C1123" s="2">
        <v>0.05</v>
      </c>
      <c r="D1123" s="2">
        <v>0.1</v>
      </c>
      <c r="E1123" s="2">
        <v>0.25</v>
      </c>
      <c r="F1123" s="2">
        <v>0.5</v>
      </c>
      <c r="G1123" s="2">
        <v>0.75</v>
      </c>
      <c r="H1123" s="2">
        <v>0.9</v>
      </c>
      <c r="I1123" s="2">
        <v>0.95</v>
      </c>
      <c r="J1123" s="2">
        <v>0.99</v>
      </c>
    </row>
    <row r="1124" spans="1:10" x14ac:dyDescent="0.4">
      <c r="A1124">
        <v>1</v>
      </c>
      <c r="B1124">
        <v>68.820599999999999</v>
      </c>
      <c r="C1124">
        <v>72.410300000000007</v>
      </c>
      <c r="D1124">
        <v>80.814700000000002</v>
      </c>
      <c r="E1124">
        <v>107.28019999999999</v>
      </c>
      <c r="F1124">
        <v>170.0598</v>
      </c>
      <c r="G1124">
        <v>237.655</v>
      </c>
      <c r="H1124">
        <v>278.02910000000003</v>
      </c>
      <c r="I1124">
        <v>303.10180000000003</v>
      </c>
      <c r="J1124">
        <v>322.85820000000001</v>
      </c>
    </row>
    <row r="1125" spans="1:10" x14ac:dyDescent="0.4">
      <c r="A1125">
        <v>2</v>
      </c>
      <c r="B1125">
        <v>38.729500000000002</v>
      </c>
      <c r="C1125">
        <v>41.995600000000003</v>
      </c>
      <c r="D1125">
        <v>44.941899999999997</v>
      </c>
      <c r="E1125">
        <v>59.309199999999997</v>
      </c>
      <c r="F1125">
        <v>98.939099999999996</v>
      </c>
      <c r="G1125">
        <v>143.76089999999999</v>
      </c>
      <c r="H1125">
        <v>169.43109999999999</v>
      </c>
      <c r="I1125">
        <v>186.6387</v>
      </c>
      <c r="J1125">
        <v>213.38570000000001</v>
      </c>
    </row>
    <row r="1126" spans="1:10" x14ac:dyDescent="0.4">
      <c r="A1126">
        <v>3</v>
      </c>
      <c r="B1126">
        <v>15.1144</v>
      </c>
      <c r="C1126">
        <v>19.7088</v>
      </c>
      <c r="D1126">
        <v>22.715699999999998</v>
      </c>
      <c r="E1126">
        <v>31.119900000000001</v>
      </c>
      <c r="F1126">
        <v>51.480600000000003</v>
      </c>
      <c r="G1126">
        <v>72.259399999999999</v>
      </c>
      <c r="H1126">
        <v>94.572100000000006</v>
      </c>
      <c r="I1126">
        <v>103.73609999999999</v>
      </c>
      <c r="J1126">
        <v>124.68940000000001</v>
      </c>
    </row>
    <row r="1127" spans="1:10" x14ac:dyDescent="0.4">
      <c r="A1127">
        <v>4</v>
      </c>
      <c r="B1127">
        <v>3.1636000000000002</v>
      </c>
      <c r="C1127">
        <v>7.4297000000000004</v>
      </c>
      <c r="D1127">
        <v>8.8714999999999993</v>
      </c>
      <c r="E1127">
        <v>13.7682</v>
      </c>
      <c r="F1127">
        <v>23.5227</v>
      </c>
      <c r="G1127">
        <v>37.2926</v>
      </c>
      <c r="H1127">
        <v>50.582700000000003</v>
      </c>
      <c r="I1127">
        <v>56.1937</v>
      </c>
      <c r="J1127">
        <v>69.5137</v>
      </c>
    </row>
    <row r="1128" spans="1:10" x14ac:dyDescent="0.4">
      <c r="A1128">
        <v>5</v>
      </c>
      <c r="B1128">
        <v>0.59860000000000002</v>
      </c>
      <c r="C1128">
        <v>2.3801999999999999</v>
      </c>
      <c r="D1128">
        <v>3.4100999999999999</v>
      </c>
      <c r="E1128">
        <v>6.0103999999999997</v>
      </c>
      <c r="F1128">
        <v>11.2608</v>
      </c>
      <c r="G1128">
        <v>18.369599999999998</v>
      </c>
      <c r="H1128">
        <v>25.863900000000001</v>
      </c>
      <c r="I1128">
        <v>29.243600000000001</v>
      </c>
      <c r="J1128">
        <v>37.894300000000001</v>
      </c>
    </row>
    <row r="1129" spans="1:10" x14ac:dyDescent="0.4">
      <c r="A1129">
        <v>6</v>
      </c>
      <c r="B1129">
        <v>9.7699999999999995E-2</v>
      </c>
      <c r="C1129">
        <v>0.66959999999999997</v>
      </c>
      <c r="D1129">
        <v>1.1980999999999999</v>
      </c>
      <c r="E1129">
        <v>2.3851</v>
      </c>
      <c r="F1129">
        <v>4.7454999999999998</v>
      </c>
      <c r="G1129">
        <v>8.3671000000000006</v>
      </c>
      <c r="H1129">
        <v>12.526999999999999</v>
      </c>
      <c r="I1129">
        <v>14.850899999999999</v>
      </c>
      <c r="J1129">
        <v>19.694700000000001</v>
      </c>
    </row>
    <row r="1130" spans="1:10" x14ac:dyDescent="0.4">
      <c r="A1130">
        <v>7</v>
      </c>
      <c r="B1130">
        <v>3.8800000000000001E-2</v>
      </c>
      <c r="C1130">
        <v>0.26950000000000002</v>
      </c>
      <c r="D1130">
        <v>0.50509999999999999</v>
      </c>
      <c r="E1130">
        <v>1.1066</v>
      </c>
      <c r="F1130">
        <v>2.2787999999999999</v>
      </c>
      <c r="G1130">
        <v>4.3716999999999997</v>
      </c>
      <c r="H1130">
        <v>6.5084</v>
      </c>
      <c r="I1130">
        <v>7.6414</v>
      </c>
      <c r="J1130">
        <v>10.5777</v>
      </c>
    </row>
    <row r="1131" spans="1:10" x14ac:dyDescent="0.4">
      <c r="A1131">
        <v>8</v>
      </c>
      <c r="B1131">
        <v>1.5299999999999999E-2</v>
      </c>
      <c r="C1131">
        <v>0.12479999999999999</v>
      </c>
      <c r="D1131">
        <v>0.24179999999999999</v>
      </c>
      <c r="E1131">
        <v>0.57120000000000004</v>
      </c>
      <c r="F1131">
        <v>1.2023999999999999</v>
      </c>
      <c r="G1131">
        <v>2.2528000000000001</v>
      </c>
      <c r="H1131">
        <v>3.476</v>
      </c>
      <c r="I1131">
        <v>4.3277999999999999</v>
      </c>
      <c r="J1131">
        <v>5.7740999999999998</v>
      </c>
    </row>
    <row r="1132" spans="1:10" x14ac:dyDescent="0.4">
      <c r="A1132">
        <v>9</v>
      </c>
      <c r="B1132">
        <v>1.2699999999999999E-2</v>
      </c>
      <c r="C1132">
        <v>0.15179999999999999</v>
      </c>
      <c r="D1132">
        <v>0.27710000000000001</v>
      </c>
      <c r="E1132">
        <v>0.58760000000000001</v>
      </c>
      <c r="F1132">
        <v>1.1059000000000001</v>
      </c>
      <c r="G1132">
        <v>1.8693</v>
      </c>
      <c r="H1132">
        <v>2.7732999999999999</v>
      </c>
      <c r="I1132">
        <v>3.4342000000000001</v>
      </c>
      <c r="J1132">
        <v>4.7739000000000003</v>
      </c>
    </row>
    <row r="1133" spans="1:10" x14ac:dyDescent="0.4">
      <c r="A1133">
        <v>10</v>
      </c>
      <c r="B1133">
        <v>5.0000000000000001E-3</v>
      </c>
      <c r="C1133">
        <v>4.7500000000000001E-2</v>
      </c>
      <c r="D1133">
        <v>9.6100000000000005E-2</v>
      </c>
      <c r="E1133">
        <v>0.20319999999999999</v>
      </c>
      <c r="F1133">
        <v>0.375</v>
      </c>
      <c r="G1133">
        <v>0.59309999999999996</v>
      </c>
      <c r="H1133">
        <v>0.80730000000000002</v>
      </c>
      <c r="I1133">
        <v>0.96760000000000002</v>
      </c>
      <c r="J1133">
        <v>1.3728</v>
      </c>
    </row>
    <row r="1134" spans="1:10" x14ac:dyDescent="0.4">
      <c r="A1134">
        <v>11</v>
      </c>
      <c r="B1134">
        <v>2.7000000000000001E-3</v>
      </c>
      <c r="C1134">
        <v>2.5399999999999999E-2</v>
      </c>
      <c r="D1134">
        <v>4.9700000000000001E-2</v>
      </c>
      <c r="E1134">
        <v>0.1016</v>
      </c>
      <c r="F1134">
        <v>0.18049999999999999</v>
      </c>
      <c r="G1134">
        <v>0.29430000000000001</v>
      </c>
      <c r="H1134">
        <v>0.40229999999999999</v>
      </c>
      <c r="I1134">
        <v>0.49220000000000003</v>
      </c>
      <c r="J1134">
        <v>0.70099999999999996</v>
      </c>
    </row>
    <row r="1135" spans="1:10" x14ac:dyDescent="0.4">
      <c r="A1135">
        <v>12</v>
      </c>
      <c r="B1135">
        <v>6.9999999999999999E-4</v>
      </c>
      <c r="C1135">
        <v>4.1999999999999997E-3</v>
      </c>
      <c r="D1135">
        <v>8.5000000000000006E-3</v>
      </c>
      <c r="E1135">
        <v>1.7999999999999999E-2</v>
      </c>
      <c r="F1135">
        <v>3.1199999999999999E-2</v>
      </c>
      <c r="G1135">
        <v>4.9500000000000002E-2</v>
      </c>
      <c r="H1135">
        <v>7.1900000000000006E-2</v>
      </c>
      <c r="I1135">
        <v>9.1300000000000006E-2</v>
      </c>
      <c r="J1135">
        <v>0.1555</v>
      </c>
    </row>
    <row r="1136" spans="1:10" x14ac:dyDescent="0.4">
      <c r="A1136">
        <v>13</v>
      </c>
      <c r="B1136">
        <v>1E-4</v>
      </c>
      <c r="C1136">
        <v>1.2999999999999999E-3</v>
      </c>
      <c r="D1136">
        <v>2.3E-3</v>
      </c>
      <c r="E1136">
        <v>4.8999999999999998E-3</v>
      </c>
      <c r="F1136">
        <v>9.1000000000000004E-3</v>
      </c>
      <c r="G1136">
        <v>1.4800000000000001E-2</v>
      </c>
      <c r="H1136">
        <v>2.3099999999999999E-2</v>
      </c>
      <c r="I1136">
        <v>3.0099999999999998E-2</v>
      </c>
      <c r="J1136">
        <v>6.4000000000000001E-2</v>
      </c>
    </row>
    <row r="1137" spans="1:10" x14ac:dyDescent="0.4">
      <c r="A1137">
        <v>14</v>
      </c>
      <c r="B1137">
        <v>1E-4</v>
      </c>
      <c r="C1137">
        <v>5.0000000000000001E-4</v>
      </c>
      <c r="D1137">
        <v>8.9999999999999998E-4</v>
      </c>
      <c r="E1137">
        <v>1.6999999999999999E-3</v>
      </c>
      <c r="F1137">
        <v>3.3E-3</v>
      </c>
      <c r="G1137">
        <v>5.5999999999999999E-3</v>
      </c>
      <c r="H1137">
        <v>1.01E-2</v>
      </c>
      <c r="I1137">
        <v>1.3899999999999999E-2</v>
      </c>
      <c r="J1137">
        <v>4.2599999999999999E-2</v>
      </c>
    </row>
    <row r="1138" spans="1:10" x14ac:dyDescent="0.4">
      <c r="A1138" t="s">
        <v>29</v>
      </c>
      <c r="B1138">
        <v>0</v>
      </c>
      <c r="C1138">
        <v>1E-4</v>
      </c>
      <c r="D1138">
        <v>2.0000000000000001E-4</v>
      </c>
      <c r="E1138">
        <v>5.0000000000000001E-4</v>
      </c>
      <c r="F1138">
        <v>1E-3</v>
      </c>
      <c r="G1138">
        <v>1.9E-3</v>
      </c>
      <c r="H1138">
        <v>3.7000000000000002E-3</v>
      </c>
      <c r="I1138">
        <v>5.3E-3</v>
      </c>
      <c r="J1138">
        <v>4.0899999999999999E-2</v>
      </c>
    </row>
    <row r="1140" spans="1:10" x14ac:dyDescent="0.4">
      <c r="A1140">
        <v>2030</v>
      </c>
    </row>
    <row r="1142" spans="1:10" x14ac:dyDescent="0.4">
      <c r="A1142" t="s">
        <v>0</v>
      </c>
      <c r="B1142" s="2">
        <v>0.01</v>
      </c>
      <c r="C1142" s="2">
        <v>0.05</v>
      </c>
      <c r="D1142" s="2">
        <v>0.1</v>
      </c>
      <c r="E1142" s="2">
        <v>0.25</v>
      </c>
      <c r="F1142" s="2">
        <v>0.5</v>
      </c>
      <c r="G1142" s="2">
        <v>0.75</v>
      </c>
      <c r="H1142" s="2">
        <v>0.9</v>
      </c>
      <c r="I1142" s="2">
        <v>0.95</v>
      </c>
      <c r="J1142" s="2">
        <v>0.99</v>
      </c>
    </row>
    <row r="1143" spans="1:10" x14ac:dyDescent="0.4">
      <c r="A1143">
        <v>1</v>
      </c>
      <c r="B1143">
        <v>68.633300000000006</v>
      </c>
      <c r="C1143">
        <v>71.421499999999995</v>
      </c>
      <c r="D1143">
        <v>78.594200000000001</v>
      </c>
      <c r="E1143">
        <v>104.11839999999999</v>
      </c>
      <c r="F1143">
        <v>168.47559999999999</v>
      </c>
      <c r="G1143">
        <v>247.84710000000001</v>
      </c>
      <c r="H1143">
        <v>277.60120000000001</v>
      </c>
      <c r="I1143">
        <v>306.17790000000002</v>
      </c>
      <c r="J1143">
        <v>353.97820000000002</v>
      </c>
    </row>
    <row r="1144" spans="1:10" x14ac:dyDescent="0.4">
      <c r="A1144">
        <v>2</v>
      </c>
      <c r="B1144">
        <v>37.9696</v>
      </c>
      <c r="C1144">
        <v>43.280099999999997</v>
      </c>
      <c r="D1144">
        <v>47.311599999999999</v>
      </c>
      <c r="E1144">
        <v>62.877699999999997</v>
      </c>
      <c r="F1144">
        <v>100.9365</v>
      </c>
      <c r="G1144">
        <v>140.96209999999999</v>
      </c>
      <c r="H1144">
        <v>167.2072</v>
      </c>
      <c r="I1144">
        <v>180.7766</v>
      </c>
      <c r="J1144">
        <v>200.33199999999999</v>
      </c>
    </row>
    <row r="1145" spans="1:10" x14ac:dyDescent="0.4">
      <c r="A1145">
        <v>3</v>
      </c>
      <c r="B1145">
        <v>13.425800000000001</v>
      </c>
      <c r="C1145">
        <v>19.145399999999999</v>
      </c>
      <c r="D1145">
        <v>21.665099999999999</v>
      </c>
      <c r="E1145">
        <v>29.254799999999999</v>
      </c>
      <c r="F1145">
        <v>50.594700000000003</v>
      </c>
      <c r="G1145">
        <v>75.482600000000005</v>
      </c>
      <c r="H1145">
        <v>94.770799999999994</v>
      </c>
      <c r="I1145">
        <v>103.87739999999999</v>
      </c>
      <c r="J1145">
        <v>121.2753</v>
      </c>
    </row>
    <row r="1146" spans="1:10" x14ac:dyDescent="0.4">
      <c r="A1146">
        <v>4</v>
      </c>
      <c r="B1146">
        <v>2.9005999999999998</v>
      </c>
      <c r="C1146">
        <v>6.1543999999999999</v>
      </c>
      <c r="D1146">
        <v>8.8515999999999995</v>
      </c>
      <c r="E1146">
        <v>13.359500000000001</v>
      </c>
      <c r="F1146">
        <v>23.235700000000001</v>
      </c>
      <c r="G1146">
        <v>34.881</v>
      </c>
      <c r="H1146">
        <v>48.037300000000002</v>
      </c>
      <c r="I1146">
        <v>54.889800000000001</v>
      </c>
      <c r="J1146">
        <v>66.516099999999994</v>
      </c>
    </row>
    <row r="1147" spans="1:10" x14ac:dyDescent="0.4">
      <c r="A1147">
        <v>5</v>
      </c>
      <c r="B1147">
        <v>0.46820000000000001</v>
      </c>
      <c r="C1147">
        <v>1.879</v>
      </c>
      <c r="D1147">
        <v>3.0354999999999999</v>
      </c>
      <c r="E1147">
        <v>5.3052000000000001</v>
      </c>
      <c r="F1147">
        <v>10.2049</v>
      </c>
      <c r="G1147">
        <v>17.500800000000002</v>
      </c>
      <c r="H1147">
        <v>25.371300000000002</v>
      </c>
      <c r="I1147">
        <v>29.180700000000002</v>
      </c>
      <c r="J1147">
        <v>36.383800000000001</v>
      </c>
    </row>
    <row r="1148" spans="1:10" x14ac:dyDescent="0.4">
      <c r="A1148">
        <v>6</v>
      </c>
      <c r="B1148">
        <v>8.3299999999999999E-2</v>
      </c>
      <c r="C1148">
        <v>0.59399999999999997</v>
      </c>
      <c r="D1148">
        <v>1.0494000000000001</v>
      </c>
      <c r="E1148">
        <v>2.3197999999999999</v>
      </c>
      <c r="F1148">
        <v>4.7808000000000002</v>
      </c>
      <c r="G1148">
        <v>8.4163999999999994</v>
      </c>
      <c r="H1148">
        <v>12.625999999999999</v>
      </c>
      <c r="I1148">
        <v>14.7553</v>
      </c>
      <c r="J1148">
        <v>20.112400000000001</v>
      </c>
    </row>
    <row r="1149" spans="1:10" x14ac:dyDescent="0.4">
      <c r="A1149">
        <v>7</v>
      </c>
      <c r="B1149">
        <v>1.5100000000000001E-2</v>
      </c>
      <c r="C1149">
        <v>0.17319999999999999</v>
      </c>
      <c r="D1149">
        <v>0.3599</v>
      </c>
      <c r="E1149">
        <v>0.94610000000000005</v>
      </c>
      <c r="F1149">
        <v>2.0242</v>
      </c>
      <c r="G1149">
        <v>3.855</v>
      </c>
      <c r="H1149">
        <v>6.1417000000000002</v>
      </c>
      <c r="I1149">
        <v>7.6243999999999996</v>
      </c>
      <c r="J1149">
        <v>10.2363</v>
      </c>
    </row>
    <row r="1150" spans="1:10" x14ac:dyDescent="0.4">
      <c r="A1150">
        <v>8</v>
      </c>
      <c r="B1150">
        <v>3.5000000000000001E-3</v>
      </c>
      <c r="C1150">
        <v>6.8099999999999994E-2</v>
      </c>
      <c r="D1150">
        <v>0.16089999999999999</v>
      </c>
      <c r="E1150">
        <v>0.4355</v>
      </c>
      <c r="F1150">
        <v>1.0096000000000001</v>
      </c>
      <c r="G1150">
        <v>2.0548999999999999</v>
      </c>
      <c r="H1150">
        <v>3.2008999999999999</v>
      </c>
      <c r="I1150">
        <v>3.8262999999999998</v>
      </c>
      <c r="J1150">
        <v>5.9116999999999997</v>
      </c>
    </row>
    <row r="1151" spans="1:10" x14ac:dyDescent="0.4">
      <c r="A1151">
        <v>9</v>
      </c>
      <c r="B1151">
        <v>2.0999999999999999E-3</v>
      </c>
      <c r="C1151">
        <v>3.3099999999999997E-2</v>
      </c>
      <c r="D1151">
        <v>8.5800000000000001E-2</v>
      </c>
      <c r="E1151">
        <v>0.22450000000000001</v>
      </c>
      <c r="F1151">
        <v>0.53400000000000003</v>
      </c>
      <c r="G1151">
        <v>1.0691999999999999</v>
      </c>
      <c r="H1151">
        <v>1.7775000000000001</v>
      </c>
      <c r="I1151">
        <v>2.1827999999999999</v>
      </c>
      <c r="J1151">
        <v>3.1246</v>
      </c>
    </row>
    <row r="1152" spans="1:10" x14ac:dyDescent="0.4">
      <c r="A1152">
        <v>10</v>
      </c>
      <c r="B1152">
        <v>1.9E-3</v>
      </c>
      <c r="C1152">
        <v>4.1799999999999997E-2</v>
      </c>
      <c r="D1152">
        <v>8.9899999999999994E-2</v>
      </c>
      <c r="E1152">
        <v>0.23300000000000001</v>
      </c>
      <c r="F1152">
        <v>0.52159999999999995</v>
      </c>
      <c r="G1152">
        <v>0.90980000000000005</v>
      </c>
      <c r="H1152">
        <v>1.4132</v>
      </c>
      <c r="I1152">
        <v>1.7754000000000001</v>
      </c>
      <c r="J1152">
        <v>2.5600999999999998</v>
      </c>
    </row>
    <row r="1153" spans="1:10" x14ac:dyDescent="0.4">
      <c r="A1153">
        <v>11</v>
      </c>
      <c r="B1153">
        <v>8.0000000000000004E-4</v>
      </c>
      <c r="C1153">
        <v>1.4999999999999999E-2</v>
      </c>
      <c r="D1153">
        <v>3.1E-2</v>
      </c>
      <c r="E1153">
        <v>8.5500000000000007E-2</v>
      </c>
      <c r="F1153">
        <v>0.17430000000000001</v>
      </c>
      <c r="G1153">
        <v>0.29659999999999997</v>
      </c>
      <c r="H1153">
        <v>0.41720000000000002</v>
      </c>
      <c r="I1153">
        <v>0.51959999999999995</v>
      </c>
      <c r="J1153">
        <v>0.7278</v>
      </c>
    </row>
    <row r="1154" spans="1:10" x14ac:dyDescent="0.4">
      <c r="A1154">
        <v>12</v>
      </c>
      <c r="B1154">
        <v>5.9999999999999995E-4</v>
      </c>
      <c r="C1154">
        <v>7.9000000000000008E-3</v>
      </c>
      <c r="D1154">
        <v>1.54E-2</v>
      </c>
      <c r="E1154">
        <v>4.2799999999999998E-2</v>
      </c>
      <c r="F1154">
        <v>8.3699999999999997E-2</v>
      </c>
      <c r="G1154">
        <v>0.14530000000000001</v>
      </c>
      <c r="H1154">
        <v>0.2104</v>
      </c>
      <c r="I1154">
        <v>0.26369999999999999</v>
      </c>
      <c r="J1154">
        <v>0.377</v>
      </c>
    </row>
    <row r="1155" spans="1:10" x14ac:dyDescent="0.4">
      <c r="A1155">
        <v>13</v>
      </c>
      <c r="B1155">
        <v>1E-4</v>
      </c>
      <c r="C1155">
        <v>1.2999999999999999E-3</v>
      </c>
      <c r="D1155">
        <v>2.8999999999999998E-3</v>
      </c>
      <c r="E1155">
        <v>7.4999999999999997E-3</v>
      </c>
      <c r="F1155">
        <v>1.5100000000000001E-2</v>
      </c>
      <c r="G1155">
        <v>2.52E-2</v>
      </c>
      <c r="H1155">
        <v>3.7900000000000003E-2</v>
      </c>
      <c r="I1155">
        <v>4.8099999999999997E-2</v>
      </c>
      <c r="J1155">
        <v>8.4500000000000006E-2</v>
      </c>
    </row>
    <row r="1156" spans="1:10" x14ac:dyDescent="0.4">
      <c r="A1156">
        <v>14</v>
      </c>
      <c r="B1156">
        <v>0</v>
      </c>
      <c r="C1156">
        <v>4.0000000000000002E-4</v>
      </c>
      <c r="D1156">
        <v>8.9999999999999998E-4</v>
      </c>
      <c r="E1156">
        <v>2.2000000000000001E-3</v>
      </c>
      <c r="F1156">
        <v>4.3E-3</v>
      </c>
      <c r="G1156">
        <v>7.4000000000000003E-3</v>
      </c>
      <c r="H1156">
        <v>1.23E-2</v>
      </c>
      <c r="I1156">
        <v>1.6199999999999999E-2</v>
      </c>
      <c r="J1156">
        <v>3.2399999999999998E-2</v>
      </c>
    </row>
    <row r="1157" spans="1:10" x14ac:dyDescent="0.4">
      <c r="A1157" t="s">
        <v>29</v>
      </c>
      <c r="B1157">
        <v>0</v>
      </c>
      <c r="C1157">
        <v>2.0000000000000001E-4</v>
      </c>
      <c r="D1157">
        <v>4.0000000000000002E-4</v>
      </c>
      <c r="E1157">
        <v>1E-3</v>
      </c>
      <c r="F1157">
        <v>2.0999999999999999E-3</v>
      </c>
      <c r="G1157">
        <v>3.7000000000000002E-3</v>
      </c>
      <c r="H1157">
        <v>7.1999999999999998E-3</v>
      </c>
      <c r="I1157">
        <v>1.04E-2</v>
      </c>
      <c r="J1157">
        <v>3.8899999999999997E-2</v>
      </c>
    </row>
    <row r="1159" spans="1:10" x14ac:dyDescent="0.4">
      <c r="A1159">
        <v>2031</v>
      </c>
    </row>
    <row r="1161" spans="1:10" x14ac:dyDescent="0.4">
      <c r="A1161" t="s">
        <v>0</v>
      </c>
      <c r="B1161" s="2">
        <v>0.01</v>
      </c>
      <c r="C1161" s="2">
        <v>0.05</v>
      </c>
      <c r="D1161" s="2">
        <v>0.1</v>
      </c>
      <c r="E1161" s="2">
        <v>0.25</v>
      </c>
      <c r="F1161" s="2">
        <v>0.5</v>
      </c>
      <c r="G1161" s="2">
        <v>0.75</v>
      </c>
      <c r="H1161" s="2">
        <v>0.9</v>
      </c>
      <c r="I1161" s="2">
        <v>0.95</v>
      </c>
      <c r="J1161" s="2">
        <v>0.99</v>
      </c>
    </row>
    <row r="1162" spans="1:10" x14ac:dyDescent="0.4">
      <c r="A1162">
        <v>1</v>
      </c>
      <c r="B1162">
        <v>68.625900000000001</v>
      </c>
      <c r="C1162">
        <v>70.212299999999999</v>
      </c>
      <c r="D1162">
        <v>78.540400000000005</v>
      </c>
      <c r="E1162">
        <v>104.56950000000001</v>
      </c>
      <c r="F1162">
        <v>170.3904</v>
      </c>
      <c r="G1162">
        <v>238.91720000000001</v>
      </c>
      <c r="H1162">
        <v>281.59859999999998</v>
      </c>
      <c r="I1162">
        <v>306.69529999999997</v>
      </c>
      <c r="J1162">
        <v>381.488</v>
      </c>
    </row>
    <row r="1163" spans="1:10" x14ac:dyDescent="0.4">
      <c r="A1163">
        <v>2</v>
      </c>
      <c r="B1163">
        <v>38.131999999999998</v>
      </c>
      <c r="C1163">
        <v>42.361600000000003</v>
      </c>
      <c r="D1163">
        <v>45.974899999999998</v>
      </c>
      <c r="E1163">
        <v>60.268099999999997</v>
      </c>
      <c r="F1163">
        <v>98.935199999999995</v>
      </c>
      <c r="G1163">
        <v>144.34379999999999</v>
      </c>
      <c r="H1163">
        <v>168.82419999999999</v>
      </c>
      <c r="I1163">
        <v>185.31270000000001</v>
      </c>
      <c r="J1163">
        <v>207.72190000000001</v>
      </c>
    </row>
    <row r="1164" spans="1:10" x14ac:dyDescent="0.4">
      <c r="A1164">
        <v>3</v>
      </c>
      <c r="B1164">
        <v>12.716699999999999</v>
      </c>
      <c r="C1164">
        <v>19.5777</v>
      </c>
      <c r="D1164">
        <v>22.603300000000001</v>
      </c>
      <c r="E1164">
        <v>31.311399999999999</v>
      </c>
      <c r="F1164">
        <v>52.013300000000001</v>
      </c>
      <c r="G1164">
        <v>73.944199999999995</v>
      </c>
      <c r="H1164">
        <v>92.780600000000007</v>
      </c>
      <c r="I1164">
        <v>100.378</v>
      </c>
      <c r="J1164">
        <v>119.916</v>
      </c>
    </row>
    <row r="1165" spans="1:10" x14ac:dyDescent="0.4">
      <c r="A1165">
        <v>4</v>
      </c>
      <c r="B1165">
        <v>1.8139000000000001</v>
      </c>
      <c r="C1165">
        <v>6.01</v>
      </c>
      <c r="D1165">
        <v>7.9920999999999998</v>
      </c>
      <c r="E1165">
        <v>12.547000000000001</v>
      </c>
      <c r="F1165">
        <v>22.930199999999999</v>
      </c>
      <c r="G1165">
        <v>36.228400000000001</v>
      </c>
      <c r="H1165">
        <v>48.392600000000002</v>
      </c>
      <c r="I1165">
        <v>54.692599999999999</v>
      </c>
      <c r="J1165">
        <v>65.585999999999999</v>
      </c>
    </row>
    <row r="1166" spans="1:10" x14ac:dyDescent="0.4">
      <c r="A1166">
        <v>5</v>
      </c>
      <c r="B1166">
        <v>0.18640000000000001</v>
      </c>
      <c r="C1166">
        <v>1.7327999999999999</v>
      </c>
      <c r="D1166">
        <v>2.8085</v>
      </c>
      <c r="E1166">
        <v>5.0579999999999998</v>
      </c>
      <c r="F1166">
        <v>9.8831000000000007</v>
      </c>
      <c r="G1166">
        <v>16.165500000000002</v>
      </c>
      <c r="H1166">
        <v>23.701699999999999</v>
      </c>
      <c r="I1166">
        <v>28.247</v>
      </c>
      <c r="J1166">
        <v>36.568899999999999</v>
      </c>
    </row>
    <row r="1167" spans="1:10" x14ac:dyDescent="0.4">
      <c r="A1167">
        <v>6</v>
      </c>
      <c r="B1167">
        <v>2.35E-2</v>
      </c>
      <c r="C1167">
        <v>0.44729999999999998</v>
      </c>
      <c r="D1167">
        <v>0.86819999999999997</v>
      </c>
      <c r="E1167">
        <v>1.9999</v>
      </c>
      <c r="F1167">
        <v>4.2495000000000003</v>
      </c>
      <c r="G1167">
        <v>7.9789000000000003</v>
      </c>
      <c r="H1167">
        <v>12.669499999999999</v>
      </c>
      <c r="I1167">
        <v>14.7719</v>
      </c>
      <c r="J1167">
        <v>19.827000000000002</v>
      </c>
    </row>
    <row r="1168" spans="1:10" x14ac:dyDescent="0.4">
      <c r="A1168">
        <v>7</v>
      </c>
      <c r="B1168">
        <v>3.7000000000000002E-3</v>
      </c>
      <c r="C1168">
        <v>0.13980000000000001</v>
      </c>
      <c r="D1168">
        <v>0.31369999999999998</v>
      </c>
      <c r="E1168">
        <v>0.88119999999999998</v>
      </c>
      <c r="F1168">
        <v>1.9309000000000001</v>
      </c>
      <c r="G1168">
        <v>3.8416000000000001</v>
      </c>
      <c r="H1168">
        <v>6.3182</v>
      </c>
      <c r="I1168">
        <v>7.6410999999999998</v>
      </c>
      <c r="J1168">
        <v>10.6938</v>
      </c>
    </row>
    <row r="1169" spans="1:10" x14ac:dyDescent="0.4">
      <c r="A1169">
        <v>8</v>
      </c>
      <c r="B1169">
        <v>1.2999999999999999E-3</v>
      </c>
      <c r="C1169">
        <v>4.65E-2</v>
      </c>
      <c r="D1169">
        <v>0.1139</v>
      </c>
      <c r="E1169">
        <v>0.34720000000000001</v>
      </c>
      <c r="F1169">
        <v>0.87570000000000003</v>
      </c>
      <c r="G1169">
        <v>1.8023</v>
      </c>
      <c r="H1169">
        <v>2.9192</v>
      </c>
      <c r="I1169">
        <v>3.8626</v>
      </c>
      <c r="J1169">
        <v>5.2969999999999997</v>
      </c>
    </row>
    <row r="1170" spans="1:10" x14ac:dyDescent="0.4">
      <c r="A1170">
        <v>9</v>
      </c>
      <c r="B1170">
        <v>4.0000000000000002E-4</v>
      </c>
      <c r="C1170">
        <v>1.8499999999999999E-2</v>
      </c>
      <c r="D1170">
        <v>5.5800000000000002E-2</v>
      </c>
      <c r="E1170">
        <v>0.1646</v>
      </c>
      <c r="F1170">
        <v>0.44540000000000002</v>
      </c>
      <c r="G1170">
        <v>0.95309999999999995</v>
      </c>
      <c r="H1170">
        <v>1.5989</v>
      </c>
      <c r="I1170">
        <v>1.9750000000000001</v>
      </c>
      <c r="J1170">
        <v>3.2621000000000002</v>
      </c>
    </row>
    <row r="1171" spans="1:10" x14ac:dyDescent="0.4">
      <c r="A1171">
        <v>10</v>
      </c>
      <c r="B1171">
        <v>2.9999999999999997E-4</v>
      </c>
      <c r="C1171">
        <v>1.0500000000000001E-2</v>
      </c>
      <c r="D1171">
        <v>3.0300000000000001E-2</v>
      </c>
      <c r="E1171">
        <v>9.3799999999999994E-2</v>
      </c>
      <c r="F1171">
        <v>0.24310000000000001</v>
      </c>
      <c r="G1171">
        <v>0.50649999999999995</v>
      </c>
      <c r="H1171">
        <v>0.88360000000000005</v>
      </c>
      <c r="I1171">
        <v>1.1820999999999999</v>
      </c>
      <c r="J1171">
        <v>1.7151000000000001</v>
      </c>
    </row>
    <row r="1172" spans="1:10" x14ac:dyDescent="0.4">
      <c r="A1172">
        <v>11</v>
      </c>
      <c r="B1172">
        <v>5.0000000000000001E-4</v>
      </c>
      <c r="C1172">
        <v>1.35E-2</v>
      </c>
      <c r="D1172">
        <v>2.9899999999999999E-2</v>
      </c>
      <c r="E1172">
        <v>9.1899999999999996E-2</v>
      </c>
      <c r="F1172">
        <v>0.24</v>
      </c>
      <c r="G1172">
        <v>0.44869999999999999</v>
      </c>
      <c r="H1172">
        <v>0.74109999999999998</v>
      </c>
      <c r="I1172">
        <v>0.89149999999999996</v>
      </c>
      <c r="J1172">
        <v>1.4106000000000001</v>
      </c>
    </row>
    <row r="1173" spans="1:10" x14ac:dyDescent="0.4">
      <c r="A1173">
        <v>12</v>
      </c>
      <c r="B1173">
        <v>1E-4</v>
      </c>
      <c r="C1173">
        <v>4.4000000000000003E-3</v>
      </c>
      <c r="D1173">
        <v>0.01</v>
      </c>
      <c r="E1173">
        <v>3.4200000000000001E-2</v>
      </c>
      <c r="F1173">
        <v>8.0799999999999997E-2</v>
      </c>
      <c r="G1173">
        <v>0.1449</v>
      </c>
      <c r="H1173">
        <v>0.21809999999999999</v>
      </c>
      <c r="I1173">
        <v>0.26190000000000002</v>
      </c>
      <c r="J1173">
        <v>0.39879999999999999</v>
      </c>
    </row>
    <row r="1174" spans="1:10" x14ac:dyDescent="0.4">
      <c r="A1174">
        <v>13</v>
      </c>
      <c r="B1174">
        <v>1E-4</v>
      </c>
      <c r="C1174">
        <v>2.3E-3</v>
      </c>
      <c r="D1174">
        <v>5.4000000000000003E-3</v>
      </c>
      <c r="E1174">
        <v>1.78E-2</v>
      </c>
      <c r="F1174">
        <v>4.0899999999999999E-2</v>
      </c>
      <c r="G1174">
        <v>7.1800000000000003E-2</v>
      </c>
      <c r="H1174">
        <v>0.1101</v>
      </c>
      <c r="I1174">
        <v>0.13750000000000001</v>
      </c>
      <c r="J1174">
        <v>0.2185</v>
      </c>
    </row>
    <row r="1175" spans="1:10" x14ac:dyDescent="0.4">
      <c r="A1175">
        <v>14</v>
      </c>
      <c r="B1175">
        <v>0</v>
      </c>
      <c r="C1175">
        <v>4.0000000000000002E-4</v>
      </c>
      <c r="D1175">
        <v>1E-3</v>
      </c>
      <c r="E1175">
        <v>3.0999999999999999E-3</v>
      </c>
      <c r="F1175">
        <v>7.1000000000000004E-3</v>
      </c>
      <c r="G1175">
        <v>1.2800000000000001E-2</v>
      </c>
      <c r="H1175">
        <v>1.9800000000000002E-2</v>
      </c>
      <c r="I1175">
        <v>2.5100000000000001E-2</v>
      </c>
      <c r="J1175">
        <v>4.5100000000000001E-2</v>
      </c>
    </row>
    <row r="1176" spans="1:10" x14ac:dyDescent="0.4">
      <c r="A1176" t="s">
        <v>29</v>
      </c>
      <c r="B1176">
        <v>0</v>
      </c>
      <c r="C1176">
        <v>2.0000000000000001E-4</v>
      </c>
      <c r="D1176">
        <v>4.0000000000000002E-4</v>
      </c>
      <c r="E1176">
        <v>1.2999999999999999E-3</v>
      </c>
      <c r="F1176">
        <v>3.0999999999999999E-3</v>
      </c>
      <c r="G1176">
        <v>5.5999999999999999E-3</v>
      </c>
      <c r="H1176">
        <v>0.01</v>
      </c>
      <c r="I1176">
        <v>1.3899999999999999E-2</v>
      </c>
      <c r="J1176">
        <v>3.6900000000000002E-2</v>
      </c>
    </row>
    <row r="1178" spans="1:10" x14ac:dyDescent="0.4">
      <c r="A1178">
        <v>2032</v>
      </c>
    </row>
    <row r="1180" spans="1:10" x14ac:dyDescent="0.4">
      <c r="A1180" t="s">
        <v>0</v>
      </c>
      <c r="B1180" s="2">
        <v>0.01</v>
      </c>
      <c r="C1180" s="2">
        <v>0.05</v>
      </c>
      <c r="D1180" s="2">
        <v>0.1</v>
      </c>
      <c r="E1180" s="2">
        <v>0.25</v>
      </c>
      <c r="F1180" s="2">
        <v>0.5</v>
      </c>
      <c r="G1180" s="2">
        <v>0.75</v>
      </c>
      <c r="H1180" s="2">
        <v>0.9</v>
      </c>
      <c r="I1180" s="2">
        <v>0.95</v>
      </c>
      <c r="J1180" s="2">
        <v>0.99</v>
      </c>
    </row>
    <row r="1181" spans="1:10" x14ac:dyDescent="0.4">
      <c r="A1181">
        <v>1</v>
      </c>
      <c r="B1181">
        <v>68.710599999999999</v>
      </c>
      <c r="C1181">
        <v>73.084699999999998</v>
      </c>
      <c r="D1181">
        <v>80.588099999999997</v>
      </c>
      <c r="E1181">
        <v>108.9545</v>
      </c>
      <c r="F1181">
        <v>171.06479999999999</v>
      </c>
      <c r="G1181">
        <v>237.30869999999999</v>
      </c>
      <c r="H1181">
        <v>276.6472</v>
      </c>
      <c r="I1181">
        <v>302.49419999999998</v>
      </c>
      <c r="J1181">
        <v>325.04399999999998</v>
      </c>
    </row>
    <row r="1182" spans="1:10" x14ac:dyDescent="0.4">
      <c r="A1182">
        <v>2</v>
      </c>
      <c r="B1182">
        <v>38.2804</v>
      </c>
      <c r="C1182">
        <v>41.751199999999997</v>
      </c>
      <c r="D1182">
        <v>46.095199999999998</v>
      </c>
      <c r="E1182">
        <v>61.758099999999999</v>
      </c>
      <c r="F1182">
        <v>99.495000000000005</v>
      </c>
      <c r="G1182">
        <v>142.87049999999999</v>
      </c>
      <c r="H1182">
        <v>166.86099999999999</v>
      </c>
      <c r="I1182">
        <v>182.4616</v>
      </c>
      <c r="J1182">
        <v>227.33240000000001</v>
      </c>
    </row>
    <row r="1183" spans="1:10" x14ac:dyDescent="0.4">
      <c r="A1183">
        <v>3</v>
      </c>
      <c r="B1183">
        <v>11.3809</v>
      </c>
      <c r="C1183">
        <v>18.073</v>
      </c>
      <c r="D1183">
        <v>21.7563</v>
      </c>
      <c r="E1183">
        <v>29.622800000000002</v>
      </c>
      <c r="F1183">
        <v>50.334699999999998</v>
      </c>
      <c r="G1183">
        <v>75.801299999999998</v>
      </c>
      <c r="H1183">
        <v>94.213700000000003</v>
      </c>
      <c r="I1183">
        <v>103.3138</v>
      </c>
      <c r="J1183">
        <v>123.2427</v>
      </c>
    </row>
    <row r="1184" spans="1:10" x14ac:dyDescent="0.4">
      <c r="A1184">
        <v>4</v>
      </c>
      <c r="B1184">
        <v>1.5834999999999999</v>
      </c>
      <c r="C1184">
        <v>5.7603999999999997</v>
      </c>
      <c r="D1184">
        <v>8.0672999999999995</v>
      </c>
      <c r="E1184">
        <v>13.0097</v>
      </c>
      <c r="F1184">
        <v>23.220099999999999</v>
      </c>
      <c r="G1184">
        <v>34.871499999999997</v>
      </c>
      <c r="H1184">
        <v>47.668599999999998</v>
      </c>
      <c r="I1184">
        <v>52.910400000000003</v>
      </c>
      <c r="J1184">
        <v>67.592299999999994</v>
      </c>
    </row>
    <row r="1185" spans="1:10" x14ac:dyDescent="0.4">
      <c r="A1185">
        <v>5</v>
      </c>
      <c r="B1185">
        <v>0.2155</v>
      </c>
      <c r="C1185">
        <v>1.5483</v>
      </c>
      <c r="D1185">
        <v>2.4306999999999999</v>
      </c>
      <c r="E1185">
        <v>4.5152000000000001</v>
      </c>
      <c r="F1185">
        <v>9.6922999999999995</v>
      </c>
      <c r="G1185">
        <v>16.6556</v>
      </c>
      <c r="H1185">
        <v>24.076000000000001</v>
      </c>
      <c r="I1185">
        <v>27.924399999999999</v>
      </c>
      <c r="J1185">
        <v>35.929400000000001</v>
      </c>
    </row>
    <row r="1186" spans="1:10" x14ac:dyDescent="0.4">
      <c r="A1186">
        <v>6</v>
      </c>
      <c r="B1186">
        <v>1.1599999999999999E-2</v>
      </c>
      <c r="C1186">
        <v>0.36880000000000002</v>
      </c>
      <c r="D1186">
        <v>0.77569999999999995</v>
      </c>
      <c r="E1186">
        <v>1.823</v>
      </c>
      <c r="F1186">
        <v>4.1158000000000001</v>
      </c>
      <c r="G1186">
        <v>7.4112999999999998</v>
      </c>
      <c r="H1186">
        <v>11.3986</v>
      </c>
      <c r="I1186">
        <v>13.894399999999999</v>
      </c>
      <c r="J1186">
        <v>19.7807</v>
      </c>
    </row>
    <row r="1187" spans="1:10" x14ac:dyDescent="0.4">
      <c r="A1187">
        <v>7</v>
      </c>
      <c r="B1187">
        <v>1.1999999999999999E-3</v>
      </c>
      <c r="C1187">
        <v>0.10100000000000001</v>
      </c>
      <c r="D1187">
        <v>0.25609999999999999</v>
      </c>
      <c r="E1187">
        <v>0.72289999999999999</v>
      </c>
      <c r="F1187">
        <v>1.7081999999999999</v>
      </c>
      <c r="G1187">
        <v>3.5893000000000002</v>
      </c>
      <c r="H1187">
        <v>6.1405000000000003</v>
      </c>
      <c r="I1187">
        <v>7.4187000000000003</v>
      </c>
      <c r="J1187">
        <v>10.604900000000001</v>
      </c>
    </row>
    <row r="1188" spans="1:10" x14ac:dyDescent="0.4">
      <c r="A1188">
        <v>8</v>
      </c>
      <c r="B1188">
        <v>2.0000000000000001E-4</v>
      </c>
      <c r="C1188">
        <v>2.9700000000000001E-2</v>
      </c>
      <c r="D1188">
        <v>9.9400000000000002E-2</v>
      </c>
      <c r="E1188">
        <v>0.31630000000000003</v>
      </c>
      <c r="F1188">
        <v>0.83069999999999999</v>
      </c>
      <c r="G1188">
        <v>1.7715000000000001</v>
      </c>
      <c r="H1188">
        <v>3.0535000000000001</v>
      </c>
      <c r="I1188">
        <v>3.7654000000000001</v>
      </c>
      <c r="J1188">
        <v>5.8174000000000001</v>
      </c>
    </row>
    <row r="1189" spans="1:10" x14ac:dyDescent="0.4">
      <c r="A1189">
        <v>9</v>
      </c>
      <c r="B1189">
        <v>1E-4</v>
      </c>
      <c r="C1189">
        <v>1.2500000000000001E-2</v>
      </c>
      <c r="D1189">
        <v>3.4599999999999999E-2</v>
      </c>
      <c r="E1189">
        <v>0.1363</v>
      </c>
      <c r="F1189">
        <v>0.37919999999999998</v>
      </c>
      <c r="G1189">
        <v>0.82350000000000001</v>
      </c>
      <c r="H1189">
        <v>1.4624999999999999</v>
      </c>
      <c r="I1189">
        <v>1.9158999999999999</v>
      </c>
      <c r="J1189">
        <v>3.0038999999999998</v>
      </c>
    </row>
    <row r="1190" spans="1:10" x14ac:dyDescent="0.4">
      <c r="A1190">
        <v>10</v>
      </c>
      <c r="B1190">
        <v>0</v>
      </c>
      <c r="C1190">
        <v>5.1000000000000004E-3</v>
      </c>
      <c r="D1190">
        <v>1.84E-2</v>
      </c>
      <c r="E1190">
        <v>6.3200000000000006E-2</v>
      </c>
      <c r="F1190">
        <v>0.20019999999999999</v>
      </c>
      <c r="G1190">
        <v>0.45300000000000001</v>
      </c>
      <c r="H1190">
        <v>0.80959999999999999</v>
      </c>
      <c r="I1190">
        <v>1.0396000000000001</v>
      </c>
      <c r="J1190">
        <v>1.8237000000000001</v>
      </c>
    </row>
    <row r="1191" spans="1:10" x14ac:dyDescent="0.4">
      <c r="A1191">
        <v>11</v>
      </c>
      <c r="B1191">
        <v>0</v>
      </c>
      <c r="C1191">
        <v>3.2000000000000002E-3</v>
      </c>
      <c r="D1191">
        <v>8.8000000000000005E-3</v>
      </c>
      <c r="E1191">
        <v>3.5499999999999997E-2</v>
      </c>
      <c r="F1191">
        <v>0.108</v>
      </c>
      <c r="G1191">
        <v>0.24529999999999999</v>
      </c>
      <c r="H1191">
        <v>0.4405</v>
      </c>
      <c r="I1191">
        <v>0.60899999999999999</v>
      </c>
      <c r="J1191">
        <v>0.90129999999999999</v>
      </c>
    </row>
    <row r="1192" spans="1:10" x14ac:dyDescent="0.4">
      <c r="A1192">
        <v>12</v>
      </c>
      <c r="B1192">
        <v>0</v>
      </c>
      <c r="C1192">
        <v>4.1999999999999997E-3</v>
      </c>
      <c r="D1192">
        <v>9.4000000000000004E-3</v>
      </c>
      <c r="E1192">
        <v>3.5999999999999997E-2</v>
      </c>
      <c r="F1192">
        <v>0.107</v>
      </c>
      <c r="G1192">
        <v>0.22090000000000001</v>
      </c>
      <c r="H1192">
        <v>0.37219999999999998</v>
      </c>
      <c r="I1192">
        <v>0.47160000000000002</v>
      </c>
      <c r="J1192">
        <v>0.75549999999999995</v>
      </c>
    </row>
    <row r="1193" spans="1:10" x14ac:dyDescent="0.4">
      <c r="A1193">
        <v>13</v>
      </c>
      <c r="B1193">
        <v>0</v>
      </c>
      <c r="C1193">
        <v>1.5E-3</v>
      </c>
      <c r="D1193">
        <v>3.3E-3</v>
      </c>
      <c r="E1193">
        <v>1.35E-2</v>
      </c>
      <c r="F1193">
        <v>3.7900000000000003E-2</v>
      </c>
      <c r="G1193">
        <v>7.1599999999999997E-2</v>
      </c>
      <c r="H1193">
        <v>0.11559999999999999</v>
      </c>
      <c r="I1193">
        <v>0.1363</v>
      </c>
      <c r="J1193">
        <v>0.22409999999999999</v>
      </c>
    </row>
    <row r="1194" spans="1:10" x14ac:dyDescent="0.4">
      <c r="A1194">
        <v>14</v>
      </c>
      <c r="B1194">
        <v>0</v>
      </c>
      <c r="C1194">
        <v>8.0000000000000004E-4</v>
      </c>
      <c r="D1194">
        <v>1.8E-3</v>
      </c>
      <c r="E1194">
        <v>7.1000000000000004E-3</v>
      </c>
      <c r="F1194">
        <v>1.9099999999999999E-2</v>
      </c>
      <c r="G1194">
        <v>3.5700000000000003E-2</v>
      </c>
      <c r="H1194">
        <v>5.7200000000000001E-2</v>
      </c>
      <c r="I1194">
        <v>7.3400000000000007E-2</v>
      </c>
      <c r="J1194">
        <v>0.11550000000000001</v>
      </c>
    </row>
    <row r="1195" spans="1:10" x14ac:dyDescent="0.4">
      <c r="A1195" t="s">
        <v>29</v>
      </c>
      <c r="B1195">
        <v>0</v>
      </c>
      <c r="C1195">
        <v>2.0000000000000001E-4</v>
      </c>
      <c r="D1195">
        <v>5.0000000000000001E-4</v>
      </c>
      <c r="E1195">
        <v>1.8E-3</v>
      </c>
      <c r="F1195">
        <v>4.8999999999999998E-3</v>
      </c>
      <c r="G1195">
        <v>9.4000000000000004E-3</v>
      </c>
      <c r="H1195">
        <v>1.4999999999999999E-2</v>
      </c>
      <c r="I1195">
        <v>1.9599999999999999E-2</v>
      </c>
      <c r="J1195">
        <v>4.2000000000000003E-2</v>
      </c>
    </row>
    <row r="1197" spans="1:10" x14ac:dyDescent="0.4">
      <c r="A1197">
        <v>2033</v>
      </c>
    </row>
    <row r="1199" spans="1:10" x14ac:dyDescent="0.4">
      <c r="A1199" t="s">
        <v>0</v>
      </c>
      <c r="B1199" s="2">
        <v>0.01</v>
      </c>
      <c r="C1199" s="2">
        <v>0.05</v>
      </c>
      <c r="D1199" s="2">
        <v>0.1</v>
      </c>
      <c r="E1199" s="2">
        <v>0.25</v>
      </c>
      <c r="F1199" s="2">
        <v>0.5</v>
      </c>
      <c r="G1199" s="2">
        <v>0.75</v>
      </c>
      <c r="H1199" s="2">
        <v>0.9</v>
      </c>
      <c r="I1199" s="2">
        <v>0.95</v>
      </c>
      <c r="J1199" s="2">
        <v>0.99</v>
      </c>
    </row>
    <row r="1200" spans="1:10" x14ac:dyDescent="0.4">
      <c r="A1200">
        <v>1</v>
      </c>
      <c r="B1200">
        <v>68.711399999999998</v>
      </c>
      <c r="C1200">
        <v>70.611800000000002</v>
      </c>
      <c r="D1200">
        <v>79.558800000000005</v>
      </c>
      <c r="E1200">
        <v>103.07210000000001</v>
      </c>
      <c r="F1200">
        <v>168.09899999999999</v>
      </c>
      <c r="G1200">
        <v>232.39689999999999</v>
      </c>
      <c r="H1200">
        <v>272.54939999999999</v>
      </c>
      <c r="I1200">
        <v>302.11919999999998</v>
      </c>
      <c r="J1200">
        <v>328.94560000000001</v>
      </c>
    </row>
    <row r="1201" spans="1:10" x14ac:dyDescent="0.4">
      <c r="A1201">
        <v>2</v>
      </c>
      <c r="B1201">
        <v>37.563299999999998</v>
      </c>
      <c r="C1201">
        <v>42.420999999999999</v>
      </c>
      <c r="D1201">
        <v>47.376399999999997</v>
      </c>
      <c r="E1201">
        <v>63.502699999999997</v>
      </c>
      <c r="F1201">
        <v>100.33880000000001</v>
      </c>
      <c r="G1201">
        <v>140.6302</v>
      </c>
      <c r="H1201">
        <v>165.82040000000001</v>
      </c>
      <c r="I1201">
        <v>180.05070000000001</v>
      </c>
      <c r="J1201">
        <v>197.8417</v>
      </c>
    </row>
    <row r="1202" spans="1:10" x14ac:dyDescent="0.4">
      <c r="A1202">
        <v>3</v>
      </c>
      <c r="B1202">
        <v>11.6632</v>
      </c>
      <c r="C1202">
        <v>18.382100000000001</v>
      </c>
      <c r="D1202">
        <v>21.523299999999999</v>
      </c>
      <c r="E1202">
        <v>29.758199999999999</v>
      </c>
      <c r="F1202">
        <v>50.309899999999999</v>
      </c>
      <c r="G1202">
        <v>74.737499999999997</v>
      </c>
      <c r="H1202">
        <v>93.051500000000004</v>
      </c>
      <c r="I1202">
        <v>101.2128</v>
      </c>
      <c r="J1202">
        <v>125.2817</v>
      </c>
    </row>
    <row r="1203" spans="1:10" x14ac:dyDescent="0.4">
      <c r="A1203">
        <v>4</v>
      </c>
      <c r="B1203">
        <v>0.79120000000000001</v>
      </c>
      <c r="C1203">
        <v>4.5430999999999999</v>
      </c>
      <c r="D1203">
        <v>7.4951999999999996</v>
      </c>
      <c r="E1203">
        <v>12.5031</v>
      </c>
      <c r="F1203">
        <v>22.622599999999998</v>
      </c>
      <c r="G1203">
        <v>35.517899999999997</v>
      </c>
      <c r="H1203">
        <v>47.552</v>
      </c>
      <c r="I1203">
        <v>54.729599999999998</v>
      </c>
      <c r="J1203">
        <v>67.850300000000004</v>
      </c>
    </row>
    <row r="1204" spans="1:10" x14ac:dyDescent="0.4">
      <c r="A1204">
        <v>5</v>
      </c>
      <c r="B1204">
        <v>0.1227</v>
      </c>
      <c r="C1204">
        <v>1.2065999999999999</v>
      </c>
      <c r="D1204">
        <v>2.3603999999999998</v>
      </c>
      <c r="E1204">
        <v>4.8433000000000002</v>
      </c>
      <c r="F1204">
        <v>9.7992000000000008</v>
      </c>
      <c r="G1204">
        <v>16.208500000000001</v>
      </c>
      <c r="H1204">
        <v>23.633199999999999</v>
      </c>
      <c r="I1204">
        <v>26.4983</v>
      </c>
      <c r="J1204">
        <v>36.439700000000002</v>
      </c>
    </row>
    <row r="1205" spans="1:10" x14ac:dyDescent="0.4">
      <c r="A1205">
        <v>6</v>
      </c>
      <c r="B1205">
        <v>6.0000000000000001E-3</v>
      </c>
      <c r="C1205">
        <v>0.31830000000000003</v>
      </c>
      <c r="D1205">
        <v>0.65069999999999995</v>
      </c>
      <c r="E1205">
        <v>1.5182</v>
      </c>
      <c r="F1205">
        <v>3.9386999999999999</v>
      </c>
      <c r="G1205">
        <v>7.6647999999999996</v>
      </c>
      <c r="H1205">
        <v>11.6942</v>
      </c>
      <c r="I1205">
        <v>13.7165</v>
      </c>
      <c r="J1205">
        <v>19.126999999999999</v>
      </c>
    </row>
    <row r="1206" spans="1:10" x14ac:dyDescent="0.4">
      <c r="A1206">
        <v>7</v>
      </c>
      <c r="B1206">
        <v>2.5000000000000001E-3</v>
      </c>
      <c r="C1206">
        <v>7.4800000000000005E-2</v>
      </c>
      <c r="D1206">
        <v>0.2235</v>
      </c>
      <c r="E1206">
        <v>0.66290000000000004</v>
      </c>
      <c r="F1206">
        <v>1.7259</v>
      </c>
      <c r="G1206">
        <v>3.3765999999999998</v>
      </c>
      <c r="H1206">
        <v>5.5541</v>
      </c>
      <c r="I1206">
        <v>7.1035000000000004</v>
      </c>
      <c r="J1206">
        <v>10.3908</v>
      </c>
    </row>
    <row r="1207" spans="1:10" x14ac:dyDescent="0.4">
      <c r="A1207">
        <v>8</v>
      </c>
      <c r="B1207">
        <v>1E-4</v>
      </c>
      <c r="C1207">
        <v>2.4199999999999999E-2</v>
      </c>
      <c r="D1207">
        <v>6.8599999999999994E-2</v>
      </c>
      <c r="E1207">
        <v>0.26769999999999999</v>
      </c>
      <c r="F1207">
        <v>0.71440000000000003</v>
      </c>
      <c r="G1207">
        <v>1.6314</v>
      </c>
      <c r="H1207">
        <v>2.9984999999999999</v>
      </c>
      <c r="I1207">
        <v>3.7204000000000002</v>
      </c>
      <c r="J1207">
        <v>5.5430999999999999</v>
      </c>
    </row>
    <row r="1208" spans="1:10" x14ac:dyDescent="0.4">
      <c r="A1208">
        <v>9</v>
      </c>
      <c r="B1208">
        <v>0</v>
      </c>
      <c r="C1208">
        <v>7.4999999999999997E-3</v>
      </c>
      <c r="D1208">
        <v>2.8500000000000001E-2</v>
      </c>
      <c r="E1208">
        <v>0.1123</v>
      </c>
      <c r="F1208">
        <v>0.35849999999999999</v>
      </c>
      <c r="G1208">
        <v>0.82050000000000001</v>
      </c>
      <c r="H1208">
        <v>1.5179</v>
      </c>
      <c r="I1208">
        <v>1.9024000000000001</v>
      </c>
      <c r="J1208">
        <v>2.9388000000000001</v>
      </c>
    </row>
    <row r="1209" spans="1:10" x14ac:dyDescent="0.4">
      <c r="A1209">
        <v>10</v>
      </c>
      <c r="B1209">
        <v>0</v>
      </c>
      <c r="C1209">
        <v>3.3E-3</v>
      </c>
      <c r="D1209">
        <v>9.4000000000000004E-3</v>
      </c>
      <c r="E1209">
        <v>5.5199999999999999E-2</v>
      </c>
      <c r="F1209">
        <v>0.16470000000000001</v>
      </c>
      <c r="G1209">
        <v>0.38890000000000002</v>
      </c>
      <c r="H1209">
        <v>0.74580000000000002</v>
      </c>
      <c r="I1209">
        <v>1.0367999999999999</v>
      </c>
      <c r="J1209">
        <v>1.4953000000000001</v>
      </c>
    </row>
    <row r="1210" spans="1:10" x14ac:dyDescent="0.4">
      <c r="A1210">
        <v>11</v>
      </c>
      <c r="B1210">
        <v>0</v>
      </c>
      <c r="C1210">
        <v>1.1999999999999999E-3</v>
      </c>
      <c r="D1210">
        <v>5.3E-3</v>
      </c>
      <c r="E1210">
        <v>2.4500000000000001E-2</v>
      </c>
      <c r="F1210">
        <v>8.8599999999999998E-2</v>
      </c>
      <c r="G1210">
        <v>0.21240000000000001</v>
      </c>
      <c r="H1210">
        <v>0.40179999999999999</v>
      </c>
      <c r="I1210">
        <v>0.55069999999999997</v>
      </c>
      <c r="J1210">
        <v>1.0306</v>
      </c>
    </row>
    <row r="1211" spans="1:10" x14ac:dyDescent="0.4">
      <c r="A1211">
        <v>12</v>
      </c>
      <c r="B1211">
        <v>0</v>
      </c>
      <c r="C1211">
        <v>8.0000000000000004E-4</v>
      </c>
      <c r="D1211">
        <v>2.7000000000000001E-3</v>
      </c>
      <c r="E1211">
        <v>1.43E-2</v>
      </c>
      <c r="F1211">
        <v>4.82E-2</v>
      </c>
      <c r="G1211">
        <v>0.1152</v>
      </c>
      <c r="H1211">
        <v>0.22320000000000001</v>
      </c>
      <c r="I1211">
        <v>0.32</v>
      </c>
      <c r="J1211">
        <v>0.51190000000000002</v>
      </c>
    </row>
    <row r="1212" spans="1:10" x14ac:dyDescent="0.4">
      <c r="A1212">
        <v>13</v>
      </c>
      <c r="B1212">
        <v>0</v>
      </c>
      <c r="C1212">
        <v>1E-3</v>
      </c>
      <c r="D1212">
        <v>3.0000000000000001E-3</v>
      </c>
      <c r="E1212">
        <v>1.46E-2</v>
      </c>
      <c r="F1212">
        <v>4.8399999999999999E-2</v>
      </c>
      <c r="G1212">
        <v>0.1086</v>
      </c>
      <c r="H1212">
        <v>0.18770000000000001</v>
      </c>
      <c r="I1212">
        <v>0.2462</v>
      </c>
      <c r="J1212">
        <v>0.40970000000000001</v>
      </c>
    </row>
    <row r="1213" spans="1:10" x14ac:dyDescent="0.4">
      <c r="A1213">
        <v>14</v>
      </c>
      <c r="B1213">
        <v>0</v>
      </c>
      <c r="C1213">
        <v>2.9999999999999997E-4</v>
      </c>
      <c r="D1213">
        <v>1.1000000000000001E-3</v>
      </c>
      <c r="E1213">
        <v>5.1999999999999998E-3</v>
      </c>
      <c r="F1213">
        <v>1.7399999999999999E-2</v>
      </c>
      <c r="G1213">
        <v>3.4799999999999998E-2</v>
      </c>
      <c r="H1213">
        <v>5.8999999999999997E-2</v>
      </c>
      <c r="I1213">
        <v>7.51E-2</v>
      </c>
      <c r="J1213">
        <v>0.1206</v>
      </c>
    </row>
    <row r="1214" spans="1:10" x14ac:dyDescent="0.4">
      <c r="A1214" t="s">
        <v>29</v>
      </c>
      <c r="B1214">
        <v>0</v>
      </c>
      <c r="C1214">
        <v>2.0000000000000001E-4</v>
      </c>
      <c r="D1214">
        <v>8.0000000000000004E-4</v>
      </c>
      <c r="E1214">
        <v>3.5999999999999999E-3</v>
      </c>
      <c r="F1214">
        <v>1.1299999999999999E-2</v>
      </c>
      <c r="G1214">
        <v>2.1899999999999999E-2</v>
      </c>
      <c r="H1214">
        <v>3.6799999999999999E-2</v>
      </c>
      <c r="I1214">
        <v>4.9200000000000001E-2</v>
      </c>
      <c r="J1214">
        <v>8.2400000000000001E-2</v>
      </c>
    </row>
    <row r="1216" spans="1:10" x14ac:dyDescent="0.4">
      <c r="A1216">
        <v>2034</v>
      </c>
    </row>
    <row r="1218" spans="1:10" x14ac:dyDescent="0.4">
      <c r="A1218" t="s">
        <v>0</v>
      </c>
      <c r="B1218" s="2">
        <v>0.01</v>
      </c>
      <c r="C1218" s="2">
        <v>0.05</v>
      </c>
      <c r="D1218" s="2">
        <v>0.1</v>
      </c>
      <c r="E1218" s="2">
        <v>0.25</v>
      </c>
      <c r="F1218" s="2">
        <v>0.5</v>
      </c>
      <c r="G1218" s="2">
        <v>0.75</v>
      </c>
      <c r="H1218" s="2">
        <v>0.9</v>
      </c>
      <c r="I1218" s="2">
        <v>0.95</v>
      </c>
      <c r="J1218" s="2">
        <v>0.99</v>
      </c>
    </row>
    <row r="1219" spans="1:10" x14ac:dyDescent="0.4">
      <c r="A1219">
        <v>1</v>
      </c>
      <c r="B1219">
        <v>68.734099999999998</v>
      </c>
      <c r="C1219">
        <v>71.261200000000002</v>
      </c>
      <c r="D1219">
        <v>79.4178</v>
      </c>
      <c r="E1219">
        <v>108.5487</v>
      </c>
      <c r="F1219">
        <v>168.5822</v>
      </c>
      <c r="G1219">
        <v>236.34880000000001</v>
      </c>
      <c r="H1219">
        <v>278.53980000000001</v>
      </c>
      <c r="I1219">
        <v>304.72269999999997</v>
      </c>
      <c r="J1219">
        <v>323.23500000000001</v>
      </c>
    </row>
    <row r="1220" spans="1:10" x14ac:dyDescent="0.4">
      <c r="A1220">
        <v>2</v>
      </c>
      <c r="B1220">
        <v>37.293399999999998</v>
      </c>
      <c r="C1220">
        <v>41.488399999999999</v>
      </c>
      <c r="D1220">
        <v>46.3932</v>
      </c>
      <c r="E1220">
        <v>60.185000000000002</v>
      </c>
      <c r="F1220">
        <v>97.156999999999996</v>
      </c>
      <c r="G1220">
        <v>135.3895</v>
      </c>
      <c r="H1220">
        <v>163.55879999999999</v>
      </c>
      <c r="I1220">
        <v>177.6705</v>
      </c>
      <c r="J1220">
        <v>202.70150000000001</v>
      </c>
    </row>
    <row r="1221" spans="1:10" x14ac:dyDescent="0.4">
      <c r="A1221">
        <v>3</v>
      </c>
      <c r="B1221">
        <v>9.9793000000000003</v>
      </c>
      <c r="C1221">
        <v>18.7331</v>
      </c>
      <c r="D1221">
        <v>22.175599999999999</v>
      </c>
      <c r="E1221">
        <v>31.4939</v>
      </c>
      <c r="F1221">
        <v>51.364100000000001</v>
      </c>
      <c r="G1221">
        <v>73.105800000000002</v>
      </c>
      <c r="H1221">
        <v>92.329400000000007</v>
      </c>
      <c r="I1221">
        <v>98.997600000000006</v>
      </c>
      <c r="J1221">
        <v>115.85039999999999</v>
      </c>
    </row>
    <row r="1222" spans="1:10" x14ac:dyDescent="0.4">
      <c r="A1222">
        <v>4</v>
      </c>
      <c r="B1222">
        <v>1.4332</v>
      </c>
      <c r="C1222">
        <v>4.8117000000000001</v>
      </c>
      <c r="D1222">
        <v>7.1036999999999999</v>
      </c>
      <c r="E1222">
        <v>12.3604</v>
      </c>
      <c r="F1222">
        <v>22.270099999999999</v>
      </c>
      <c r="G1222">
        <v>36.248699999999999</v>
      </c>
      <c r="H1222">
        <v>47.7622</v>
      </c>
      <c r="I1222">
        <v>53.106099999999998</v>
      </c>
      <c r="J1222">
        <v>73.239500000000007</v>
      </c>
    </row>
    <row r="1223" spans="1:10" x14ac:dyDescent="0.4">
      <c r="A1223">
        <v>5</v>
      </c>
      <c r="B1223">
        <v>7.8899999999999998E-2</v>
      </c>
      <c r="C1223">
        <v>0.86129999999999995</v>
      </c>
      <c r="D1223">
        <v>2.13</v>
      </c>
      <c r="E1223">
        <v>4.8056000000000001</v>
      </c>
      <c r="F1223">
        <v>9.3434000000000008</v>
      </c>
      <c r="G1223">
        <v>16.115200000000002</v>
      </c>
      <c r="H1223">
        <v>23.314299999999999</v>
      </c>
      <c r="I1223">
        <v>28.506399999999999</v>
      </c>
      <c r="J1223">
        <v>35.7455</v>
      </c>
    </row>
    <row r="1224" spans="1:10" x14ac:dyDescent="0.4">
      <c r="A1224">
        <v>6</v>
      </c>
      <c r="B1224">
        <v>8.5000000000000006E-3</v>
      </c>
      <c r="C1224">
        <v>0.23080000000000001</v>
      </c>
      <c r="D1224">
        <v>0.64929999999999999</v>
      </c>
      <c r="E1224">
        <v>1.6588000000000001</v>
      </c>
      <c r="F1224">
        <v>4.0666000000000002</v>
      </c>
      <c r="G1224">
        <v>7.2767999999999997</v>
      </c>
      <c r="H1224">
        <v>11.228400000000001</v>
      </c>
      <c r="I1224">
        <v>13.109</v>
      </c>
      <c r="J1224">
        <v>18.581900000000001</v>
      </c>
    </row>
    <row r="1225" spans="1:10" x14ac:dyDescent="0.4">
      <c r="A1225">
        <v>7</v>
      </c>
      <c r="B1225">
        <v>5.0000000000000001E-4</v>
      </c>
      <c r="C1225">
        <v>5.3800000000000001E-2</v>
      </c>
      <c r="D1225">
        <v>0.16869999999999999</v>
      </c>
      <c r="E1225">
        <v>0.56040000000000001</v>
      </c>
      <c r="F1225">
        <v>1.5819000000000001</v>
      </c>
      <c r="G1225">
        <v>3.5777999999999999</v>
      </c>
      <c r="H1225">
        <v>5.6722000000000001</v>
      </c>
      <c r="I1225">
        <v>6.7671999999999999</v>
      </c>
      <c r="J1225">
        <v>9.9053000000000004</v>
      </c>
    </row>
    <row r="1226" spans="1:10" x14ac:dyDescent="0.4">
      <c r="A1226">
        <v>8</v>
      </c>
      <c r="B1226">
        <v>1E-4</v>
      </c>
      <c r="C1226">
        <v>1.14E-2</v>
      </c>
      <c r="D1226">
        <v>5.7000000000000002E-2</v>
      </c>
      <c r="E1226">
        <v>0.24410000000000001</v>
      </c>
      <c r="F1226">
        <v>0.71230000000000004</v>
      </c>
      <c r="G1226">
        <v>1.5963000000000001</v>
      </c>
      <c r="H1226">
        <v>2.6309999999999998</v>
      </c>
      <c r="I1226">
        <v>3.5017999999999998</v>
      </c>
      <c r="J1226">
        <v>5.4757999999999996</v>
      </c>
    </row>
    <row r="1227" spans="1:10" x14ac:dyDescent="0.4">
      <c r="A1227">
        <v>9</v>
      </c>
      <c r="B1227">
        <v>0</v>
      </c>
      <c r="C1227">
        <v>4.5999999999999999E-3</v>
      </c>
      <c r="D1227">
        <v>2.0199999999999999E-2</v>
      </c>
      <c r="E1227">
        <v>9.7600000000000006E-2</v>
      </c>
      <c r="F1227">
        <v>0.30449999999999999</v>
      </c>
      <c r="G1227">
        <v>0.76239999999999997</v>
      </c>
      <c r="H1227">
        <v>1.4281999999999999</v>
      </c>
      <c r="I1227">
        <v>1.8929</v>
      </c>
      <c r="J1227">
        <v>2.9881000000000002</v>
      </c>
    </row>
    <row r="1228" spans="1:10" x14ac:dyDescent="0.4">
      <c r="A1228">
        <v>10</v>
      </c>
      <c r="B1228">
        <v>0</v>
      </c>
      <c r="C1228">
        <v>1.5E-3</v>
      </c>
      <c r="D1228">
        <v>7.1999999999999998E-3</v>
      </c>
      <c r="E1228">
        <v>4.58E-2</v>
      </c>
      <c r="F1228">
        <v>0.1583</v>
      </c>
      <c r="G1228">
        <v>0.39179999999999998</v>
      </c>
      <c r="H1228">
        <v>0.75109999999999999</v>
      </c>
      <c r="I1228">
        <v>0.97699999999999998</v>
      </c>
      <c r="J1228">
        <v>1.7543</v>
      </c>
    </row>
    <row r="1229" spans="1:10" x14ac:dyDescent="0.4">
      <c r="A1229">
        <v>11</v>
      </c>
      <c r="B1229">
        <v>0</v>
      </c>
      <c r="C1229">
        <v>5.9999999999999995E-4</v>
      </c>
      <c r="D1229">
        <v>3.3999999999999998E-3</v>
      </c>
      <c r="E1229">
        <v>2.12E-2</v>
      </c>
      <c r="F1229">
        <v>7.0999999999999994E-2</v>
      </c>
      <c r="G1229">
        <v>0.1837</v>
      </c>
      <c r="H1229">
        <v>0.3836</v>
      </c>
      <c r="I1229">
        <v>0.52349999999999997</v>
      </c>
      <c r="J1229">
        <v>0.77270000000000005</v>
      </c>
    </row>
    <row r="1230" spans="1:10" x14ac:dyDescent="0.4">
      <c r="A1230">
        <v>12</v>
      </c>
      <c r="B1230">
        <v>0</v>
      </c>
      <c r="C1230">
        <v>2.9999999999999997E-4</v>
      </c>
      <c r="D1230">
        <v>1.6000000000000001E-3</v>
      </c>
      <c r="E1230">
        <v>9.7000000000000003E-3</v>
      </c>
      <c r="F1230">
        <v>0.04</v>
      </c>
      <c r="G1230">
        <v>0.1037</v>
      </c>
      <c r="H1230">
        <v>0.19980000000000001</v>
      </c>
      <c r="I1230">
        <v>0.28510000000000002</v>
      </c>
      <c r="J1230">
        <v>0.5212</v>
      </c>
    </row>
    <row r="1231" spans="1:10" x14ac:dyDescent="0.4">
      <c r="A1231">
        <v>13</v>
      </c>
      <c r="B1231">
        <v>0</v>
      </c>
      <c r="C1231">
        <v>2.0000000000000001E-4</v>
      </c>
      <c r="D1231">
        <v>8.9999999999999998E-4</v>
      </c>
      <c r="E1231">
        <v>5.4999999999999997E-3</v>
      </c>
      <c r="F1231">
        <v>2.1499999999999998E-2</v>
      </c>
      <c r="G1231">
        <v>5.7700000000000001E-2</v>
      </c>
      <c r="H1231">
        <v>0.1128</v>
      </c>
      <c r="I1231">
        <v>0.16689999999999999</v>
      </c>
      <c r="J1231">
        <v>0.26550000000000001</v>
      </c>
    </row>
    <row r="1232" spans="1:10" x14ac:dyDescent="0.4">
      <c r="A1232">
        <v>14</v>
      </c>
      <c r="B1232">
        <v>0</v>
      </c>
      <c r="C1232">
        <v>2.0000000000000001E-4</v>
      </c>
      <c r="D1232">
        <v>1E-3</v>
      </c>
      <c r="E1232">
        <v>5.7999999999999996E-3</v>
      </c>
      <c r="F1232">
        <v>2.2100000000000002E-2</v>
      </c>
      <c r="G1232">
        <v>5.2999999999999999E-2</v>
      </c>
      <c r="H1232">
        <v>9.8699999999999996E-2</v>
      </c>
      <c r="I1232">
        <v>0.12720000000000001</v>
      </c>
      <c r="J1232">
        <v>0.222</v>
      </c>
    </row>
    <row r="1233" spans="1:10" x14ac:dyDescent="0.4">
      <c r="A1233" t="s">
        <v>29</v>
      </c>
      <c r="B1233">
        <v>0</v>
      </c>
      <c r="C1233">
        <v>1E-4</v>
      </c>
      <c r="D1233">
        <v>6.9999999999999999E-4</v>
      </c>
      <c r="E1233">
        <v>3.5999999999999999E-3</v>
      </c>
      <c r="F1233">
        <v>1.32E-2</v>
      </c>
      <c r="G1233">
        <v>2.8400000000000002E-2</v>
      </c>
      <c r="H1233">
        <v>4.8599999999999997E-2</v>
      </c>
      <c r="I1233">
        <v>6.6100000000000006E-2</v>
      </c>
      <c r="J1233">
        <v>0.1123</v>
      </c>
    </row>
    <row r="1235" spans="1:10" x14ac:dyDescent="0.4">
      <c r="A1235">
        <v>2035</v>
      </c>
    </row>
    <row r="1237" spans="1:10" x14ac:dyDescent="0.4">
      <c r="A1237" t="s">
        <v>0</v>
      </c>
      <c r="B1237" s="2">
        <v>0.01</v>
      </c>
      <c r="C1237" s="2">
        <v>0.05</v>
      </c>
      <c r="D1237" s="2">
        <v>0.1</v>
      </c>
      <c r="E1237" s="2">
        <v>0.25</v>
      </c>
      <c r="F1237" s="2">
        <v>0.5</v>
      </c>
      <c r="G1237" s="2">
        <v>0.75</v>
      </c>
      <c r="H1237" s="2">
        <v>0.9</v>
      </c>
      <c r="I1237" s="2">
        <v>0.95</v>
      </c>
      <c r="J1237" s="2">
        <v>0.99</v>
      </c>
    </row>
    <row r="1238" spans="1:10" x14ac:dyDescent="0.4">
      <c r="A1238">
        <v>1</v>
      </c>
      <c r="B1238">
        <v>68.549800000000005</v>
      </c>
      <c r="C1238">
        <v>69.866</v>
      </c>
      <c r="D1238">
        <v>78.113</v>
      </c>
      <c r="E1238">
        <v>101.23009999999999</v>
      </c>
      <c r="F1238">
        <v>168.3879</v>
      </c>
      <c r="G1238">
        <v>232.9796</v>
      </c>
      <c r="H1238">
        <v>280.35340000000002</v>
      </c>
      <c r="I1238">
        <v>306.21039999999999</v>
      </c>
      <c r="J1238">
        <v>409.8587</v>
      </c>
    </row>
    <row r="1239" spans="1:10" x14ac:dyDescent="0.4">
      <c r="A1239">
        <v>2</v>
      </c>
      <c r="B1239">
        <v>38.238999999999997</v>
      </c>
      <c r="C1239">
        <v>42.4146</v>
      </c>
      <c r="D1239">
        <v>46.577500000000001</v>
      </c>
      <c r="E1239">
        <v>63.829599999999999</v>
      </c>
      <c r="F1239">
        <v>99.707300000000004</v>
      </c>
      <c r="G1239">
        <v>139.7039</v>
      </c>
      <c r="H1239">
        <v>166.50229999999999</v>
      </c>
      <c r="I1239">
        <v>182.3869</v>
      </c>
      <c r="J1239">
        <v>200.17240000000001</v>
      </c>
    </row>
    <row r="1240" spans="1:10" x14ac:dyDescent="0.4">
      <c r="A1240">
        <v>3</v>
      </c>
      <c r="B1240">
        <v>9.9423999999999992</v>
      </c>
      <c r="C1240">
        <v>18.380700000000001</v>
      </c>
      <c r="D1240">
        <v>21.7182</v>
      </c>
      <c r="E1240">
        <v>29.334399999999999</v>
      </c>
      <c r="F1240">
        <v>48.255699999999997</v>
      </c>
      <c r="G1240">
        <v>69.298900000000003</v>
      </c>
      <c r="H1240">
        <v>89.345100000000002</v>
      </c>
      <c r="I1240">
        <v>100.57259999999999</v>
      </c>
      <c r="J1240">
        <v>115.19629999999999</v>
      </c>
    </row>
    <row r="1241" spans="1:10" x14ac:dyDescent="0.4">
      <c r="A1241">
        <v>4</v>
      </c>
      <c r="B1241">
        <v>1.2304999999999999</v>
      </c>
      <c r="C1241">
        <v>4.9843000000000002</v>
      </c>
      <c r="D1241">
        <v>7.867</v>
      </c>
      <c r="E1241">
        <v>12.5564</v>
      </c>
      <c r="F1241">
        <v>22.183599999999998</v>
      </c>
      <c r="G1241">
        <v>34.5075</v>
      </c>
      <c r="H1241">
        <v>46.276499999999999</v>
      </c>
      <c r="I1241">
        <v>51.454300000000003</v>
      </c>
      <c r="J1241">
        <v>63.223999999999997</v>
      </c>
    </row>
    <row r="1242" spans="1:10" x14ac:dyDescent="0.4">
      <c r="A1242">
        <v>5</v>
      </c>
      <c r="B1242">
        <v>0.13200000000000001</v>
      </c>
      <c r="C1242">
        <v>0.95240000000000002</v>
      </c>
      <c r="D1242">
        <v>2.0718999999999999</v>
      </c>
      <c r="E1242">
        <v>4.6959999999999997</v>
      </c>
      <c r="F1242">
        <v>9.0571999999999999</v>
      </c>
      <c r="G1242">
        <v>16.709199999999999</v>
      </c>
      <c r="H1242">
        <v>23.574300000000001</v>
      </c>
      <c r="I1242">
        <v>26.776800000000001</v>
      </c>
      <c r="J1242">
        <v>39.5946</v>
      </c>
    </row>
    <row r="1243" spans="1:10" x14ac:dyDescent="0.4">
      <c r="A1243">
        <v>6</v>
      </c>
      <c r="B1243">
        <v>5.4000000000000003E-3</v>
      </c>
      <c r="C1243">
        <v>0.16209999999999999</v>
      </c>
      <c r="D1243">
        <v>0.60450000000000004</v>
      </c>
      <c r="E1243">
        <v>1.6978</v>
      </c>
      <c r="F1243">
        <v>3.8098999999999998</v>
      </c>
      <c r="G1243">
        <v>7.2853000000000003</v>
      </c>
      <c r="H1243">
        <v>11.42</v>
      </c>
      <c r="I1243">
        <v>13.730399999999999</v>
      </c>
      <c r="J1243">
        <v>18.9773</v>
      </c>
    </row>
    <row r="1244" spans="1:10" x14ac:dyDescent="0.4">
      <c r="A1244">
        <v>7</v>
      </c>
      <c r="B1244">
        <v>5.0000000000000001E-4</v>
      </c>
      <c r="C1244">
        <v>3.6999999999999998E-2</v>
      </c>
      <c r="D1244">
        <v>0.17899999999999999</v>
      </c>
      <c r="E1244">
        <v>0.59160000000000001</v>
      </c>
      <c r="F1244">
        <v>1.6728000000000001</v>
      </c>
      <c r="G1244">
        <v>3.2669999999999999</v>
      </c>
      <c r="H1244">
        <v>5.3979999999999997</v>
      </c>
      <c r="I1244">
        <v>6.6656000000000004</v>
      </c>
      <c r="J1244">
        <v>9.7599</v>
      </c>
    </row>
    <row r="1245" spans="1:10" x14ac:dyDescent="0.4">
      <c r="A1245">
        <v>8</v>
      </c>
      <c r="B1245">
        <v>1E-4</v>
      </c>
      <c r="C1245">
        <v>1.0999999999999999E-2</v>
      </c>
      <c r="D1245">
        <v>4.7199999999999999E-2</v>
      </c>
      <c r="E1245">
        <v>0.21279999999999999</v>
      </c>
      <c r="F1245">
        <v>0.65790000000000004</v>
      </c>
      <c r="G1245">
        <v>1.6420999999999999</v>
      </c>
      <c r="H1245">
        <v>2.6985999999999999</v>
      </c>
      <c r="I1245">
        <v>3.4498000000000002</v>
      </c>
      <c r="J1245">
        <v>5.2183999999999999</v>
      </c>
    </row>
    <row r="1246" spans="1:10" x14ac:dyDescent="0.4">
      <c r="A1246">
        <v>9</v>
      </c>
      <c r="B1246">
        <v>0</v>
      </c>
      <c r="C1246">
        <v>2.7000000000000001E-3</v>
      </c>
      <c r="D1246">
        <v>1.67E-2</v>
      </c>
      <c r="E1246">
        <v>9.1700000000000004E-2</v>
      </c>
      <c r="F1246">
        <v>0.30730000000000002</v>
      </c>
      <c r="G1246">
        <v>0.74309999999999998</v>
      </c>
      <c r="H1246">
        <v>1.3090999999999999</v>
      </c>
      <c r="I1246">
        <v>1.8136000000000001</v>
      </c>
      <c r="J1246">
        <v>2.9628999999999999</v>
      </c>
    </row>
    <row r="1247" spans="1:10" x14ac:dyDescent="0.4">
      <c r="A1247">
        <v>10</v>
      </c>
      <c r="B1247">
        <v>0</v>
      </c>
      <c r="C1247">
        <v>1E-3</v>
      </c>
      <c r="D1247">
        <v>6.3E-3</v>
      </c>
      <c r="E1247">
        <v>3.6299999999999999E-2</v>
      </c>
      <c r="F1247">
        <v>0.13139999999999999</v>
      </c>
      <c r="G1247">
        <v>0.3659</v>
      </c>
      <c r="H1247">
        <v>0.69010000000000005</v>
      </c>
      <c r="I1247">
        <v>0.99009999999999998</v>
      </c>
      <c r="J1247">
        <v>1.5640000000000001</v>
      </c>
    </row>
    <row r="1248" spans="1:10" x14ac:dyDescent="0.4">
      <c r="A1248">
        <v>11</v>
      </c>
      <c r="B1248">
        <v>0</v>
      </c>
      <c r="C1248">
        <v>4.0000000000000002E-4</v>
      </c>
      <c r="D1248">
        <v>1.9E-3</v>
      </c>
      <c r="E1248">
        <v>1.8100000000000002E-2</v>
      </c>
      <c r="F1248">
        <v>7.0300000000000001E-2</v>
      </c>
      <c r="G1248">
        <v>0.1827</v>
      </c>
      <c r="H1248">
        <v>0.37669999999999998</v>
      </c>
      <c r="I1248">
        <v>0.51910000000000001</v>
      </c>
      <c r="J1248">
        <v>0.92020000000000002</v>
      </c>
    </row>
    <row r="1249" spans="1:10" x14ac:dyDescent="0.4">
      <c r="A1249">
        <v>12</v>
      </c>
      <c r="B1249">
        <v>0</v>
      </c>
      <c r="C1249">
        <v>1E-4</v>
      </c>
      <c r="D1249">
        <v>1.1999999999999999E-3</v>
      </c>
      <c r="E1249">
        <v>8.5000000000000006E-3</v>
      </c>
      <c r="F1249">
        <v>3.1399999999999997E-2</v>
      </c>
      <c r="G1249">
        <v>8.6099999999999996E-2</v>
      </c>
      <c r="H1249">
        <v>0.186</v>
      </c>
      <c r="I1249">
        <v>0.28489999999999999</v>
      </c>
      <c r="J1249">
        <v>0.41549999999999998</v>
      </c>
    </row>
    <row r="1250" spans="1:10" x14ac:dyDescent="0.4">
      <c r="A1250">
        <v>13</v>
      </c>
      <c r="B1250">
        <v>0</v>
      </c>
      <c r="C1250">
        <v>1E-4</v>
      </c>
      <c r="D1250">
        <v>5.0000000000000001E-4</v>
      </c>
      <c r="E1250">
        <v>3.5000000000000001E-3</v>
      </c>
      <c r="F1250">
        <v>1.7500000000000002E-2</v>
      </c>
      <c r="G1250">
        <v>4.9799999999999997E-2</v>
      </c>
      <c r="H1250">
        <v>0.1022</v>
      </c>
      <c r="I1250">
        <v>0.15049999999999999</v>
      </c>
      <c r="J1250">
        <v>0.27939999999999998</v>
      </c>
    </row>
    <row r="1251" spans="1:10" x14ac:dyDescent="0.4">
      <c r="A1251">
        <v>14</v>
      </c>
      <c r="B1251">
        <v>0</v>
      </c>
      <c r="C1251">
        <v>0</v>
      </c>
      <c r="D1251">
        <v>2.9999999999999997E-4</v>
      </c>
      <c r="E1251">
        <v>2.2000000000000001E-3</v>
      </c>
      <c r="F1251">
        <v>9.5999999999999992E-3</v>
      </c>
      <c r="G1251">
        <v>2.7300000000000001E-2</v>
      </c>
      <c r="H1251">
        <v>5.8200000000000002E-2</v>
      </c>
      <c r="I1251">
        <v>8.6900000000000005E-2</v>
      </c>
      <c r="J1251">
        <v>0.13869999999999999</v>
      </c>
    </row>
    <row r="1252" spans="1:10" x14ac:dyDescent="0.4">
      <c r="A1252" t="s">
        <v>29</v>
      </c>
      <c r="B1252">
        <v>0</v>
      </c>
      <c r="C1252">
        <v>1E-4</v>
      </c>
      <c r="D1252">
        <v>5.9999999999999995E-4</v>
      </c>
      <c r="E1252">
        <v>3.8999999999999998E-3</v>
      </c>
      <c r="F1252">
        <v>1.54E-2</v>
      </c>
      <c r="G1252">
        <v>3.9800000000000002E-2</v>
      </c>
      <c r="H1252">
        <v>7.7700000000000005E-2</v>
      </c>
      <c r="I1252">
        <v>0.1021</v>
      </c>
      <c r="J1252">
        <v>0.17469999999999999</v>
      </c>
    </row>
    <row r="1254" spans="1:10" x14ac:dyDescent="0.4">
      <c r="A1254">
        <v>2036</v>
      </c>
    </row>
    <row r="1256" spans="1:10" x14ac:dyDescent="0.4">
      <c r="A1256" t="s">
        <v>0</v>
      </c>
      <c r="B1256" s="2">
        <v>0.01</v>
      </c>
      <c r="C1256" s="2">
        <v>0.05</v>
      </c>
      <c r="D1256" s="2">
        <v>0.1</v>
      </c>
      <c r="E1256" s="2">
        <v>0.25</v>
      </c>
      <c r="F1256" s="2">
        <v>0.5</v>
      </c>
      <c r="G1256" s="2">
        <v>0.75</v>
      </c>
      <c r="H1256" s="2">
        <v>0.9</v>
      </c>
      <c r="I1256" s="2">
        <v>0.95</v>
      </c>
      <c r="J1256" s="2">
        <v>0.99</v>
      </c>
    </row>
    <row r="1257" spans="1:10" x14ac:dyDescent="0.4">
      <c r="A1257">
        <v>1</v>
      </c>
      <c r="B1257">
        <v>68.488900000000001</v>
      </c>
      <c r="C1257">
        <v>69.768100000000004</v>
      </c>
      <c r="D1257">
        <v>77.552899999999994</v>
      </c>
      <c r="E1257">
        <v>101.152</v>
      </c>
      <c r="F1257">
        <v>168.0061</v>
      </c>
      <c r="G1257">
        <v>234.00110000000001</v>
      </c>
      <c r="H1257">
        <v>279.36130000000003</v>
      </c>
      <c r="I1257">
        <v>308.2747</v>
      </c>
      <c r="J1257">
        <v>324.41230000000002</v>
      </c>
    </row>
    <row r="1258" spans="1:10" x14ac:dyDescent="0.4">
      <c r="A1258">
        <v>2</v>
      </c>
      <c r="B1258">
        <v>38.569699999999997</v>
      </c>
      <c r="C1258">
        <v>41.673299999999998</v>
      </c>
      <c r="D1258">
        <v>45.068800000000003</v>
      </c>
      <c r="E1258">
        <v>58.8536</v>
      </c>
      <c r="F1258">
        <v>98.079400000000007</v>
      </c>
      <c r="G1258">
        <v>136.7979</v>
      </c>
      <c r="H1258">
        <v>165.75399999999999</v>
      </c>
      <c r="I1258">
        <v>182.4289</v>
      </c>
      <c r="J1258">
        <v>242.6309</v>
      </c>
    </row>
    <row r="1259" spans="1:10" x14ac:dyDescent="0.4">
      <c r="A1259">
        <v>3</v>
      </c>
      <c r="B1259">
        <v>10.3072</v>
      </c>
      <c r="C1259">
        <v>18.838100000000001</v>
      </c>
      <c r="D1259">
        <v>22.316700000000001</v>
      </c>
      <c r="E1259">
        <v>31.2058</v>
      </c>
      <c r="F1259">
        <v>49.724400000000003</v>
      </c>
      <c r="G1259">
        <v>71.444000000000003</v>
      </c>
      <c r="H1259">
        <v>90.663600000000002</v>
      </c>
      <c r="I1259">
        <v>100.8942</v>
      </c>
      <c r="J1259">
        <v>116.7109</v>
      </c>
    </row>
    <row r="1260" spans="1:10" x14ac:dyDescent="0.4">
      <c r="A1260">
        <v>4</v>
      </c>
      <c r="B1260">
        <v>1.3314999999999999</v>
      </c>
      <c r="C1260">
        <v>4.9131</v>
      </c>
      <c r="D1260">
        <v>7.3947000000000003</v>
      </c>
      <c r="E1260">
        <v>11.795500000000001</v>
      </c>
      <c r="F1260">
        <v>20.561399999999999</v>
      </c>
      <c r="G1260">
        <v>32.998699999999999</v>
      </c>
      <c r="H1260">
        <v>44.961100000000002</v>
      </c>
      <c r="I1260">
        <v>54.239600000000003</v>
      </c>
      <c r="J1260">
        <v>63.720100000000002</v>
      </c>
    </row>
    <row r="1261" spans="1:10" x14ac:dyDescent="0.4">
      <c r="A1261">
        <v>5</v>
      </c>
      <c r="B1261">
        <v>0.11169999999999999</v>
      </c>
      <c r="C1261">
        <v>0.88580000000000003</v>
      </c>
      <c r="D1261">
        <v>2.5590000000000002</v>
      </c>
      <c r="E1261">
        <v>4.5347</v>
      </c>
      <c r="F1261">
        <v>9.1632999999999996</v>
      </c>
      <c r="G1261">
        <v>15.7746</v>
      </c>
      <c r="H1261">
        <v>22.422499999999999</v>
      </c>
      <c r="I1261">
        <v>26.596699999999998</v>
      </c>
      <c r="J1261">
        <v>34.2224</v>
      </c>
    </row>
    <row r="1262" spans="1:10" x14ac:dyDescent="0.4">
      <c r="A1262">
        <v>6</v>
      </c>
      <c r="B1262">
        <v>4.8999999999999998E-3</v>
      </c>
      <c r="C1262">
        <v>0.18720000000000001</v>
      </c>
      <c r="D1262">
        <v>0.51100000000000001</v>
      </c>
      <c r="E1262">
        <v>1.5923</v>
      </c>
      <c r="F1262">
        <v>3.5470999999999999</v>
      </c>
      <c r="G1262">
        <v>7.3761000000000001</v>
      </c>
      <c r="H1262">
        <v>11.403600000000001</v>
      </c>
      <c r="I1262">
        <v>13.2742</v>
      </c>
      <c r="J1262">
        <v>22.056799999999999</v>
      </c>
    </row>
    <row r="1263" spans="1:10" x14ac:dyDescent="0.4">
      <c r="A1263">
        <v>7</v>
      </c>
      <c r="B1263">
        <v>4.0000000000000002E-4</v>
      </c>
      <c r="C1263">
        <v>3.4500000000000003E-2</v>
      </c>
      <c r="D1263">
        <v>0.15160000000000001</v>
      </c>
      <c r="E1263">
        <v>0.58589999999999998</v>
      </c>
      <c r="F1263">
        <v>1.5397000000000001</v>
      </c>
      <c r="G1263">
        <v>3.2968999999999999</v>
      </c>
      <c r="H1263">
        <v>5.4341999999999997</v>
      </c>
      <c r="I1263">
        <v>7.0109000000000004</v>
      </c>
      <c r="J1263">
        <v>10.400600000000001</v>
      </c>
    </row>
    <row r="1264" spans="1:10" x14ac:dyDescent="0.4">
      <c r="A1264">
        <v>8</v>
      </c>
      <c r="B1264">
        <v>0</v>
      </c>
      <c r="C1264">
        <v>5.1999999999999998E-3</v>
      </c>
      <c r="D1264">
        <v>4.7699999999999999E-2</v>
      </c>
      <c r="E1264">
        <v>0.20619999999999999</v>
      </c>
      <c r="F1264">
        <v>0.70499999999999996</v>
      </c>
      <c r="G1264">
        <v>1.5017</v>
      </c>
      <c r="H1264">
        <v>2.5903</v>
      </c>
      <c r="I1264">
        <v>3.3569</v>
      </c>
      <c r="J1264">
        <v>5.0418000000000003</v>
      </c>
    </row>
    <row r="1265" spans="1:10" x14ac:dyDescent="0.4">
      <c r="A1265">
        <v>9</v>
      </c>
      <c r="B1265">
        <v>0</v>
      </c>
      <c r="C1265">
        <v>2.5999999999999999E-3</v>
      </c>
      <c r="D1265">
        <v>1.15E-2</v>
      </c>
      <c r="E1265">
        <v>8.3199999999999996E-2</v>
      </c>
      <c r="F1265">
        <v>0.26740000000000003</v>
      </c>
      <c r="G1265">
        <v>0.75919999999999999</v>
      </c>
      <c r="H1265">
        <v>1.3552999999999999</v>
      </c>
      <c r="I1265">
        <v>1.7702</v>
      </c>
      <c r="J1265">
        <v>2.8309000000000002</v>
      </c>
    </row>
    <row r="1266" spans="1:10" x14ac:dyDescent="0.4">
      <c r="A1266">
        <v>10</v>
      </c>
      <c r="B1266">
        <v>0</v>
      </c>
      <c r="C1266">
        <v>6.9999999999999999E-4</v>
      </c>
      <c r="D1266">
        <v>4.7999999999999996E-3</v>
      </c>
      <c r="E1266">
        <v>3.3700000000000001E-2</v>
      </c>
      <c r="F1266">
        <v>0.13270000000000001</v>
      </c>
      <c r="G1266">
        <v>0.35089999999999999</v>
      </c>
      <c r="H1266">
        <v>0.63749999999999996</v>
      </c>
      <c r="I1266">
        <v>0.90810000000000002</v>
      </c>
      <c r="J1266">
        <v>1.4782</v>
      </c>
    </row>
    <row r="1267" spans="1:10" x14ac:dyDescent="0.4">
      <c r="A1267">
        <v>11</v>
      </c>
      <c r="B1267">
        <v>0</v>
      </c>
      <c r="C1267">
        <v>2.0000000000000001E-4</v>
      </c>
      <c r="D1267">
        <v>1.9E-3</v>
      </c>
      <c r="E1267">
        <v>1.4200000000000001E-2</v>
      </c>
      <c r="F1267">
        <v>5.8500000000000003E-2</v>
      </c>
      <c r="G1267">
        <v>0.1686</v>
      </c>
      <c r="H1267">
        <v>0.34739999999999999</v>
      </c>
      <c r="I1267">
        <v>0.50790000000000002</v>
      </c>
      <c r="J1267">
        <v>0.84650000000000003</v>
      </c>
    </row>
    <row r="1268" spans="1:10" x14ac:dyDescent="0.4">
      <c r="A1268">
        <v>12</v>
      </c>
      <c r="B1268">
        <v>0</v>
      </c>
      <c r="C1268">
        <v>1E-4</v>
      </c>
      <c r="D1268">
        <v>5.9999999999999995E-4</v>
      </c>
      <c r="E1268">
        <v>6.4999999999999997E-3</v>
      </c>
      <c r="F1268">
        <v>3.0499999999999999E-2</v>
      </c>
      <c r="G1268">
        <v>8.77E-2</v>
      </c>
      <c r="H1268">
        <v>0.1875</v>
      </c>
      <c r="I1268">
        <v>0.2666</v>
      </c>
      <c r="J1268">
        <v>0.49619999999999997</v>
      </c>
    </row>
    <row r="1269" spans="1:10" x14ac:dyDescent="0.4">
      <c r="A1269">
        <v>13</v>
      </c>
      <c r="B1269">
        <v>0</v>
      </c>
      <c r="C1269">
        <v>0</v>
      </c>
      <c r="D1269">
        <v>2.9999999999999997E-4</v>
      </c>
      <c r="E1269">
        <v>2.8999999999999998E-3</v>
      </c>
      <c r="F1269">
        <v>1.41E-2</v>
      </c>
      <c r="G1269">
        <v>4.1500000000000002E-2</v>
      </c>
      <c r="H1269">
        <v>9.1200000000000003E-2</v>
      </c>
      <c r="I1269">
        <v>0.15240000000000001</v>
      </c>
      <c r="J1269">
        <v>0.23719999999999999</v>
      </c>
    </row>
    <row r="1270" spans="1:10" x14ac:dyDescent="0.4">
      <c r="A1270">
        <v>14</v>
      </c>
      <c r="B1270">
        <v>0</v>
      </c>
      <c r="C1270">
        <v>0</v>
      </c>
      <c r="D1270">
        <v>2.0000000000000001E-4</v>
      </c>
      <c r="E1270">
        <v>1.5E-3</v>
      </c>
      <c r="F1270">
        <v>8.0999999999999996E-3</v>
      </c>
      <c r="G1270">
        <v>2.4199999999999999E-2</v>
      </c>
      <c r="H1270">
        <v>5.2900000000000003E-2</v>
      </c>
      <c r="I1270">
        <v>7.9100000000000004E-2</v>
      </c>
      <c r="J1270">
        <v>0.1363</v>
      </c>
    </row>
    <row r="1271" spans="1:10" x14ac:dyDescent="0.4">
      <c r="A1271" t="s">
        <v>29</v>
      </c>
      <c r="B1271">
        <v>0</v>
      </c>
      <c r="C1271">
        <v>0</v>
      </c>
      <c r="D1271">
        <v>2.0000000000000001E-4</v>
      </c>
      <c r="E1271">
        <v>2.5000000000000001E-3</v>
      </c>
      <c r="F1271">
        <v>1.24E-2</v>
      </c>
      <c r="G1271">
        <v>3.3399999999999999E-2</v>
      </c>
      <c r="H1271">
        <v>6.8500000000000005E-2</v>
      </c>
      <c r="I1271">
        <v>9.4799999999999995E-2</v>
      </c>
      <c r="J1271">
        <v>0.1754</v>
      </c>
    </row>
    <row r="1273" spans="1:10" x14ac:dyDescent="0.4">
      <c r="A1273">
        <v>2037</v>
      </c>
    </row>
    <row r="1275" spans="1:10" x14ac:dyDescent="0.4">
      <c r="A1275" t="s">
        <v>0</v>
      </c>
      <c r="B1275" s="2">
        <v>0.01</v>
      </c>
      <c r="C1275" s="2">
        <v>0.05</v>
      </c>
      <c r="D1275" s="2">
        <v>0.1</v>
      </c>
      <c r="E1275" s="2">
        <v>0.25</v>
      </c>
      <c r="F1275" s="2">
        <v>0.5</v>
      </c>
      <c r="G1275" s="2">
        <v>0.75</v>
      </c>
      <c r="H1275" s="2">
        <v>0.9</v>
      </c>
      <c r="I1275" s="2">
        <v>0.95</v>
      </c>
      <c r="J1275" s="2">
        <v>0.99</v>
      </c>
    </row>
    <row r="1276" spans="1:10" x14ac:dyDescent="0.4">
      <c r="A1276">
        <v>1</v>
      </c>
      <c r="B1276">
        <v>69.019499999999994</v>
      </c>
      <c r="C1276">
        <v>71.0685</v>
      </c>
      <c r="D1276">
        <v>79.222099999999998</v>
      </c>
      <c r="E1276">
        <v>106.76439999999999</v>
      </c>
      <c r="F1276">
        <v>169.95050000000001</v>
      </c>
      <c r="G1276">
        <v>235.27010000000001</v>
      </c>
      <c r="H1276">
        <v>285.27699999999999</v>
      </c>
      <c r="I1276">
        <v>306.88060000000002</v>
      </c>
      <c r="J1276">
        <v>431.57150000000001</v>
      </c>
    </row>
    <row r="1277" spans="1:10" x14ac:dyDescent="0.4">
      <c r="A1277">
        <v>2</v>
      </c>
      <c r="B1277">
        <v>38.214199999999998</v>
      </c>
      <c r="C1277">
        <v>41.374299999999998</v>
      </c>
      <c r="D1277">
        <v>45.049100000000003</v>
      </c>
      <c r="E1277">
        <v>58.559699999999999</v>
      </c>
      <c r="F1277">
        <v>97.667000000000002</v>
      </c>
      <c r="G1277">
        <v>138.29769999999999</v>
      </c>
      <c r="H1277">
        <v>166.14019999999999</v>
      </c>
      <c r="I1277">
        <v>180.87620000000001</v>
      </c>
      <c r="J1277">
        <v>199.1866</v>
      </c>
    </row>
    <row r="1278" spans="1:10" x14ac:dyDescent="0.4">
      <c r="A1278">
        <v>3</v>
      </c>
      <c r="B1278">
        <v>9.9178999999999995</v>
      </c>
      <c r="C1278">
        <v>18.980399999999999</v>
      </c>
      <c r="D1278">
        <v>21.233000000000001</v>
      </c>
      <c r="E1278">
        <v>29.148499999999999</v>
      </c>
      <c r="F1278">
        <v>48.760899999999999</v>
      </c>
      <c r="G1278">
        <v>70.359499999999997</v>
      </c>
      <c r="H1278">
        <v>90.858400000000003</v>
      </c>
      <c r="I1278">
        <v>101.9966</v>
      </c>
      <c r="J1278">
        <v>141.02860000000001</v>
      </c>
    </row>
    <row r="1279" spans="1:10" x14ac:dyDescent="0.4">
      <c r="A1279">
        <v>4</v>
      </c>
      <c r="B1279">
        <v>0.94379999999999997</v>
      </c>
      <c r="C1279">
        <v>4.9583000000000004</v>
      </c>
      <c r="D1279">
        <v>7.1859000000000002</v>
      </c>
      <c r="E1279">
        <v>12.308400000000001</v>
      </c>
      <c r="F1279">
        <v>21.3443</v>
      </c>
      <c r="G1279">
        <v>33.317900000000002</v>
      </c>
      <c r="H1279">
        <v>46.209499999999998</v>
      </c>
      <c r="I1279">
        <v>52.570700000000002</v>
      </c>
      <c r="J1279">
        <v>63.365099999999998</v>
      </c>
    </row>
    <row r="1280" spans="1:10" x14ac:dyDescent="0.4">
      <c r="A1280">
        <v>5</v>
      </c>
      <c r="B1280">
        <v>8.7099999999999997E-2</v>
      </c>
      <c r="C1280">
        <v>1.0246999999999999</v>
      </c>
      <c r="D1280">
        <v>2.0680999999999998</v>
      </c>
      <c r="E1280">
        <v>4.3376999999999999</v>
      </c>
      <c r="F1280">
        <v>8.3306000000000004</v>
      </c>
      <c r="G1280">
        <v>14.9435</v>
      </c>
      <c r="H1280">
        <v>22.175699999999999</v>
      </c>
      <c r="I1280">
        <v>26.972100000000001</v>
      </c>
      <c r="J1280">
        <v>35.368499999999997</v>
      </c>
    </row>
    <row r="1281" spans="1:10" x14ac:dyDescent="0.4">
      <c r="A1281">
        <v>6</v>
      </c>
      <c r="B1281">
        <v>6.4999999999999997E-3</v>
      </c>
      <c r="C1281">
        <v>0.1716</v>
      </c>
      <c r="D1281">
        <v>0.57709999999999995</v>
      </c>
      <c r="E1281">
        <v>1.4916</v>
      </c>
      <c r="F1281">
        <v>3.6187999999999998</v>
      </c>
      <c r="G1281">
        <v>7.1447000000000003</v>
      </c>
      <c r="H1281">
        <v>10.6967</v>
      </c>
      <c r="I1281">
        <v>13.0418</v>
      </c>
      <c r="J1281">
        <v>19.042200000000001</v>
      </c>
    </row>
    <row r="1282" spans="1:10" x14ac:dyDescent="0.4">
      <c r="A1282">
        <v>7</v>
      </c>
      <c r="B1282">
        <v>5.0000000000000001E-4</v>
      </c>
      <c r="C1282">
        <v>3.3599999999999998E-2</v>
      </c>
      <c r="D1282">
        <v>0.1391</v>
      </c>
      <c r="E1282">
        <v>0.55820000000000003</v>
      </c>
      <c r="F1282">
        <v>1.4322999999999999</v>
      </c>
      <c r="G1282">
        <v>3.2953999999999999</v>
      </c>
      <c r="H1282">
        <v>5.4702000000000002</v>
      </c>
      <c r="I1282">
        <v>6.7561999999999998</v>
      </c>
      <c r="J1282">
        <v>11.104200000000001</v>
      </c>
    </row>
    <row r="1283" spans="1:10" x14ac:dyDescent="0.4">
      <c r="A1283">
        <v>8</v>
      </c>
      <c r="B1283">
        <v>0</v>
      </c>
      <c r="C1283">
        <v>5.3E-3</v>
      </c>
      <c r="D1283">
        <v>4.02E-2</v>
      </c>
      <c r="E1283">
        <v>0.21010000000000001</v>
      </c>
      <c r="F1283">
        <v>0.62739999999999996</v>
      </c>
      <c r="G1283">
        <v>1.4559</v>
      </c>
      <c r="H1283">
        <v>2.6779999999999999</v>
      </c>
      <c r="I1283">
        <v>3.4274</v>
      </c>
      <c r="J1283">
        <v>5.2404999999999999</v>
      </c>
    </row>
    <row r="1284" spans="1:10" x14ac:dyDescent="0.4">
      <c r="A1284">
        <v>9</v>
      </c>
      <c r="B1284">
        <v>0</v>
      </c>
      <c r="C1284">
        <v>8.9999999999999998E-4</v>
      </c>
      <c r="D1284">
        <v>1.26E-2</v>
      </c>
      <c r="E1284">
        <v>8.1000000000000003E-2</v>
      </c>
      <c r="F1284">
        <v>0.29820000000000002</v>
      </c>
      <c r="G1284">
        <v>0.70989999999999998</v>
      </c>
      <c r="H1284">
        <v>1.2673000000000001</v>
      </c>
      <c r="I1284">
        <v>1.6494</v>
      </c>
      <c r="J1284">
        <v>2.7464</v>
      </c>
    </row>
    <row r="1285" spans="1:10" x14ac:dyDescent="0.4">
      <c r="A1285">
        <v>10</v>
      </c>
      <c r="B1285">
        <v>0</v>
      </c>
      <c r="C1285">
        <v>5.0000000000000001E-4</v>
      </c>
      <c r="D1285">
        <v>3.3E-3</v>
      </c>
      <c r="E1285">
        <v>3.09E-2</v>
      </c>
      <c r="F1285">
        <v>0.1148</v>
      </c>
      <c r="G1285">
        <v>0.34229999999999999</v>
      </c>
      <c r="H1285">
        <v>0.67610000000000003</v>
      </c>
      <c r="I1285">
        <v>0.92330000000000001</v>
      </c>
      <c r="J1285">
        <v>1.5555000000000001</v>
      </c>
    </row>
    <row r="1286" spans="1:10" x14ac:dyDescent="0.4">
      <c r="A1286">
        <v>11</v>
      </c>
      <c r="B1286">
        <v>0</v>
      </c>
      <c r="C1286">
        <v>1E-4</v>
      </c>
      <c r="D1286">
        <v>1.1000000000000001E-3</v>
      </c>
      <c r="E1286">
        <v>1.24E-2</v>
      </c>
      <c r="F1286">
        <v>5.3900000000000003E-2</v>
      </c>
      <c r="G1286">
        <v>0.16289999999999999</v>
      </c>
      <c r="H1286">
        <v>0.314</v>
      </c>
      <c r="I1286">
        <v>0.4849</v>
      </c>
      <c r="J1286">
        <v>0.79120000000000001</v>
      </c>
    </row>
    <row r="1287" spans="1:10" x14ac:dyDescent="0.4">
      <c r="A1287">
        <v>12</v>
      </c>
      <c r="B1287">
        <v>0</v>
      </c>
      <c r="C1287">
        <v>1E-4</v>
      </c>
      <c r="D1287">
        <v>5.0000000000000001E-4</v>
      </c>
      <c r="E1287">
        <v>5.3E-3</v>
      </c>
      <c r="F1287">
        <v>2.5100000000000001E-2</v>
      </c>
      <c r="G1287">
        <v>8.0600000000000005E-2</v>
      </c>
      <c r="H1287">
        <v>0.17199999999999999</v>
      </c>
      <c r="I1287">
        <v>0.25729999999999997</v>
      </c>
      <c r="J1287">
        <v>0.4446</v>
      </c>
    </row>
    <row r="1288" spans="1:10" x14ac:dyDescent="0.4">
      <c r="A1288">
        <v>13</v>
      </c>
      <c r="B1288">
        <v>0</v>
      </c>
      <c r="C1288">
        <v>0</v>
      </c>
      <c r="D1288">
        <v>2.0000000000000001E-4</v>
      </c>
      <c r="E1288">
        <v>2.5000000000000001E-3</v>
      </c>
      <c r="F1288">
        <v>1.3599999999999999E-2</v>
      </c>
      <c r="G1288">
        <v>4.0800000000000003E-2</v>
      </c>
      <c r="H1288">
        <v>9.1999999999999998E-2</v>
      </c>
      <c r="I1288">
        <v>0.14030000000000001</v>
      </c>
      <c r="J1288">
        <v>0.26250000000000001</v>
      </c>
    </row>
    <row r="1289" spans="1:10" x14ac:dyDescent="0.4">
      <c r="A1289">
        <v>14</v>
      </c>
      <c r="B1289">
        <v>0</v>
      </c>
      <c r="C1289">
        <v>0</v>
      </c>
      <c r="D1289">
        <v>1E-4</v>
      </c>
      <c r="E1289">
        <v>1.1000000000000001E-3</v>
      </c>
      <c r="F1289">
        <v>6.1999999999999998E-3</v>
      </c>
      <c r="G1289">
        <v>2.12E-2</v>
      </c>
      <c r="H1289">
        <v>4.6600000000000003E-2</v>
      </c>
      <c r="I1289">
        <v>7.9000000000000001E-2</v>
      </c>
      <c r="J1289">
        <v>0.1255</v>
      </c>
    </row>
    <row r="1290" spans="1:10" x14ac:dyDescent="0.4">
      <c r="A1290" t="s">
        <v>29</v>
      </c>
      <c r="B1290">
        <v>0</v>
      </c>
      <c r="C1290">
        <v>0</v>
      </c>
      <c r="D1290">
        <v>1E-4</v>
      </c>
      <c r="E1290">
        <v>1.6000000000000001E-3</v>
      </c>
      <c r="F1290">
        <v>9.1999999999999998E-3</v>
      </c>
      <c r="G1290">
        <v>2.81E-2</v>
      </c>
      <c r="H1290">
        <v>6.1699999999999998E-2</v>
      </c>
      <c r="I1290">
        <v>8.6499999999999994E-2</v>
      </c>
      <c r="J1290">
        <v>0.16489999999999999</v>
      </c>
    </row>
    <row r="1292" spans="1:10" x14ac:dyDescent="0.4">
      <c r="A1292">
        <v>2038</v>
      </c>
    </row>
    <row r="1294" spans="1:10" x14ac:dyDescent="0.4">
      <c r="A1294" t="s">
        <v>0</v>
      </c>
      <c r="B1294" s="2">
        <v>0.01</v>
      </c>
      <c r="C1294" s="2">
        <v>0.05</v>
      </c>
      <c r="D1294" s="2">
        <v>0.1</v>
      </c>
      <c r="E1294" s="2">
        <v>0.25</v>
      </c>
      <c r="F1294" s="2">
        <v>0.5</v>
      </c>
      <c r="G1294" s="2">
        <v>0.75</v>
      </c>
      <c r="H1294" s="2">
        <v>0.9</v>
      </c>
      <c r="I1294" s="2">
        <v>0.95</v>
      </c>
      <c r="J1294" s="2">
        <v>0.99</v>
      </c>
    </row>
    <row r="1295" spans="1:10" x14ac:dyDescent="0.4">
      <c r="A1295">
        <v>1</v>
      </c>
      <c r="B1295">
        <v>68.843599999999995</v>
      </c>
      <c r="C1295">
        <v>73.962199999999996</v>
      </c>
      <c r="D1295">
        <v>81.360699999999994</v>
      </c>
      <c r="E1295">
        <v>106.54519999999999</v>
      </c>
      <c r="F1295">
        <v>168.6876</v>
      </c>
      <c r="G1295">
        <v>239.6189</v>
      </c>
      <c r="H1295">
        <v>288.88619999999997</v>
      </c>
      <c r="I1295">
        <v>312.17380000000003</v>
      </c>
      <c r="J1295">
        <v>325.53070000000002</v>
      </c>
    </row>
    <row r="1296" spans="1:10" x14ac:dyDescent="0.4">
      <c r="A1296">
        <v>2</v>
      </c>
      <c r="B1296">
        <v>37.519300000000001</v>
      </c>
      <c r="C1296">
        <v>42.109099999999998</v>
      </c>
      <c r="D1296">
        <v>46.798000000000002</v>
      </c>
      <c r="E1296">
        <v>62.059199999999997</v>
      </c>
      <c r="F1296">
        <v>100.0716</v>
      </c>
      <c r="G1296">
        <v>137.55189999999999</v>
      </c>
      <c r="H1296">
        <v>166.9854</v>
      </c>
      <c r="I1296">
        <v>183.7182</v>
      </c>
      <c r="J1296">
        <v>248.13570000000001</v>
      </c>
    </row>
    <row r="1297" spans="1:10" x14ac:dyDescent="0.4">
      <c r="A1297">
        <v>3</v>
      </c>
      <c r="B1297">
        <v>11.1212</v>
      </c>
      <c r="C1297">
        <v>17.982900000000001</v>
      </c>
      <c r="D1297">
        <v>21.049700000000001</v>
      </c>
      <c r="E1297">
        <v>28.529900000000001</v>
      </c>
      <c r="F1297">
        <v>47.412399999999998</v>
      </c>
      <c r="G1297">
        <v>72.228700000000003</v>
      </c>
      <c r="H1297">
        <v>89.207800000000006</v>
      </c>
      <c r="I1297">
        <v>98.7102</v>
      </c>
      <c r="J1297">
        <v>114.9588</v>
      </c>
    </row>
    <row r="1298" spans="1:10" x14ac:dyDescent="0.4">
      <c r="A1298">
        <v>4</v>
      </c>
      <c r="B1298">
        <v>1.0394000000000001</v>
      </c>
      <c r="C1298">
        <v>5.0587999999999997</v>
      </c>
      <c r="D1298">
        <v>7.0922999999999998</v>
      </c>
      <c r="E1298">
        <v>11.6753</v>
      </c>
      <c r="F1298">
        <v>20.147200000000002</v>
      </c>
      <c r="G1298">
        <v>32.716000000000001</v>
      </c>
      <c r="H1298">
        <v>46.094900000000003</v>
      </c>
      <c r="I1298">
        <v>53.345199999999998</v>
      </c>
      <c r="J1298">
        <v>70.740399999999994</v>
      </c>
    </row>
    <row r="1299" spans="1:10" x14ac:dyDescent="0.4">
      <c r="A1299">
        <v>5</v>
      </c>
      <c r="B1299">
        <v>4.02E-2</v>
      </c>
      <c r="C1299">
        <v>1.0648</v>
      </c>
      <c r="D1299">
        <v>2.0543</v>
      </c>
      <c r="E1299">
        <v>4.5595999999999997</v>
      </c>
      <c r="F1299">
        <v>8.6854999999999993</v>
      </c>
      <c r="G1299">
        <v>15.0116</v>
      </c>
      <c r="H1299">
        <v>22.288799999999998</v>
      </c>
      <c r="I1299">
        <v>26.492599999999999</v>
      </c>
      <c r="J1299">
        <v>33.357300000000002</v>
      </c>
    </row>
    <row r="1300" spans="1:10" x14ac:dyDescent="0.4">
      <c r="A1300">
        <v>6</v>
      </c>
      <c r="B1300">
        <v>4.1999999999999997E-3</v>
      </c>
      <c r="C1300">
        <v>0.21099999999999999</v>
      </c>
      <c r="D1300">
        <v>0.55710000000000004</v>
      </c>
      <c r="E1300">
        <v>1.4757</v>
      </c>
      <c r="F1300">
        <v>3.3708</v>
      </c>
      <c r="G1300">
        <v>6.7050999999999998</v>
      </c>
      <c r="H1300">
        <v>10.516299999999999</v>
      </c>
      <c r="I1300">
        <v>12.7727</v>
      </c>
      <c r="J1300">
        <v>19.113</v>
      </c>
    </row>
    <row r="1301" spans="1:10" x14ac:dyDescent="0.4">
      <c r="A1301">
        <v>7</v>
      </c>
      <c r="B1301">
        <v>2.0000000000000001E-4</v>
      </c>
      <c r="C1301">
        <v>3.3599999999999998E-2</v>
      </c>
      <c r="D1301">
        <v>0.1532</v>
      </c>
      <c r="E1301">
        <v>0.51119999999999999</v>
      </c>
      <c r="F1301">
        <v>1.454</v>
      </c>
      <c r="G1301">
        <v>3.2147000000000001</v>
      </c>
      <c r="H1301">
        <v>5.0728</v>
      </c>
      <c r="I1301">
        <v>6.2994000000000003</v>
      </c>
      <c r="J1301">
        <v>10.089</v>
      </c>
    </row>
    <row r="1302" spans="1:10" x14ac:dyDescent="0.4">
      <c r="A1302">
        <v>8</v>
      </c>
      <c r="B1302">
        <v>0</v>
      </c>
      <c r="C1302">
        <v>7.3000000000000001E-3</v>
      </c>
      <c r="D1302">
        <v>3.7999999999999999E-2</v>
      </c>
      <c r="E1302">
        <v>0.18429999999999999</v>
      </c>
      <c r="F1302">
        <v>0.60109999999999997</v>
      </c>
      <c r="G1302">
        <v>1.4915</v>
      </c>
      <c r="H1302">
        <v>2.7421000000000002</v>
      </c>
      <c r="I1302">
        <v>3.4784000000000002</v>
      </c>
      <c r="J1302">
        <v>5.4779999999999998</v>
      </c>
    </row>
    <row r="1303" spans="1:10" x14ac:dyDescent="0.4">
      <c r="A1303">
        <v>9</v>
      </c>
      <c r="B1303">
        <v>0</v>
      </c>
      <c r="C1303">
        <v>8.9999999999999998E-4</v>
      </c>
      <c r="D1303">
        <v>1.0699999999999999E-2</v>
      </c>
      <c r="E1303">
        <v>7.5899999999999995E-2</v>
      </c>
      <c r="F1303">
        <v>0.27679999999999999</v>
      </c>
      <c r="G1303">
        <v>0.68700000000000006</v>
      </c>
      <c r="H1303">
        <v>1.2228000000000001</v>
      </c>
      <c r="I1303">
        <v>1.7595000000000001</v>
      </c>
      <c r="J1303">
        <v>2.8504999999999998</v>
      </c>
    </row>
    <row r="1304" spans="1:10" x14ac:dyDescent="0.4">
      <c r="A1304">
        <v>10</v>
      </c>
      <c r="B1304">
        <v>0</v>
      </c>
      <c r="C1304">
        <v>2.0000000000000001E-4</v>
      </c>
      <c r="D1304">
        <v>3.7000000000000002E-3</v>
      </c>
      <c r="E1304">
        <v>2.8500000000000001E-2</v>
      </c>
      <c r="F1304">
        <v>0.12180000000000001</v>
      </c>
      <c r="G1304">
        <v>0.31950000000000001</v>
      </c>
      <c r="H1304">
        <v>0.63160000000000005</v>
      </c>
      <c r="I1304">
        <v>0.8145</v>
      </c>
      <c r="J1304">
        <v>1.411</v>
      </c>
    </row>
    <row r="1305" spans="1:10" x14ac:dyDescent="0.4">
      <c r="A1305">
        <v>11</v>
      </c>
      <c r="B1305">
        <v>0</v>
      </c>
      <c r="C1305">
        <v>1E-4</v>
      </c>
      <c r="D1305">
        <v>1E-3</v>
      </c>
      <c r="E1305">
        <v>1.23E-2</v>
      </c>
      <c r="F1305">
        <v>0.05</v>
      </c>
      <c r="G1305">
        <v>0.15690000000000001</v>
      </c>
      <c r="H1305">
        <v>0.33560000000000001</v>
      </c>
      <c r="I1305">
        <v>0.47160000000000002</v>
      </c>
      <c r="J1305">
        <v>0.8448</v>
      </c>
    </row>
    <row r="1306" spans="1:10" x14ac:dyDescent="0.4">
      <c r="A1306">
        <v>12</v>
      </c>
      <c r="B1306">
        <v>0</v>
      </c>
      <c r="C1306">
        <v>0</v>
      </c>
      <c r="D1306">
        <v>4.0000000000000002E-4</v>
      </c>
      <c r="E1306">
        <v>4.7999999999999996E-3</v>
      </c>
      <c r="F1306">
        <v>2.35E-2</v>
      </c>
      <c r="G1306">
        <v>7.5499999999999998E-2</v>
      </c>
      <c r="H1306">
        <v>0.16250000000000001</v>
      </c>
      <c r="I1306">
        <v>0.25280000000000002</v>
      </c>
      <c r="J1306">
        <v>0.46250000000000002</v>
      </c>
    </row>
    <row r="1307" spans="1:10" x14ac:dyDescent="0.4">
      <c r="A1307">
        <v>13</v>
      </c>
      <c r="B1307">
        <v>0</v>
      </c>
      <c r="C1307">
        <v>0</v>
      </c>
      <c r="D1307">
        <v>1E-4</v>
      </c>
      <c r="E1307">
        <v>2.0999999999999999E-3</v>
      </c>
      <c r="F1307">
        <v>1.12E-2</v>
      </c>
      <c r="G1307">
        <v>3.6200000000000003E-2</v>
      </c>
      <c r="H1307">
        <v>8.7599999999999997E-2</v>
      </c>
      <c r="I1307">
        <v>0.13020000000000001</v>
      </c>
      <c r="J1307">
        <v>0.21909999999999999</v>
      </c>
    </row>
    <row r="1308" spans="1:10" x14ac:dyDescent="0.4">
      <c r="A1308">
        <v>14</v>
      </c>
      <c r="B1308">
        <v>0</v>
      </c>
      <c r="C1308">
        <v>0</v>
      </c>
      <c r="D1308">
        <v>1E-4</v>
      </c>
      <c r="E1308">
        <v>1E-3</v>
      </c>
      <c r="F1308">
        <v>6.3E-3</v>
      </c>
      <c r="G1308">
        <v>1.9699999999999999E-2</v>
      </c>
      <c r="H1308">
        <v>4.5699999999999998E-2</v>
      </c>
      <c r="I1308">
        <v>7.4999999999999997E-2</v>
      </c>
      <c r="J1308">
        <v>0.13980000000000001</v>
      </c>
    </row>
    <row r="1309" spans="1:10" x14ac:dyDescent="0.4">
      <c r="A1309" t="s">
        <v>29</v>
      </c>
      <c r="B1309">
        <v>0</v>
      </c>
      <c r="C1309">
        <v>0</v>
      </c>
      <c r="D1309">
        <v>1E-4</v>
      </c>
      <c r="E1309">
        <v>1.1000000000000001E-3</v>
      </c>
      <c r="F1309">
        <v>7.1999999999999998E-3</v>
      </c>
      <c r="G1309">
        <v>2.3599999999999999E-2</v>
      </c>
      <c r="H1309">
        <v>5.67E-2</v>
      </c>
      <c r="I1309">
        <v>8.8499999999999995E-2</v>
      </c>
      <c r="J1309">
        <v>0.15770000000000001</v>
      </c>
    </row>
    <row r="1311" spans="1:10" x14ac:dyDescent="0.4">
      <c r="A1311">
        <v>2039</v>
      </c>
    </row>
    <row r="1313" spans="1:10" x14ac:dyDescent="0.4">
      <c r="A1313" t="s">
        <v>0</v>
      </c>
      <c r="B1313" s="2">
        <v>0.01</v>
      </c>
      <c r="C1313" s="2">
        <v>0.05</v>
      </c>
      <c r="D1313" s="2">
        <v>0.1</v>
      </c>
      <c r="E1313" s="2">
        <v>0.25</v>
      </c>
      <c r="F1313" s="2">
        <v>0.5</v>
      </c>
      <c r="G1313" s="2">
        <v>0.75</v>
      </c>
      <c r="H1313" s="2">
        <v>0.9</v>
      </c>
      <c r="I1313" s="2">
        <v>0.95</v>
      </c>
      <c r="J1313" s="2">
        <v>0.99</v>
      </c>
    </row>
    <row r="1314" spans="1:10" x14ac:dyDescent="0.4">
      <c r="A1314">
        <v>1</v>
      </c>
      <c r="B1314">
        <v>68.601200000000006</v>
      </c>
      <c r="C1314">
        <v>71.276300000000006</v>
      </c>
      <c r="D1314">
        <v>78.915199999999999</v>
      </c>
      <c r="E1314">
        <v>105.1088</v>
      </c>
      <c r="F1314">
        <v>168.77379999999999</v>
      </c>
      <c r="G1314">
        <v>234.16759999999999</v>
      </c>
      <c r="H1314">
        <v>278.33339999999998</v>
      </c>
      <c r="I1314">
        <v>309.10419999999999</v>
      </c>
      <c r="J1314">
        <v>330.68819999999999</v>
      </c>
    </row>
    <row r="1315" spans="1:10" x14ac:dyDescent="0.4">
      <c r="A1315">
        <v>2</v>
      </c>
      <c r="B1315">
        <v>37.652099999999997</v>
      </c>
      <c r="C1315">
        <v>43.137900000000002</v>
      </c>
      <c r="D1315">
        <v>47.5336</v>
      </c>
      <c r="E1315">
        <v>61.780299999999997</v>
      </c>
      <c r="F1315">
        <v>98.935000000000002</v>
      </c>
      <c r="G1315">
        <v>142.07730000000001</v>
      </c>
      <c r="H1315">
        <v>169.47210000000001</v>
      </c>
      <c r="I1315">
        <v>185.88239999999999</v>
      </c>
      <c r="J1315">
        <v>205.50190000000001</v>
      </c>
    </row>
    <row r="1316" spans="1:10" x14ac:dyDescent="0.4">
      <c r="A1316">
        <v>3</v>
      </c>
      <c r="B1316">
        <v>13.122</v>
      </c>
      <c r="C1316">
        <v>18.4754</v>
      </c>
      <c r="D1316">
        <v>21.57</v>
      </c>
      <c r="E1316">
        <v>29.745100000000001</v>
      </c>
      <c r="F1316">
        <v>50.144599999999997</v>
      </c>
      <c r="G1316">
        <v>71.125500000000002</v>
      </c>
      <c r="H1316">
        <v>90.421899999999994</v>
      </c>
      <c r="I1316">
        <v>100.288</v>
      </c>
      <c r="J1316">
        <v>146.3133</v>
      </c>
    </row>
    <row r="1317" spans="1:10" x14ac:dyDescent="0.4">
      <c r="A1317">
        <v>4</v>
      </c>
      <c r="B1317">
        <v>1.2666999999999999</v>
      </c>
      <c r="C1317">
        <v>5.0602</v>
      </c>
      <c r="D1317">
        <v>7.0743</v>
      </c>
      <c r="E1317">
        <v>11.268800000000001</v>
      </c>
      <c r="F1317">
        <v>20.2288</v>
      </c>
      <c r="G1317">
        <v>33.577300000000001</v>
      </c>
      <c r="H1317">
        <v>44.874499999999998</v>
      </c>
      <c r="I1317">
        <v>49.967300000000002</v>
      </c>
      <c r="J1317">
        <v>62.750900000000001</v>
      </c>
    </row>
    <row r="1318" spans="1:10" x14ac:dyDescent="0.4">
      <c r="A1318">
        <v>5</v>
      </c>
      <c r="B1318">
        <v>7.8200000000000006E-2</v>
      </c>
      <c r="C1318">
        <v>1.1929000000000001</v>
      </c>
      <c r="D1318">
        <v>1.8573</v>
      </c>
      <c r="E1318">
        <v>4.1227999999999998</v>
      </c>
      <c r="F1318">
        <v>8.0940999999999992</v>
      </c>
      <c r="G1318">
        <v>14.765599999999999</v>
      </c>
      <c r="H1318">
        <v>22.093499999999999</v>
      </c>
      <c r="I1318">
        <v>27.224699999999999</v>
      </c>
      <c r="J1318">
        <v>36.022599999999997</v>
      </c>
    </row>
    <row r="1319" spans="1:10" x14ac:dyDescent="0.4">
      <c r="A1319">
        <v>6</v>
      </c>
      <c r="B1319">
        <v>4.7999999999999996E-3</v>
      </c>
      <c r="C1319">
        <v>0.20319999999999999</v>
      </c>
      <c r="D1319">
        <v>0.51129999999999998</v>
      </c>
      <c r="E1319">
        <v>1.528</v>
      </c>
      <c r="F1319">
        <v>3.4367999999999999</v>
      </c>
      <c r="G1319">
        <v>6.7464000000000004</v>
      </c>
      <c r="H1319">
        <v>10.6111</v>
      </c>
      <c r="I1319">
        <v>13.3436</v>
      </c>
      <c r="J1319">
        <v>17.437200000000001</v>
      </c>
    </row>
    <row r="1320" spans="1:10" x14ac:dyDescent="0.4">
      <c r="A1320">
        <v>7</v>
      </c>
      <c r="B1320">
        <v>2.9999999999999997E-4</v>
      </c>
      <c r="C1320">
        <v>4.58E-2</v>
      </c>
      <c r="D1320">
        <v>0.13339999999999999</v>
      </c>
      <c r="E1320">
        <v>0.49609999999999999</v>
      </c>
      <c r="F1320">
        <v>1.3837999999999999</v>
      </c>
      <c r="G1320">
        <v>2.9811999999999999</v>
      </c>
      <c r="H1320">
        <v>5.0168999999999997</v>
      </c>
      <c r="I1320">
        <v>6.4637000000000002</v>
      </c>
      <c r="J1320">
        <v>10.294</v>
      </c>
    </row>
    <row r="1321" spans="1:10" x14ac:dyDescent="0.4">
      <c r="A1321">
        <v>8</v>
      </c>
      <c r="B1321">
        <v>0</v>
      </c>
      <c r="C1321">
        <v>7.4999999999999997E-3</v>
      </c>
      <c r="D1321">
        <v>3.8300000000000001E-2</v>
      </c>
      <c r="E1321">
        <v>0.17349999999999999</v>
      </c>
      <c r="F1321">
        <v>0.58189999999999997</v>
      </c>
      <c r="G1321">
        <v>1.4516</v>
      </c>
      <c r="H1321">
        <v>2.4906000000000001</v>
      </c>
      <c r="I1321">
        <v>3.0988000000000002</v>
      </c>
      <c r="J1321">
        <v>5.3162000000000003</v>
      </c>
    </row>
    <row r="1322" spans="1:10" x14ac:dyDescent="0.4">
      <c r="A1322">
        <v>9</v>
      </c>
      <c r="B1322">
        <v>0</v>
      </c>
      <c r="C1322">
        <v>1.4E-3</v>
      </c>
      <c r="D1322">
        <v>1.04E-2</v>
      </c>
      <c r="E1322">
        <v>6.6500000000000004E-2</v>
      </c>
      <c r="F1322">
        <v>0.24909999999999999</v>
      </c>
      <c r="G1322">
        <v>0.67789999999999995</v>
      </c>
      <c r="H1322">
        <v>1.2665</v>
      </c>
      <c r="I1322">
        <v>1.7723</v>
      </c>
      <c r="J1322">
        <v>2.681</v>
      </c>
    </row>
    <row r="1323" spans="1:10" x14ac:dyDescent="0.4">
      <c r="A1323">
        <v>10</v>
      </c>
      <c r="B1323">
        <v>0</v>
      </c>
      <c r="C1323">
        <v>2.0000000000000001E-4</v>
      </c>
      <c r="D1323">
        <v>3.2000000000000002E-3</v>
      </c>
      <c r="E1323">
        <v>2.7300000000000001E-2</v>
      </c>
      <c r="F1323">
        <v>0.11650000000000001</v>
      </c>
      <c r="G1323">
        <v>0.3211</v>
      </c>
      <c r="H1323">
        <v>0.61860000000000004</v>
      </c>
      <c r="I1323">
        <v>0.88260000000000005</v>
      </c>
      <c r="J1323">
        <v>1.5434000000000001</v>
      </c>
    </row>
    <row r="1324" spans="1:10" x14ac:dyDescent="0.4">
      <c r="A1324">
        <v>11</v>
      </c>
      <c r="B1324">
        <v>0</v>
      </c>
      <c r="C1324">
        <v>1E-4</v>
      </c>
      <c r="D1324">
        <v>1E-3</v>
      </c>
      <c r="E1324">
        <v>1.09E-2</v>
      </c>
      <c r="F1324">
        <v>5.2299999999999999E-2</v>
      </c>
      <c r="G1324">
        <v>0.14749999999999999</v>
      </c>
      <c r="H1324">
        <v>0.31979999999999997</v>
      </c>
      <c r="I1324">
        <v>0.4168</v>
      </c>
      <c r="J1324">
        <v>0.75349999999999995</v>
      </c>
    </row>
    <row r="1325" spans="1:10" x14ac:dyDescent="0.4">
      <c r="A1325">
        <v>12</v>
      </c>
      <c r="B1325">
        <v>0</v>
      </c>
      <c r="C1325">
        <v>0</v>
      </c>
      <c r="D1325">
        <v>2.9999999999999997E-4</v>
      </c>
      <c r="E1325">
        <v>4.3E-3</v>
      </c>
      <c r="F1325">
        <v>2.1600000000000001E-2</v>
      </c>
      <c r="G1325">
        <v>7.1999999999999995E-2</v>
      </c>
      <c r="H1325">
        <v>0.17180000000000001</v>
      </c>
      <c r="I1325">
        <v>0.2394</v>
      </c>
      <c r="J1325">
        <v>0.44379999999999997</v>
      </c>
    </row>
    <row r="1326" spans="1:10" x14ac:dyDescent="0.4">
      <c r="A1326">
        <v>13</v>
      </c>
      <c r="B1326">
        <v>0</v>
      </c>
      <c r="C1326">
        <v>0</v>
      </c>
      <c r="D1326">
        <v>1E-4</v>
      </c>
      <c r="E1326">
        <v>1.8E-3</v>
      </c>
      <c r="F1326">
        <v>0.01</v>
      </c>
      <c r="G1326">
        <v>3.61E-2</v>
      </c>
      <c r="H1326">
        <v>8.1600000000000006E-2</v>
      </c>
      <c r="I1326">
        <v>0.12429999999999999</v>
      </c>
      <c r="J1326">
        <v>0.23669999999999999</v>
      </c>
    </row>
    <row r="1327" spans="1:10" x14ac:dyDescent="0.4">
      <c r="A1327">
        <v>14</v>
      </c>
      <c r="B1327">
        <v>0</v>
      </c>
      <c r="C1327">
        <v>0</v>
      </c>
      <c r="D1327">
        <v>1E-4</v>
      </c>
      <c r="E1327">
        <v>8.0000000000000004E-4</v>
      </c>
      <c r="F1327">
        <v>4.7999999999999996E-3</v>
      </c>
      <c r="G1327">
        <v>1.7299999999999999E-2</v>
      </c>
      <c r="H1327">
        <v>4.3299999999999998E-2</v>
      </c>
      <c r="I1327">
        <v>6.6500000000000004E-2</v>
      </c>
      <c r="J1327">
        <v>0.1205</v>
      </c>
    </row>
    <row r="1328" spans="1:10" x14ac:dyDescent="0.4">
      <c r="A1328" t="s">
        <v>29</v>
      </c>
      <c r="B1328">
        <v>0</v>
      </c>
      <c r="C1328">
        <v>0</v>
      </c>
      <c r="D1328">
        <v>0</v>
      </c>
      <c r="E1328">
        <v>8.9999999999999998E-4</v>
      </c>
      <c r="F1328">
        <v>6.1999999999999998E-3</v>
      </c>
      <c r="G1328">
        <v>2.12E-2</v>
      </c>
      <c r="H1328">
        <v>5.0299999999999997E-2</v>
      </c>
      <c r="I1328">
        <v>7.9699999999999993E-2</v>
      </c>
      <c r="J1328">
        <v>0.14649999999999999</v>
      </c>
    </row>
    <row r="1330" spans="1:10" x14ac:dyDescent="0.4">
      <c r="A1330">
        <v>2040</v>
      </c>
    </row>
    <row r="1332" spans="1:10" x14ac:dyDescent="0.4">
      <c r="A1332" t="s">
        <v>0</v>
      </c>
      <c r="B1332" s="2">
        <v>0.01</v>
      </c>
      <c r="C1332" s="2">
        <v>0.05</v>
      </c>
      <c r="D1332" s="2">
        <v>0.1</v>
      </c>
      <c r="E1332" s="2">
        <v>0.25</v>
      </c>
      <c r="F1332" s="2">
        <v>0.5</v>
      </c>
      <c r="G1332" s="2">
        <v>0.75</v>
      </c>
      <c r="H1332" s="2">
        <v>0.9</v>
      </c>
      <c r="I1332" s="2">
        <v>0.95</v>
      </c>
      <c r="J1332" s="2">
        <v>0.99</v>
      </c>
    </row>
    <row r="1333" spans="1:10" x14ac:dyDescent="0.4">
      <c r="A1333">
        <v>1</v>
      </c>
      <c r="B1333">
        <v>68.518699999999995</v>
      </c>
      <c r="C1333">
        <v>69.617000000000004</v>
      </c>
      <c r="D1333">
        <v>77.253</v>
      </c>
      <c r="E1333">
        <v>103.992</v>
      </c>
      <c r="F1333">
        <v>168.2337</v>
      </c>
      <c r="G1333">
        <v>237.2046</v>
      </c>
      <c r="H1333">
        <v>280.24349999999998</v>
      </c>
      <c r="I1333">
        <v>307.2901</v>
      </c>
      <c r="J1333">
        <v>342.6422</v>
      </c>
    </row>
    <row r="1334" spans="1:10" x14ac:dyDescent="0.4">
      <c r="A1334">
        <v>2</v>
      </c>
      <c r="B1334">
        <v>37.120600000000003</v>
      </c>
      <c r="C1334">
        <v>41.493600000000001</v>
      </c>
      <c r="D1334">
        <v>45.723799999999997</v>
      </c>
      <c r="E1334">
        <v>61.288600000000002</v>
      </c>
      <c r="F1334">
        <v>98.011300000000006</v>
      </c>
      <c r="G1334">
        <v>136.31720000000001</v>
      </c>
      <c r="H1334">
        <v>167.4308</v>
      </c>
      <c r="I1334">
        <v>181.929</v>
      </c>
      <c r="J1334">
        <v>211.40440000000001</v>
      </c>
    </row>
    <row r="1335" spans="1:10" x14ac:dyDescent="0.4">
      <c r="A1335">
        <v>3</v>
      </c>
      <c r="B1335">
        <v>9.1005000000000003</v>
      </c>
      <c r="C1335">
        <v>17.369499999999999</v>
      </c>
      <c r="D1335">
        <v>21.907299999999999</v>
      </c>
      <c r="E1335">
        <v>30.204899999999999</v>
      </c>
      <c r="F1335">
        <v>48.807699999999997</v>
      </c>
      <c r="G1335">
        <v>75.315299999999993</v>
      </c>
      <c r="H1335">
        <v>92.014700000000005</v>
      </c>
      <c r="I1335">
        <v>102.5177</v>
      </c>
      <c r="J1335">
        <v>122.8164</v>
      </c>
    </row>
    <row r="1336" spans="1:10" x14ac:dyDescent="0.4">
      <c r="A1336">
        <v>4</v>
      </c>
      <c r="B1336">
        <v>0.92330000000000001</v>
      </c>
      <c r="C1336">
        <v>5.1224999999999996</v>
      </c>
      <c r="D1336">
        <v>6.9120999999999997</v>
      </c>
      <c r="E1336">
        <v>11.6561</v>
      </c>
      <c r="F1336">
        <v>21.657</v>
      </c>
      <c r="G1336">
        <v>33.391800000000003</v>
      </c>
      <c r="H1336">
        <v>44.936900000000001</v>
      </c>
      <c r="I1336">
        <v>52.601100000000002</v>
      </c>
      <c r="J1336">
        <v>74.032700000000006</v>
      </c>
    </row>
    <row r="1337" spans="1:10" x14ac:dyDescent="0.4">
      <c r="A1337">
        <v>5</v>
      </c>
      <c r="B1337">
        <v>8.6499999999999994E-2</v>
      </c>
      <c r="C1337">
        <v>1.1248</v>
      </c>
      <c r="D1337">
        <v>1.9601999999999999</v>
      </c>
      <c r="E1337">
        <v>4.0427</v>
      </c>
      <c r="F1337">
        <v>8.0657999999999994</v>
      </c>
      <c r="G1337">
        <v>15.0489</v>
      </c>
      <c r="H1337">
        <v>22.028400000000001</v>
      </c>
      <c r="I1337">
        <v>25.736899999999999</v>
      </c>
      <c r="J1337">
        <v>34.270899999999997</v>
      </c>
    </row>
    <row r="1338" spans="1:10" x14ac:dyDescent="0.4">
      <c r="A1338">
        <v>6</v>
      </c>
      <c r="B1338">
        <v>1.6999999999999999E-3</v>
      </c>
      <c r="C1338">
        <v>0.24</v>
      </c>
      <c r="D1338">
        <v>0.47389999999999999</v>
      </c>
      <c r="E1338">
        <v>1.3301000000000001</v>
      </c>
      <c r="F1338">
        <v>3.2094</v>
      </c>
      <c r="G1338">
        <v>6.6128999999999998</v>
      </c>
      <c r="H1338">
        <v>10.654199999999999</v>
      </c>
      <c r="I1338">
        <v>13.673</v>
      </c>
      <c r="J1338">
        <v>19.0274</v>
      </c>
    </row>
    <row r="1339" spans="1:10" x14ac:dyDescent="0.4">
      <c r="A1339">
        <v>7</v>
      </c>
      <c r="B1339">
        <v>5.9999999999999995E-4</v>
      </c>
      <c r="C1339">
        <v>4.48E-2</v>
      </c>
      <c r="D1339">
        <v>0.12959999999999999</v>
      </c>
      <c r="E1339">
        <v>0.49459999999999998</v>
      </c>
      <c r="F1339">
        <v>1.3720000000000001</v>
      </c>
      <c r="G1339">
        <v>2.9771999999999998</v>
      </c>
      <c r="H1339">
        <v>5.0933999999999999</v>
      </c>
      <c r="I1339">
        <v>6.6238000000000001</v>
      </c>
      <c r="J1339">
        <v>9.4835999999999991</v>
      </c>
    </row>
    <row r="1340" spans="1:10" x14ac:dyDescent="0.4">
      <c r="A1340">
        <v>8</v>
      </c>
      <c r="B1340">
        <v>0</v>
      </c>
      <c r="C1340">
        <v>1.0200000000000001E-2</v>
      </c>
      <c r="D1340">
        <v>3.7699999999999997E-2</v>
      </c>
      <c r="E1340">
        <v>0.16470000000000001</v>
      </c>
      <c r="F1340">
        <v>0.57699999999999996</v>
      </c>
      <c r="G1340">
        <v>1.3442000000000001</v>
      </c>
      <c r="H1340">
        <v>2.3754</v>
      </c>
      <c r="I1340">
        <v>3.2787999999999999</v>
      </c>
      <c r="J1340">
        <v>4.9622999999999999</v>
      </c>
    </row>
    <row r="1341" spans="1:10" x14ac:dyDescent="0.4">
      <c r="A1341">
        <v>9</v>
      </c>
      <c r="B1341">
        <v>0</v>
      </c>
      <c r="C1341">
        <v>1.8E-3</v>
      </c>
      <c r="D1341">
        <v>1.11E-2</v>
      </c>
      <c r="E1341">
        <v>5.8799999999999998E-2</v>
      </c>
      <c r="F1341">
        <v>0.23580000000000001</v>
      </c>
      <c r="G1341">
        <v>0.66779999999999995</v>
      </c>
      <c r="H1341">
        <v>1.2406999999999999</v>
      </c>
      <c r="I1341">
        <v>1.5672999999999999</v>
      </c>
      <c r="J1341">
        <v>2.7639</v>
      </c>
    </row>
    <row r="1342" spans="1:10" x14ac:dyDescent="0.4">
      <c r="A1342">
        <v>10</v>
      </c>
      <c r="B1342">
        <v>0</v>
      </c>
      <c r="C1342">
        <v>4.0000000000000002E-4</v>
      </c>
      <c r="D1342">
        <v>3.3999999999999998E-3</v>
      </c>
      <c r="E1342">
        <v>2.1399999999999999E-2</v>
      </c>
      <c r="F1342">
        <v>0.1036</v>
      </c>
      <c r="G1342">
        <v>0.31590000000000001</v>
      </c>
      <c r="H1342">
        <v>0.64500000000000002</v>
      </c>
      <c r="I1342">
        <v>0.86660000000000004</v>
      </c>
      <c r="J1342">
        <v>1.4232</v>
      </c>
    </row>
    <row r="1343" spans="1:10" x14ac:dyDescent="0.4">
      <c r="A1343">
        <v>11</v>
      </c>
      <c r="B1343">
        <v>0</v>
      </c>
      <c r="C1343">
        <v>1E-4</v>
      </c>
      <c r="D1343">
        <v>8.9999999999999998E-4</v>
      </c>
      <c r="E1343">
        <v>9.4000000000000004E-3</v>
      </c>
      <c r="F1343">
        <v>4.8500000000000001E-2</v>
      </c>
      <c r="G1343">
        <v>0.14510000000000001</v>
      </c>
      <c r="H1343">
        <v>0.30409999999999998</v>
      </c>
      <c r="I1343">
        <v>0.43059999999999998</v>
      </c>
      <c r="J1343">
        <v>0.90400000000000003</v>
      </c>
    </row>
    <row r="1344" spans="1:10" x14ac:dyDescent="0.4">
      <c r="A1344">
        <v>12</v>
      </c>
      <c r="B1344">
        <v>0</v>
      </c>
      <c r="C1344">
        <v>0</v>
      </c>
      <c r="D1344">
        <v>2.9999999999999997E-4</v>
      </c>
      <c r="E1344">
        <v>3.8999999999999998E-3</v>
      </c>
      <c r="F1344">
        <v>2.29E-2</v>
      </c>
      <c r="G1344">
        <v>6.83E-2</v>
      </c>
      <c r="H1344">
        <v>0.15509999999999999</v>
      </c>
      <c r="I1344">
        <v>0.2102</v>
      </c>
      <c r="J1344">
        <v>0.3982</v>
      </c>
    </row>
    <row r="1345" spans="1:10" x14ac:dyDescent="0.4">
      <c r="A1345">
        <v>13</v>
      </c>
      <c r="B1345">
        <v>0</v>
      </c>
      <c r="C1345">
        <v>0</v>
      </c>
      <c r="D1345">
        <v>1E-4</v>
      </c>
      <c r="E1345">
        <v>1.5E-3</v>
      </c>
      <c r="F1345">
        <v>9.4999999999999998E-3</v>
      </c>
      <c r="G1345">
        <v>3.3300000000000003E-2</v>
      </c>
      <c r="H1345">
        <v>8.77E-2</v>
      </c>
      <c r="I1345">
        <v>0.12820000000000001</v>
      </c>
      <c r="J1345">
        <v>0.22140000000000001</v>
      </c>
    </row>
    <row r="1346" spans="1:10" x14ac:dyDescent="0.4">
      <c r="A1346">
        <v>14</v>
      </c>
      <c r="B1346">
        <v>0</v>
      </c>
      <c r="C1346">
        <v>0</v>
      </c>
      <c r="D1346">
        <v>0</v>
      </c>
      <c r="E1346">
        <v>6.9999999999999999E-4</v>
      </c>
      <c r="F1346">
        <v>4.3E-3</v>
      </c>
      <c r="G1346">
        <v>1.6799999999999999E-2</v>
      </c>
      <c r="H1346">
        <v>4.1399999999999999E-2</v>
      </c>
      <c r="I1346">
        <v>5.9200000000000003E-2</v>
      </c>
      <c r="J1346">
        <v>0.12230000000000001</v>
      </c>
    </row>
    <row r="1347" spans="1:10" x14ac:dyDescent="0.4">
      <c r="A1347" t="s">
        <v>29</v>
      </c>
      <c r="B1347">
        <v>0</v>
      </c>
      <c r="C1347">
        <v>0</v>
      </c>
      <c r="D1347">
        <v>0</v>
      </c>
      <c r="E1347">
        <v>6.9999999999999999E-4</v>
      </c>
      <c r="F1347">
        <v>5.0000000000000001E-3</v>
      </c>
      <c r="G1347">
        <v>1.9800000000000002E-2</v>
      </c>
      <c r="H1347">
        <v>4.9299999999999997E-2</v>
      </c>
      <c r="I1347">
        <v>7.3099999999999998E-2</v>
      </c>
      <c r="J1347">
        <v>0.16</v>
      </c>
    </row>
    <row r="1349" spans="1:10" x14ac:dyDescent="0.4">
      <c r="A1349">
        <v>2041</v>
      </c>
    </row>
    <row r="1351" spans="1:10" x14ac:dyDescent="0.4">
      <c r="A1351" t="s">
        <v>0</v>
      </c>
      <c r="B1351" s="2">
        <v>0.01</v>
      </c>
      <c r="C1351" s="2">
        <v>0.05</v>
      </c>
      <c r="D1351" s="2">
        <v>0.1</v>
      </c>
      <c r="E1351" s="2">
        <v>0.25</v>
      </c>
      <c r="F1351" s="2">
        <v>0.5</v>
      </c>
      <c r="G1351" s="2">
        <v>0.75</v>
      </c>
      <c r="H1351" s="2">
        <v>0.9</v>
      </c>
      <c r="I1351" s="2">
        <v>0.95</v>
      </c>
      <c r="J1351" s="2">
        <v>0.99</v>
      </c>
    </row>
    <row r="1352" spans="1:10" x14ac:dyDescent="0.4">
      <c r="A1352">
        <v>1</v>
      </c>
      <c r="B1352">
        <v>68.450800000000001</v>
      </c>
      <c r="C1352">
        <v>69.712299999999999</v>
      </c>
      <c r="D1352">
        <v>78.616500000000002</v>
      </c>
      <c r="E1352">
        <v>102.7475</v>
      </c>
      <c r="F1352">
        <v>169.1474</v>
      </c>
      <c r="G1352">
        <v>238.53020000000001</v>
      </c>
      <c r="H1352">
        <v>286.12139999999999</v>
      </c>
      <c r="I1352">
        <v>309.99680000000001</v>
      </c>
      <c r="J1352">
        <v>343.02809999999999</v>
      </c>
    </row>
    <row r="1353" spans="1:10" x14ac:dyDescent="0.4">
      <c r="A1353">
        <v>2</v>
      </c>
      <c r="B1353">
        <v>37.076700000000002</v>
      </c>
      <c r="C1353">
        <v>40.664099999999998</v>
      </c>
      <c r="D1353">
        <v>44.991300000000003</v>
      </c>
      <c r="E1353">
        <v>59.941099999999999</v>
      </c>
      <c r="F1353">
        <v>97.491</v>
      </c>
      <c r="G1353">
        <v>137.83690000000001</v>
      </c>
      <c r="H1353">
        <v>167.64580000000001</v>
      </c>
      <c r="I1353">
        <v>180.5138</v>
      </c>
      <c r="J1353">
        <v>207.4614</v>
      </c>
    </row>
    <row r="1354" spans="1:10" x14ac:dyDescent="0.4">
      <c r="A1354">
        <v>3</v>
      </c>
      <c r="B1354">
        <v>6.8994</v>
      </c>
      <c r="C1354">
        <v>17.9876</v>
      </c>
      <c r="D1354">
        <v>21.921700000000001</v>
      </c>
      <c r="E1354">
        <v>29.434000000000001</v>
      </c>
      <c r="F1354">
        <v>48.685699999999997</v>
      </c>
      <c r="G1354">
        <v>69.940700000000007</v>
      </c>
      <c r="H1354">
        <v>89.914699999999996</v>
      </c>
      <c r="I1354">
        <v>101.15470000000001</v>
      </c>
      <c r="J1354">
        <v>124.51609999999999</v>
      </c>
    </row>
    <row r="1355" spans="1:10" x14ac:dyDescent="0.4">
      <c r="A1355">
        <v>4</v>
      </c>
      <c r="B1355">
        <v>0.30859999999999999</v>
      </c>
      <c r="C1355">
        <v>4.25</v>
      </c>
      <c r="D1355">
        <v>6.9314999999999998</v>
      </c>
      <c r="E1355">
        <v>12.2454</v>
      </c>
      <c r="F1355">
        <v>21.411300000000001</v>
      </c>
      <c r="G1355">
        <v>34.753</v>
      </c>
      <c r="H1355">
        <v>46.394799999999996</v>
      </c>
      <c r="I1355">
        <v>54.598999999999997</v>
      </c>
      <c r="J1355">
        <v>64.580200000000005</v>
      </c>
    </row>
    <row r="1356" spans="1:10" x14ac:dyDescent="0.4">
      <c r="A1356">
        <v>5</v>
      </c>
      <c r="B1356">
        <v>1.7899999999999999E-2</v>
      </c>
      <c r="C1356">
        <v>1.1373</v>
      </c>
      <c r="D1356">
        <v>1.9286000000000001</v>
      </c>
      <c r="E1356">
        <v>4.1237000000000004</v>
      </c>
      <c r="F1356">
        <v>8.7287999999999997</v>
      </c>
      <c r="G1356">
        <v>15.1463</v>
      </c>
      <c r="H1356">
        <v>21.791899999999998</v>
      </c>
      <c r="I1356">
        <v>26.581099999999999</v>
      </c>
      <c r="J1356">
        <v>39.522500000000001</v>
      </c>
    </row>
    <row r="1357" spans="1:10" x14ac:dyDescent="0.4">
      <c r="A1357">
        <v>6</v>
      </c>
      <c r="B1357">
        <v>2.3E-3</v>
      </c>
      <c r="C1357">
        <v>0.2072</v>
      </c>
      <c r="D1357">
        <v>0.49459999999999998</v>
      </c>
      <c r="E1357">
        <v>1.3669</v>
      </c>
      <c r="F1357">
        <v>3.2679</v>
      </c>
      <c r="G1357">
        <v>6.8398000000000003</v>
      </c>
      <c r="H1357">
        <v>10.6248</v>
      </c>
      <c r="I1357">
        <v>12.950799999999999</v>
      </c>
      <c r="J1357">
        <v>17.555900000000001</v>
      </c>
    </row>
    <row r="1358" spans="1:10" x14ac:dyDescent="0.4">
      <c r="A1358">
        <v>7</v>
      </c>
      <c r="B1358">
        <v>5.9999999999999995E-4</v>
      </c>
      <c r="C1358">
        <v>4.1200000000000001E-2</v>
      </c>
      <c r="D1358">
        <v>0.1196</v>
      </c>
      <c r="E1358">
        <v>0.4541</v>
      </c>
      <c r="F1358">
        <v>1.2938000000000001</v>
      </c>
      <c r="G1358">
        <v>2.9049</v>
      </c>
      <c r="H1358">
        <v>5.1620999999999997</v>
      </c>
      <c r="I1358">
        <v>6.6708999999999996</v>
      </c>
      <c r="J1358">
        <v>10.0223</v>
      </c>
    </row>
    <row r="1359" spans="1:10" x14ac:dyDescent="0.4">
      <c r="A1359">
        <v>8</v>
      </c>
      <c r="B1359">
        <v>0</v>
      </c>
      <c r="C1359">
        <v>7.6E-3</v>
      </c>
      <c r="D1359">
        <v>3.5099999999999999E-2</v>
      </c>
      <c r="E1359">
        <v>0.1633</v>
      </c>
      <c r="F1359">
        <v>0.56869999999999998</v>
      </c>
      <c r="G1359">
        <v>1.3492999999999999</v>
      </c>
      <c r="H1359">
        <v>2.4590000000000001</v>
      </c>
      <c r="I1359">
        <v>3.214</v>
      </c>
      <c r="J1359">
        <v>5.0452000000000004</v>
      </c>
    </row>
    <row r="1360" spans="1:10" x14ac:dyDescent="0.4">
      <c r="A1360">
        <v>9</v>
      </c>
      <c r="B1360">
        <v>0</v>
      </c>
      <c r="C1360">
        <v>1.8E-3</v>
      </c>
      <c r="D1360">
        <v>9.5999999999999992E-3</v>
      </c>
      <c r="E1360">
        <v>5.6099999999999997E-2</v>
      </c>
      <c r="F1360">
        <v>0.22600000000000001</v>
      </c>
      <c r="G1360">
        <v>0.60140000000000005</v>
      </c>
      <c r="H1360">
        <v>1.1645000000000001</v>
      </c>
      <c r="I1360">
        <v>1.6876</v>
      </c>
      <c r="J1360">
        <v>2.556</v>
      </c>
    </row>
    <row r="1361" spans="1:10" x14ac:dyDescent="0.4">
      <c r="A1361">
        <v>10</v>
      </c>
      <c r="B1361">
        <v>0</v>
      </c>
      <c r="C1361">
        <v>4.0000000000000002E-4</v>
      </c>
      <c r="D1361">
        <v>3.0999999999999999E-3</v>
      </c>
      <c r="E1361">
        <v>2.0500000000000001E-2</v>
      </c>
      <c r="F1361">
        <v>9.8199999999999996E-2</v>
      </c>
      <c r="G1361">
        <v>0.31109999999999999</v>
      </c>
      <c r="H1361">
        <v>0.61550000000000005</v>
      </c>
      <c r="I1361">
        <v>0.79879999999999995</v>
      </c>
      <c r="J1361">
        <v>1.4607000000000001</v>
      </c>
    </row>
    <row r="1362" spans="1:10" x14ac:dyDescent="0.4">
      <c r="A1362">
        <v>11</v>
      </c>
      <c r="B1362">
        <v>0</v>
      </c>
      <c r="C1362">
        <v>1E-4</v>
      </c>
      <c r="D1362">
        <v>8.9999999999999998E-4</v>
      </c>
      <c r="E1362">
        <v>7.1000000000000004E-3</v>
      </c>
      <c r="F1362">
        <v>4.5400000000000003E-2</v>
      </c>
      <c r="G1362">
        <v>0.1462</v>
      </c>
      <c r="H1362">
        <v>0.33279999999999998</v>
      </c>
      <c r="I1362">
        <v>0.44619999999999999</v>
      </c>
      <c r="J1362">
        <v>0.79949999999999999</v>
      </c>
    </row>
    <row r="1363" spans="1:10" x14ac:dyDescent="0.4">
      <c r="A1363">
        <v>12</v>
      </c>
      <c r="B1363">
        <v>0</v>
      </c>
      <c r="C1363">
        <v>0</v>
      </c>
      <c r="D1363">
        <v>2.9999999999999997E-4</v>
      </c>
      <c r="E1363">
        <v>3.0000000000000001E-3</v>
      </c>
      <c r="F1363">
        <v>2.1399999999999999E-2</v>
      </c>
      <c r="G1363">
        <v>6.8599999999999994E-2</v>
      </c>
      <c r="H1363">
        <v>0.14760000000000001</v>
      </c>
      <c r="I1363">
        <v>0.218</v>
      </c>
      <c r="J1363">
        <v>0.48770000000000002</v>
      </c>
    </row>
    <row r="1364" spans="1:10" x14ac:dyDescent="0.4">
      <c r="A1364">
        <v>13</v>
      </c>
      <c r="B1364">
        <v>0</v>
      </c>
      <c r="C1364">
        <v>0</v>
      </c>
      <c r="D1364">
        <v>1E-4</v>
      </c>
      <c r="E1364">
        <v>1.2999999999999999E-3</v>
      </c>
      <c r="F1364">
        <v>1.01E-2</v>
      </c>
      <c r="G1364">
        <v>3.2800000000000003E-2</v>
      </c>
      <c r="H1364">
        <v>7.8700000000000006E-2</v>
      </c>
      <c r="I1364">
        <v>0.1118</v>
      </c>
      <c r="J1364">
        <v>0.20960000000000001</v>
      </c>
    </row>
    <row r="1365" spans="1:10" x14ac:dyDescent="0.4">
      <c r="A1365">
        <v>14</v>
      </c>
      <c r="B1365">
        <v>0</v>
      </c>
      <c r="C1365">
        <v>0</v>
      </c>
      <c r="D1365">
        <v>0</v>
      </c>
      <c r="E1365">
        <v>5.0000000000000001E-4</v>
      </c>
      <c r="F1365">
        <v>4.3E-3</v>
      </c>
      <c r="G1365">
        <v>1.5100000000000001E-2</v>
      </c>
      <c r="H1365">
        <v>4.4699999999999997E-2</v>
      </c>
      <c r="I1365">
        <v>6.8500000000000005E-2</v>
      </c>
      <c r="J1365">
        <v>0.1202</v>
      </c>
    </row>
    <row r="1366" spans="1:10" x14ac:dyDescent="0.4">
      <c r="A1366" t="s">
        <v>29</v>
      </c>
      <c r="B1366">
        <v>0</v>
      </c>
      <c r="C1366">
        <v>0</v>
      </c>
      <c r="D1366">
        <v>0</v>
      </c>
      <c r="E1366">
        <v>5.9999999999999995E-4</v>
      </c>
      <c r="F1366">
        <v>4.5999999999999999E-3</v>
      </c>
      <c r="G1366">
        <v>1.8599999999999998E-2</v>
      </c>
      <c r="H1366">
        <v>4.4999999999999998E-2</v>
      </c>
      <c r="I1366">
        <v>6.93E-2</v>
      </c>
      <c r="J1366">
        <v>0.13200000000000001</v>
      </c>
    </row>
    <row r="1368" spans="1:10" x14ac:dyDescent="0.4">
      <c r="A1368">
        <v>2042</v>
      </c>
    </row>
    <row r="1370" spans="1:10" x14ac:dyDescent="0.4">
      <c r="A1370" t="s">
        <v>0</v>
      </c>
      <c r="B1370" s="2">
        <v>0.01</v>
      </c>
      <c r="C1370" s="2">
        <v>0.05</v>
      </c>
      <c r="D1370" s="2">
        <v>0.1</v>
      </c>
      <c r="E1370" s="2">
        <v>0.25</v>
      </c>
      <c r="F1370" s="2">
        <v>0.5</v>
      </c>
      <c r="G1370" s="2">
        <v>0.75</v>
      </c>
      <c r="H1370" s="2">
        <v>0.9</v>
      </c>
      <c r="I1370" s="2">
        <v>0.95</v>
      </c>
      <c r="J1370" s="2">
        <v>0.99</v>
      </c>
    </row>
    <row r="1371" spans="1:10" x14ac:dyDescent="0.4">
      <c r="A1371">
        <v>1</v>
      </c>
      <c r="B1371">
        <v>68.709900000000005</v>
      </c>
      <c r="C1371">
        <v>69.892899999999997</v>
      </c>
      <c r="D1371">
        <v>79.693299999999994</v>
      </c>
      <c r="E1371">
        <v>107.093</v>
      </c>
      <c r="F1371">
        <v>168.63829999999999</v>
      </c>
      <c r="G1371">
        <v>235.97669999999999</v>
      </c>
      <c r="H1371">
        <v>278.12110000000001</v>
      </c>
      <c r="I1371">
        <v>302.81779999999998</v>
      </c>
      <c r="J1371">
        <v>322.8725</v>
      </c>
    </row>
    <row r="1372" spans="1:10" x14ac:dyDescent="0.4">
      <c r="A1372">
        <v>2</v>
      </c>
      <c r="B1372">
        <v>35.390700000000002</v>
      </c>
      <c r="C1372">
        <v>41.231000000000002</v>
      </c>
      <c r="D1372">
        <v>45.085099999999997</v>
      </c>
      <c r="E1372">
        <v>61.045400000000001</v>
      </c>
      <c r="F1372">
        <v>99.367099999999994</v>
      </c>
      <c r="G1372">
        <v>142.0478</v>
      </c>
      <c r="H1372">
        <v>170.39660000000001</v>
      </c>
      <c r="I1372">
        <v>186.41849999999999</v>
      </c>
      <c r="J1372">
        <v>215.10059999999999</v>
      </c>
    </row>
    <row r="1373" spans="1:10" x14ac:dyDescent="0.4">
      <c r="A1373">
        <v>3</v>
      </c>
      <c r="B1373">
        <v>6.8182999999999998</v>
      </c>
      <c r="C1373">
        <v>17.292999999999999</v>
      </c>
      <c r="D1373">
        <v>21.206299999999999</v>
      </c>
      <c r="E1373">
        <v>28.6889</v>
      </c>
      <c r="F1373">
        <v>49.051699999999997</v>
      </c>
      <c r="G1373">
        <v>71.821700000000007</v>
      </c>
      <c r="H1373">
        <v>92.032700000000006</v>
      </c>
      <c r="I1373">
        <v>101.9919</v>
      </c>
      <c r="J1373">
        <v>118.76300000000001</v>
      </c>
    </row>
    <row r="1374" spans="1:10" x14ac:dyDescent="0.4">
      <c r="A1374">
        <v>4</v>
      </c>
      <c r="B1374">
        <v>0.44209999999999999</v>
      </c>
      <c r="C1374">
        <v>4.5199999999999996</v>
      </c>
      <c r="D1374">
        <v>7.0781999999999998</v>
      </c>
      <c r="E1374">
        <v>11.7578</v>
      </c>
      <c r="F1374">
        <v>20.2837</v>
      </c>
      <c r="G1374">
        <v>33.297699999999999</v>
      </c>
      <c r="H1374">
        <v>45.305399999999999</v>
      </c>
      <c r="I1374">
        <v>52.713799999999999</v>
      </c>
      <c r="J1374">
        <v>65.528099999999995</v>
      </c>
    </row>
    <row r="1375" spans="1:10" x14ac:dyDescent="0.4">
      <c r="A1375">
        <v>5</v>
      </c>
      <c r="B1375">
        <v>5.0000000000000001E-3</v>
      </c>
      <c r="C1375">
        <v>0.87060000000000004</v>
      </c>
      <c r="D1375">
        <v>1.8869</v>
      </c>
      <c r="E1375">
        <v>4.5689000000000002</v>
      </c>
      <c r="F1375">
        <v>8.8968000000000007</v>
      </c>
      <c r="G1375">
        <v>15.7182</v>
      </c>
      <c r="H1375">
        <v>22.247800000000002</v>
      </c>
      <c r="I1375">
        <v>27.613299999999999</v>
      </c>
      <c r="J1375">
        <v>36.174900000000001</v>
      </c>
    </row>
    <row r="1376" spans="1:10" x14ac:dyDescent="0.4">
      <c r="A1376">
        <v>6</v>
      </c>
      <c r="B1376">
        <v>1E-3</v>
      </c>
      <c r="C1376">
        <v>0.2165</v>
      </c>
      <c r="D1376">
        <v>0.50639999999999996</v>
      </c>
      <c r="E1376">
        <v>1.3764000000000001</v>
      </c>
      <c r="F1376">
        <v>3.4904999999999999</v>
      </c>
      <c r="G1376">
        <v>6.7897999999999996</v>
      </c>
      <c r="H1376">
        <v>10.329000000000001</v>
      </c>
      <c r="I1376">
        <v>12.488099999999999</v>
      </c>
      <c r="J1376">
        <v>20.3979</v>
      </c>
    </row>
    <row r="1377" spans="1:10" x14ac:dyDescent="0.4">
      <c r="A1377">
        <v>7</v>
      </c>
      <c r="B1377">
        <v>5.0000000000000001E-4</v>
      </c>
      <c r="C1377">
        <v>3.6200000000000003E-2</v>
      </c>
      <c r="D1377">
        <v>0.113</v>
      </c>
      <c r="E1377">
        <v>0.437</v>
      </c>
      <c r="F1377">
        <v>1.3158000000000001</v>
      </c>
      <c r="G1377">
        <v>2.9744999999999999</v>
      </c>
      <c r="H1377">
        <v>5.0895999999999999</v>
      </c>
      <c r="I1377">
        <v>6.4710999999999999</v>
      </c>
      <c r="J1377">
        <v>9.2523999999999997</v>
      </c>
    </row>
    <row r="1378" spans="1:10" x14ac:dyDescent="0.4">
      <c r="A1378">
        <v>8</v>
      </c>
      <c r="B1378">
        <v>1E-4</v>
      </c>
      <c r="C1378">
        <v>7.1999999999999998E-3</v>
      </c>
      <c r="D1378">
        <v>2.9899999999999999E-2</v>
      </c>
      <c r="E1378">
        <v>0.16850000000000001</v>
      </c>
      <c r="F1378">
        <v>0.53549999999999998</v>
      </c>
      <c r="G1378">
        <v>1.3029999999999999</v>
      </c>
      <c r="H1378">
        <v>2.4963000000000002</v>
      </c>
      <c r="I1378">
        <v>3.2456999999999998</v>
      </c>
      <c r="J1378">
        <v>5.4128999999999996</v>
      </c>
    </row>
    <row r="1379" spans="1:10" x14ac:dyDescent="0.4">
      <c r="A1379">
        <v>9</v>
      </c>
      <c r="B1379">
        <v>0</v>
      </c>
      <c r="C1379">
        <v>1.6999999999999999E-3</v>
      </c>
      <c r="D1379">
        <v>9.4999999999999998E-3</v>
      </c>
      <c r="E1379">
        <v>5.7200000000000001E-2</v>
      </c>
      <c r="F1379">
        <v>0.24149999999999999</v>
      </c>
      <c r="G1379">
        <v>0.64039999999999997</v>
      </c>
      <c r="H1379">
        <v>1.1593</v>
      </c>
      <c r="I1379">
        <v>1.6206</v>
      </c>
      <c r="J1379">
        <v>2.7766999999999999</v>
      </c>
    </row>
    <row r="1380" spans="1:10" x14ac:dyDescent="0.4">
      <c r="A1380">
        <v>10</v>
      </c>
      <c r="B1380">
        <v>0</v>
      </c>
      <c r="C1380">
        <v>5.0000000000000001E-4</v>
      </c>
      <c r="D1380">
        <v>2.7000000000000001E-3</v>
      </c>
      <c r="E1380">
        <v>1.9199999999999998E-2</v>
      </c>
      <c r="F1380">
        <v>9.2999999999999999E-2</v>
      </c>
      <c r="G1380">
        <v>0.28839999999999999</v>
      </c>
      <c r="H1380">
        <v>0.57979999999999998</v>
      </c>
      <c r="I1380">
        <v>0.84789999999999999</v>
      </c>
      <c r="J1380">
        <v>1.3747</v>
      </c>
    </row>
    <row r="1381" spans="1:10" x14ac:dyDescent="0.4">
      <c r="A1381">
        <v>11</v>
      </c>
      <c r="B1381">
        <v>0</v>
      </c>
      <c r="C1381">
        <v>1E-4</v>
      </c>
      <c r="D1381">
        <v>1E-3</v>
      </c>
      <c r="E1381">
        <v>7.4000000000000003E-3</v>
      </c>
      <c r="F1381">
        <v>4.3099999999999999E-2</v>
      </c>
      <c r="G1381">
        <v>0.1492</v>
      </c>
      <c r="H1381">
        <v>0.30059999999999998</v>
      </c>
      <c r="I1381">
        <v>0.4113</v>
      </c>
      <c r="J1381">
        <v>0.78400000000000003</v>
      </c>
    </row>
    <row r="1382" spans="1:10" x14ac:dyDescent="0.4">
      <c r="A1382">
        <v>12</v>
      </c>
      <c r="B1382">
        <v>0</v>
      </c>
      <c r="C1382">
        <v>0</v>
      </c>
      <c r="D1382">
        <v>4.0000000000000002E-4</v>
      </c>
      <c r="E1382">
        <v>2.8999999999999998E-3</v>
      </c>
      <c r="F1382">
        <v>1.9199999999999998E-2</v>
      </c>
      <c r="G1382">
        <v>6.8199999999999997E-2</v>
      </c>
      <c r="H1382">
        <v>0.1583</v>
      </c>
      <c r="I1382">
        <v>0.224</v>
      </c>
      <c r="J1382">
        <v>0.4672</v>
      </c>
    </row>
    <row r="1383" spans="1:10" x14ac:dyDescent="0.4">
      <c r="A1383">
        <v>13</v>
      </c>
      <c r="B1383">
        <v>0</v>
      </c>
      <c r="C1383">
        <v>0</v>
      </c>
      <c r="D1383">
        <v>1E-4</v>
      </c>
      <c r="E1383">
        <v>1.1000000000000001E-3</v>
      </c>
      <c r="F1383">
        <v>8.9999999999999993E-3</v>
      </c>
      <c r="G1383">
        <v>3.3300000000000003E-2</v>
      </c>
      <c r="H1383">
        <v>6.9199999999999998E-2</v>
      </c>
      <c r="I1383">
        <v>0.121</v>
      </c>
      <c r="J1383">
        <v>0.24709999999999999</v>
      </c>
    </row>
    <row r="1384" spans="1:10" x14ac:dyDescent="0.4">
      <c r="A1384">
        <v>14</v>
      </c>
      <c r="B1384">
        <v>0</v>
      </c>
      <c r="C1384">
        <v>0</v>
      </c>
      <c r="D1384">
        <v>0</v>
      </c>
      <c r="E1384">
        <v>5.0000000000000001E-4</v>
      </c>
      <c r="F1384">
        <v>4.4000000000000003E-3</v>
      </c>
      <c r="G1384">
        <v>1.5699999999999999E-2</v>
      </c>
      <c r="H1384">
        <v>3.9E-2</v>
      </c>
      <c r="I1384">
        <v>5.7500000000000002E-2</v>
      </c>
      <c r="J1384">
        <v>0.1132</v>
      </c>
    </row>
    <row r="1385" spans="1:10" x14ac:dyDescent="0.4">
      <c r="A1385" t="s">
        <v>29</v>
      </c>
      <c r="B1385">
        <v>0</v>
      </c>
      <c r="C1385">
        <v>0</v>
      </c>
      <c r="D1385">
        <v>0</v>
      </c>
      <c r="E1385">
        <v>4.0000000000000002E-4</v>
      </c>
      <c r="F1385">
        <v>4.1999999999999997E-3</v>
      </c>
      <c r="G1385">
        <v>1.7000000000000001E-2</v>
      </c>
      <c r="H1385">
        <v>4.5400000000000003E-2</v>
      </c>
      <c r="I1385">
        <v>6.9400000000000003E-2</v>
      </c>
      <c r="J1385">
        <v>0.13850000000000001</v>
      </c>
    </row>
    <row r="1387" spans="1:10" x14ac:dyDescent="0.4">
      <c r="A1387">
        <v>2043</v>
      </c>
    </row>
    <row r="1389" spans="1:10" x14ac:dyDescent="0.4">
      <c r="A1389" t="s">
        <v>0</v>
      </c>
      <c r="B1389" s="2">
        <v>0.01</v>
      </c>
      <c r="C1389" s="2">
        <v>0.05</v>
      </c>
      <c r="D1389" s="2">
        <v>0.1</v>
      </c>
      <c r="E1389" s="2">
        <v>0.25</v>
      </c>
      <c r="F1389" s="2">
        <v>0.5</v>
      </c>
      <c r="G1389" s="2">
        <v>0.75</v>
      </c>
      <c r="H1389" s="2">
        <v>0.9</v>
      </c>
      <c r="I1389" s="2">
        <v>0.95</v>
      </c>
      <c r="J1389" s="2">
        <v>0.99</v>
      </c>
    </row>
    <row r="1390" spans="1:10" x14ac:dyDescent="0.4">
      <c r="A1390">
        <v>1</v>
      </c>
      <c r="B1390">
        <v>68.559700000000007</v>
      </c>
      <c r="C1390">
        <v>69.736699999999999</v>
      </c>
      <c r="D1390">
        <v>78.373599999999996</v>
      </c>
      <c r="E1390">
        <v>103.0548</v>
      </c>
      <c r="F1390">
        <v>167.9357</v>
      </c>
      <c r="G1390">
        <v>238.30500000000001</v>
      </c>
      <c r="H1390">
        <v>279.61860000000001</v>
      </c>
      <c r="I1390">
        <v>303.93279999999999</v>
      </c>
      <c r="J1390">
        <v>323.82600000000002</v>
      </c>
    </row>
    <row r="1391" spans="1:10" x14ac:dyDescent="0.4">
      <c r="A1391">
        <v>2</v>
      </c>
      <c r="B1391">
        <v>36.0809</v>
      </c>
      <c r="C1391">
        <v>41.2502</v>
      </c>
      <c r="D1391">
        <v>45.117600000000003</v>
      </c>
      <c r="E1391">
        <v>61.384999999999998</v>
      </c>
      <c r="F1391">
        <v>97.724599999999995</v>
      </c>
      <c r="G1391">
        <v>138.66249999999999</v>
      </c>
      <c r="H1391">
        <v>166.87440000000001</v>
      </c>
      <c r="I1391">
        <v>180.4829</v>
      </c>
      <c r="J1391">
        <v>201.42179999999999</v>
      </c>
    </row>
    <row r="1392" spans="1:10" x14ac:dyDescent="0.4">
      <c r="A1392">
        <v>3</v>
      </c>
      <c r="B1392">
        <v>6.0179</v>
      </c>
      <c r="C1392">
        <v>16.295100000000001</v>
      </c>
      <c r="D1392">
        <v>20.555199999999999</v>
      </c>
      <c r="E1392">
        <v>29.03</v>
      </c>
      <c r="F1392">
        <v>48.632599999999996</v>
      </c>
      <c r="G1392">
        <v>74.510099999999994</v>
      </c>
      <c r="H1392">
        <v>93.075199999999995</v>
      </c>
      <c r="I1392">
        <v>103.24850000000001</v>
      </c>
      <c r="J1392">
        <v>127.04859999999999</v>
      </c>
    </row>
    <row r="1393" spans="1:10" x14ac:dyDescent="0.4">
      <c r="A1393">
        <v>4</v>
      </c>
      <c r="B1393">
        <v>0.25219999999999998</v>
      </c>
      <c r="C1393">
        <v>3.9708999999999999</v>
      </c>
      <c r="D1393">
        <v>6.4504000000000001</v>
      </c>
      <c r="E1393">
        <v>11.414</v>
      </c>
      <c r="F1393">
        <v>21.0611</v>
      </c>
      <c r="G1393">
        <v>33.862699999999997</v>
      </c>
      <c r="H1393">
        <v>46.329900000000002</v>
      </c>
      <c r="I1393">
        <v>53.009599999999999</v>
      </c>
      <c r="J1393">
        <v>66.047499999999999</v>
      </c>
    </row>
    <row r="1394" spans="1:10" x14ac:dyDescent="0.4">
      <c r="A1394">
        <v>5</v>
      </c>
      <c r="B1394">
        <v>7.3000000000000001E-3</v>
      </c>
      <c r="C1394">
        <v>0.78649999999999998</v>
      </c>
      <c r="D1394">
        <v>1.7781</v>
      </c>
      <c r="E1394">
        <v>4.1966000000000001</v>
      </c>
      <c r="F1394">
        <v>8.3897999999999993</v>
      </c>
      <c r="G1394">
        <v>14.9734</v>
      </c>
      <c r="H1394">
        <v>22.039400000000001</v>
      </c>
      <c r="I1394">
        <v>26.504799999999999</v>
      </c>
      <c r="J1394">
        <v>35.610999999999997</v>
      </c>
    </row>
    <row r="1395" spans="1:10" x14ac:dyDescent="0.4">
      <c r="A1395">
        <v>6</v>
      </c>
      <c r="B1395">
        <v>1E-3</v>
      </c>
      <c r="C1395">
        <v>0.1555</v>
      </c>
      <c r="D1395">
        <v>0.39979999999999999</v>
      </c>
      <c r="E1395">
        <v>1.5462</v>
      </c>
      <c r="F1395">
        <v>3.4813999999999998</v>
      </c>
      <c r="G1395">
        <v>6.8129</v>
      </c>
      <c r="H1395">
        <v>10.7906</v>
      </c>
      <c r="I1395">
        <v>14.2349</v>
      </c>
      <c r="J1395">
        <v>19.3306</v>
      </c>
    </row>
    <row r="1396" spans="1:10" x14ac:dyDescent="0.4">
      <c r="A1396">
        <v>7</v>
      </c>
      <c r="B1396">
        <v>1E-4</v>
      </c>
      <c r="C1396">
        <v>3.49E-2</v>
      </c>
      <c r="D1396">
        <v>0.12089999999999999</v>
      </c>
      <c r="E1396">
        <v>0.47889999999999999</v>
      </c>
      <c r="F1396">
        <v>1.4220999999999999</v>
      </c>
      <c r="G1396">
        <v>3.0246</v>
      </c>
      <c r="H1396">
        <v>5.1534000000000004</v>
      </c>
      <c r="I1396">
        <v>6.4272</v>
      </c>
      <c r="J1396">
        <v>10.281599999999999</v>
      </c>
    </row>
    <row r="1397" spans="1:10" x14ac:dyDescent="0.4">
      <c r="A1397">
        <v>8</v>
      </c>
      <c r="B1397">
        <v>0</v>
      </c>
      <c r="C1397">
        <v>6.0000000000000001E-3</v>
      </c>
      <c r="D1397">
        <v>2.7799999999999998E-2</v>
      </c>
      <c r="E1397">
        <v>0.15559999999999999</v>
      </c>
      <c r="F1397">
        <v>0.54710000000000003</v>
      </c>
      <c r="G1397">
        <v>1.3346</v>
      </c>
      <c r="H1397">
        <v>2.4944000000000002</v>
      </c>
      <c r="I1397">
        <v>3.2864</v>
      </c>
      <c r="J1397">
        <v>4.7897999999999996</v>
      </c>
    </row>
    <row r="1398" spans="1:10" x14ac:dyDescent="0.4">
      <c r="A1398">
        <v>9</v>
      </c>
      <c r="B1398">
        <v>0</v>
      </c>
      <c r="C1398">
        <v>1.1999999999999999E-3</v>
      </c>
      <c r="D1398">
        <v>8.6999999999999994E-3</v>
      </c>
      <c r="E1398">
        <v>5.5500000000000001E-2</v>
      </c>
      <c r="F1398">
        <v>0.2268</v>
      </c>
      <c r="G1398">
        <v>0.60709999999999997</v>
      </c>
      <c r="H1398">
        <v>1.1647000000000001</v>
      </c>
      <c r="I1398">
        <v>1.5809</v>
      </c>
      <c r="J1398">
        <v>2.8929</v>
      </c>
    </row>
    <row r="1399" spans="1:10" x14ac:dyDescent="0.4">
      <c r="A1399">
        <v>10</v>
      </c>
      <c r="B1399">
        <v>0</v>
      </c>
      <c r="C1399">
        <v>5.0000000000000001E-4</v>
      </c>
      <c r="D1399">
        <v>2.3999999999999998E-3</v>
      </c>
      <c r="E1399">
        <v>1.9800000000000002E-2</v>
      </c>
      <c r="F1399">
        <v>0.1031</v>
      </c>
      <c r="G1399">
        <v>0.28989999999999999</v>
      </c>
      <c r="H1399">
        <v>0.56459999999999999</v>
      </c>
      <c r="I1399">
        <v>0.80169999999999997</v>
      </c>
      <c r="J1399">
        <v>1.5455000000000001</v>
      </c>
    </row>
    <row r="1400" spans="1:10" x14ac:dyDescent="0.4">
      <c r="A1400">
        <v>11</v>
      </c>
      <c r="B1400">
        <v>0</v>
      </c>
      <c r="C1400">
        <v>1E-4</v>
      </c>
      <c r="D1400">
        <v>8.0000000000000004E-4</v>
      </c>
      <c r="E1400">
        <v>6.8999999999999999E-3</v>
      </c>
      <c r="F1400">
        <v>3.8899999999999997E-2</v>
      </c>
      <c r="G1400">
        <v>0.13539999999999999</v>
      </c>
      <c r="H1400">
        <v>0.28820000000000001</v>
      </c>
      <c r="I1400">
        <v>0.40339999999999998</v>
      </c>
      <c r="J1400">
        <v>0.70579999999999998</v>
      </c>
    </row>
    <row r="1401" spans="1:10" x14ac:dyDescent="0.4">
      <c r="A1401">
        <v>12</v>
      </c>
      <c r="B1401">
        <v>0</v>
      </c>
      <c r="C1401">
        <v>0</v>
      </c>
      <c r="D1401">
        <v>2.9999999999999997E-4</v>
      </c>
      <c r="E1401">
        <v>2.7000000000000001E-3</v>
      </c>
      <c r="F1401">
        <v>1.84E-2</v>
      </c>
      <c r="G1401">
        <v>6.7799999999999999E-2</v>
      </c>
      <c r="H1401">
        <v>0.15179999999999999</v>
      </c>
      <c r="I1401">
        <v>0.214</v>
      </c>
      <c r="J1401">
        <v>0.42870000000000003</v>
      </c>
    </row>
    <row r="1402" spans="1:10" x14ac:dyDescent="0.4">
      <c r="A1402">
        <v>13</v>
      </c>
      <c r="B1402">
        <v>0</v>
      </c>
      <c r="C1402">
        <v>0</v>
      </c>
      <c r="D1402">
        <v>1E-4</v>
      </c>
      <c r="E1402">
        <v>1E-3</v>
      </c>
      <c r="F1402">
        <v>8.3999999999999995E-3</v>
      </c>
      <c r="G1402">
        <v>3.3300000000000003E-2</v>
      </c>
      <c r="H1402">
        <v>7.8E-2</v>
      </c>
      <c r="I1402">
        <v>0.1182</v>
      </c>
      <c r="J1402">
        <v>0.25769999999999998</v>
      </c>
    </row>
    <row r="1403" spans="1:10" x14ac:dyDescent="0.4">
      <c r="A1403">
        <v>14</v>
      </c>
      <c r="B1403">
        <v>0</v>
      </c>
      <c r="C1403">
        <v>0</v>
      </c>
      <c r="D1403">
        <v>0</v>
      </c>
      <c r="E1403">
        <v>5.0000000000000001E-4</v>
      </c>
      <c r="F1403">
        <v>3.8E-3</v>
      </c>
      <c r="G1403">
        <v>1.6199999999999999E-2</v>
      </c>
      <c r="H1403">
        <v>3.5499999999999997E-2</v>
      </c>
      <c r="I1403">
        <v>6.1499999999999999E-2</v>
      </c>
      <c r="J1403">
        <v>0.13289999999999999</v>
      </c>
    </row>
    <row r="1404" spans="1:10" x14ac:dyDescent="0.4">
      <c r="A1404" t="s">
        <v>29</v>
      </c>
      <c r="B1404">
        <v>0</v>
      </c>
      <c r="C1404">
        <v>0</v>
      </c>
      <c r="D1404">
        <v>0</v>
      </c>
      <c r="E1404">
        <v>4.0000000000000002E-4</v>
      </c>
      <c r="F1404">
        <v>4.1999999999999997E-3</v>
      </c>
      <c r="G1404">
        <v>1.5800000000000002E-2</v>
      </c>
      <c r="H1404">
        <v>4.1700000000000001E-2</v>
      </c>
      <c r="I1404">
        <v>6.7100000000000007E-2</v>
      </c>
      <c r="J1404">
        <v>0.12</v>
      </c>
    </row>
    <row r="1406" spans="1:10" x14ac:dyDescent="0.4">
      <c r="A1406">
        <v>2044</v>
      </c>
    </row>
    <row r="1408" spans="1:10" x14ac:dyDescent="0.4">
      <c r="A1408" t="s">
        <v>0</v>
      </c>
      <c r="B1408" s="2">
        <v>0.01</v>
      </c>
      <c r="C1408" s="2">
        <v>0.05</v>
      </c>
      <c r="D1408" s="2">
        <v>0.1</v>
      </c>
      <c r="E1408" s="2">
        <v>0.25</v>
      </c>
      <c r="F1408" s="2">
        <v>0.5</v>
      </c>
      <c r="G1408" s="2">
        <v>0.75</v>
      </c>
      <c r="H1408" s="2">
        <v>0.9</v>
      </c>
      <c r="I1408" s="2">
        <v>0.95</v>
      </c>
      <c r="J1408" s="2">
        <v>0.99</v>
      </c>
    </row>
    <row r="1409" spans="1:10" x14ac:dyDescent="0.4">
      <c r="A1409">
        <v>1</v>
      </c>
      <c r="B1409">
        <v>68.609899999999996</v>
      </c>
      <c r="C1409">
        <v>70.260300000000001</v>
      </c>
      <c r="D1409">
        <v>78.808599999999998</v>
      </c>
      <c r="E1409">
        <v>103.7008</v>
      </c>
      <c r="F1409">
        <v>168.7174</v>
      </c>
      <c r="G1409">
        <v>248.18180000000001</v>
      </c>
      <c r="H1409">
        <v>287.47320000000002</v>
      </c>
      <c r="I1409">
        <v>309.17349999999999</v>
      </c>
      <c r="J1409">
        <v>335.65609999999998</v>
      </c>
    </row>
    <row r="1410" spans="1:10" x14ac:dyDescent="0.4">
      <c r="A1410">
        <v>2</v>
      </c>
      <c r="B1410">
        <v>34.500500000000002</v>
      </c>
      <c r="C1410">
        <v>40.843699999999998</v>
      </c>
      <c r="D1410">
        <v>45.0152</v>
      </c>
      <c r="E1410">
        <v>60.009</v>
      </c>
      <c r="F1410">
        <v>96.509699999999995</v>
      </c>
      <c r="G1410">
        <v>140.04589999999999</v>
      </c>
      <c r="H1410">
        <v>167.96600000000001</v>
      </c>
      <c r="I1410">
        <v>182.535</v>
      </c>
      <c r="J1410">
        <v>201.10480000000001</v>
      </c>
    </row>
    <row r="1411" spans="1:10" x14ac:dyDescent="0.4">
      <c r="A1411">
        <v>3</v>
      </c>
      <c r="B1411">
        <v>5.9099000000000004</v>
      </c>
      <c r="C1411">
        <v>15.7867</v>
      </c>
      <c r="D1411">
        <v>20.661799999999999</v>
      </c>
      <c r="E1411">
        <v>29.9572</v>
      </c>
      <c r="F1411">
        <v>48.981999999999999</v>
      </c>
      <c r="G1411">
        <v>72.306899999999999</v>
      </c>
      <c r="H1411">
        <v>90.121700000000004</v>
      </c>
      <c r="I1411">
        <v>99.716099999999997</v>
      </c>
      <c r="J1411">
        <v>115.4875</v>
      </c>
    </row>
    <row r="1412" spans="1:10" x14ac:dyDescent="0.4">
      <c r="A1412">
        <v>4</v>
      </c>
      <c r="B1412">
        <v>0.35389999999999999</v>
      </c>
      <c r="C1412">
        <v>3.2656999999999998</v>
      </c>
      <c r="D1412">
        <v>6.4188999999999998</v>
      </c>
      <c r="E1412">
        <v>11.2538</v>
      </c>
      <c r="F1412">
        <v>20.747800000000002</v>
      </c>
      <c r="G1412">
        <v>35.343499999999999</v>
      </c>
      <c r="H1412">
        <v>47.631399999999999</v>
      </c>
      <c r="I1412">
        <v>53.661700000000003</v>
      </c>
      <c r="J1412">
        <v>69.456199999999995</v>
      </c>
    </row>
    <row r="1413" spans="1:10" x14ac:dyDescent="0.4">
      <c r="A1413">
        <v>5</v>
      </c>
      <c r="B1413">
        <v>6.3E-3</v>
      </c>
      <c r="C1413">
        <v>0.57220000000000004</v>
      </c>
      <c r="D1413">
        <v>1.5551999999999999</v>
      </c>
      <c r="E1413">
        <v>4.2126999999999999</v>
      </c>
      <c r="F1413">
        <v>8.6432000000000002</v>
      </c>
      <c r="G1413">
        <v>14.9642</v>
      </c>
      <c r="H1413">
        <v>23.328700000000001</v>
      </c>
      <c r="I1413">
        <v>26.9575</v>
      </c>
      <c r="J1413">
        <v>34.553100000000001</v>
      </c>
    </row>
    <row r="1414" spans="1:10" x14ac:dyDescent="0.4">
      <c r="A1414">
        <v>6</v>
      </c>
      <c r="B1414">
        <v>4.0000000000000002E-4</v>
      </c>
      <c r="C1414">
        <v>0.115</v>
      </c>
      <c r="D1414">
        <v>0.4506</v>
      </c>
      <c r="E1414">
        <v>1.4742999999999999</v>
      </c>
      <c r="F1414">
        <v>3.3393999999999999</v>
      </c>
      <c r="G1414">
        <v>6.5278</v>
      </c>
      <c r="H1414">
        <v>10.851599999999999</v>
      </c>
      <c r="I1414">
        <v>13.053000000000001</v>
      </c>
      <c r="J1414">
        <v>18.871200000000002</v>
      </c>
    </row>
    <row r="1415" spans="1:10" x14ac:dyDescent="0.4">
      <c r="A1415">
        <v>7</v>
      </c>
      <c r="B1415">
        <v>0</v>
      </c>
      <c r="C1415">
        <v>1.6400000000000001E-2</v>
      </c>
      <c r="D1415">
        <v>9.9299999999999999E-2</v>
      </c>
      <c r="E1415">
        <v>0.52810000000000001</v>
      </c>
      <c r="F1415">
        <v>1.4395</v>
      </c>
      <c r="G1415">
        <v>3.0303</v>
      </c>
      <c r="H1415">
        <v>5.2268999999999997</v>
      </c>
      <c r="I1415">
        <v>6.9767000000000001</v>
      </c>
      <c r="J1415">
        <v>10.392099999999999</v>
      </c>
    </row>
    <row r="1416" spans="1:10" x14ac:dyDescent="0.4">
      <c r="A1416">
        <v>8</v>
      </c>
      <c r="B1416">
        <v>0</v>
      </c>
      <c r="C1416">
        <v>3.7000000000000002E-3</v>
      </c>
      <c r="D1416">
        <v>2.5499999999999998E-2</v>
      </c>
      <c r="E1416">
        <v>0.1744</v>
      </c>
      <c r="F1416">
        <v>0.56559999999999999</v>
      </c>
      <c r="G1416">
        <v>1.3642000000000001</v>
      </c>
      <c r="H1416">
        <v>2.3896000000000002</v>
      </c>
      <c r="I1416">
        <v>3.2584</v>
      </c>
      <c r="J1416">
        <v>5.0534999999999997</v>
      </c>
    </row>
    <row r="1417" spans="1:10" x14ac:dyDescent="0.4">
      <c r="A1417">
        <v>9</v>
      </c>
      <c r="B1417">
        <v>0</v>
      </c>
      <c r="C1417">
        <v>1E-3</v>
      </c>
      <c r="D1417">
        <v>6.7000000000000002E-3</v>
      </c>
      <c r="E1417">
        <v>5.6599999999999998E-2</v>
      </c>
      <c r="F1417">
        <v>0.2278</v>
      </c>
      <c r="G1417">
        <v>0.61429999999999996</v>
      </c>
      <c r="H1417">
        <v>1.2157</v>
      </c>
      <c r="I1417">
        <v>1.6548</v>
      </c>
      <c r="J1417">
        <v>2.6842999999999999</v>
      </c>
    </row>
    <row r="1418" spans="1:10" x14ac:dyDescent="0.4">
      <c r="A1418">
        <v>10</v>
      </c>
      <c r="B1418">
        <v>0</v>
      </c>
      <c r="C1418">
        <v>2.9999999999999997E-4</v>
      </c>
      <c r="D1418">
        <v>2E-3</v>
      </c>
      <c r="E1418">
        <v>0.02</v>
      </c>
      <c r="F1418">
        <v>9.4299999999999995E-2</v>
      </c>
      <c r="G1418">
        <v>0.2843</v>
      </c>
      <c r="H1418">
        <v>0.56720000000000004</v>
      </c>
      <c r="I1418">
        <v>0.78810000000000002</v>
      </c>
      <c r="J1418">
        <v>1.4890000000000001</v>
      </c>
    </row>
    <row r="1419" spans="1:10" x14ac:dyDescent="0.4">
      <c r="A1419">
        <v>11</v>
      </c>
      <c r="B1419">
        <v>0</v>
      </c>
      <c r="C1419">
        <v>1E-4</v>
      </c>
      <c r="D1419">
        <v>6.9999999999999999E-4</v>
      </c>
      <c r="E1419">
        <v>7.1999999999999998E-3</v>
      </c>
      <c r="F1419">
        <v>4.4400000000000002E-2</v>
      </c>
      <c r="G1419">
        <v>0.13489999999999999</v>
      </c>
      <c r="H1419">
        <v>0.2823</v>
      </c>
      <c r="I1419">
        <v>0.40699999999999997</v>
      </c>
      <c r="J1419">
        <v>0.87560000000000004</v>
      </c>
    </row>
    <row r="1420" spans="1:10" x14ac:dyDescent="0.4">
      <c r="A1420">
        <v>12</v>
      </c>
      <c r="B1420">
        <v>0</v>
      </c>
      <c r="C1420">
        <v>0</v>
      </c>
      <c r="D1420">
        <v>2.0000000000000001E-4</v>
      </c>
      <c r="E1420">
        <v>2.3999999999999998E-3</v>
      </c>
      <c r="F1420">
        <v>1.7500000000000002E-2</v>
      </c>
      <c r="G1420">
        <v>6.4799999999999996E-2</v>
      </c>
      <c r="H1420">
        <v>0.14460000000000001</v>
      </c>
      <c r="I1420">
        <v>0.20449999999999999</v>
      </c>
      <c r="J1420">
        <v>0.38469999999999999</v>
      </c>
    </row>
    <row r="1421" spans="1:10" x14ac:dyDescent="0.4">
      <c r="A1421">
        <v>13</v>
      </c>
      <c r="B1421">
        <v>0</v>
      </c>
      <c r="C1421">
        <v>0</v>
      </c>
      <c r="D1421">
        <v>1E-4</v>
      </c>
      <c r="E1421">
        <v>1.1000000000000001E-3</v>
      </c>
      <c r="F1421">
        <v>8.2000000000000007E-3</v>
      </c>
      <c r="G1421">
        <v>3.1300000000000001E-2</v>
      </c>
      <c r="H1421">
        <v>7.5600000000000001E-2</v>
      </c>
      <c r="I1421">
        <v>0.1115</v>
      </c>
      <c r="J1421">
        <v>0.23910000000000001</v>
      </c>
    </row>
    <row r="1422" spans="1:10" x14ac:dyDescent="0.4">
      <c r="A1422">
        <v>14</v>
      </c>
      <c r="B1422">
        <v>0</v>
      </c>
      <c r="C1422">
        <v>0</v>
      </c>
      <c r="D1422">
        <v>0</v>
      </c>
      <c r="E1422">
        <v>4.0000000000000002E-4</v>
      </c>
      <c r="F1422">
        <v>3.8E-3</v>
      </c>
      <c r="G1422">
        <v>1.55E-2</v>
      </c>
      <c r="H1422">
        <v>3.95E-2</v>
      </c>
      <c r="I1422">
        <v>6.1199999999999997E-2</v>
      </c>
      <c r="J1422">
        <v>0.1293</v>
      </c>
    </row>
    <row r="1423" spans="1:10" x14ac:dyDescent="0.4">
      <c r="A1423" t="s">
        <v>29</v>
      </c>
      <c r="B1423">
        <v>0</v>
      </c>
      <c r="C1423">
        <v>0</v>
      </c>
      <c r="D1423">
        <v>0</v>
      </c>
      <c r="E1423">
        <v>2.9999999999999997E-4</v>
      </c>
      <c r="F1423">
        <v>3.8999999999999998E-3</v>
      </c>
      <c r="G1423">
        <v>1.6E-2</v>
      </c>
      <c r="H1423">
        <v>4.0500000000000001E-2</v>
      </c>
      <c r="I1423">
        <v>6.3899999999999998E-2</v>
      </c>
      <c r="J1423">
        <v>0.1467</v>
      </c>
    </row>
    <row r="1425" spans="1:10" x14ac:dyDescent="0.4">
      <c r="A1425">
        <v>2045</v>
      </c>
    </row>
    <row r="1427" spans="1:10" x14ac:dyDescent="0.4">
      <c r="A1427" t="s">
        <v>0</v>
      </c>
      <c r="B1427" s="2">
        <v>0.01</v>
      </c>
      <c r="C1427" s="2">
        <v>0.05</v>
      </c>
      <c r="D1427" s="2">
        <v>0.1</v>
      </c>
      <c r="E1427" s="2">
        <v>0.25</v>
      </c>
      <c r="F1427" s="2">
        <v>0.5</v>
      </c>
      <c r="G1427" s="2">
        <v>0.75</v>
      </c>
      <c r="H1427" s="2">
        <v>0.9</v>
      </c>
      <c r="I1427" s="2">
        <v>0.95</v>
      </c>
      <c r="J1427" s="2">
        <v>0.99</v>
      </c>
    </row>
    <row r="1428" spans="1:10" x14ac:dyDescent="0.4">
      <c r="A1428">
        <v>1</v>
      </c>
      <c r="B1428">
        <v>68.5732</v>
      </c>
      <c r="C1428">
        <v>69.808000000000007</v>
      </c>
      <c r="D1428">
        <v>78.309899999999999</v>
      </c>
      <c r="E1428">
        <v>103.027</v>
      </c>
      <c r="F1428">
        <v>168.1892</v>
      </c>
      <c r="G1428">
        <v>237.76599999999999</v>
      </c>
      <c r="H1428">
        <v>277.29660000000001</v>
      </c>
      <c r="I1428">
        <v>302.79289999999997</v>
      </c>
      <c r="J1428">
        <v>362.18029999999999</v>
      </c>
    </row>
    <row r="1429" spans="1:10" x14ac:dyDescent="0.4">
      <c r="A1429">
        <v>2</v>
      </c>
      <c r="B1429">
        <v>36.335099999999997</v>
      </c>
      <c r="C1429">
        <v>41.434699999999999</v>
      </c>
      <c r="D1429">
        <v>45.331099999999999</v>
      </c>
      <c r="E1429">
        <v>60.618400000000001</v>
      </c>
      <c r="F1429">
        <v>99.337800000000001</v>
      </c>
      <c r="G1429">
        <v>145.37700000000001</v>
      </c>
      <c r="H1429">
        <v>170.32560000000001</v>
      </c>
      <c r="I1429">
        <v>183.6377</v>
      </c>
      <c r="J1429">
        <v>208.18270000000001</v>
      </c>
    </row>
    <row r="1430" spans="1:10" x14ac:dyDescent="0.4">
      <c r="A1430">
        <v>3</v>
      </c>
      <c r="B1430">
        <v>4.1939000000000002</v>
      </c>
      <c r="C1430">
        <v>16.109500000000001</v>
      </c>
      <c r="D1430">
        <v>20.267399999999999</v>
      </c>
      <c r="E1430">
        <v>29.340900000000001</v>
      </c>
      <c r="F1430">
        <v>47.029400000000003</v>
      </c>
      <c r="G1430">
        <v>72.797600000000003</v>
      </c>
      <c r="H1430">
        <v>91.5916</v>
      </c>
      <c r="I1430">
        <v>101.0467</v>
      </c>
      <c r="J1430">
        <v>115.79430000000001</v>
      </c>
    </row>
    <row r="1431" spans="1:10" x14ac:dyDescent="0.4">
      <c r="A1431">
        <v>4</v>
      </c>
      <c r="B1431">
        <v>0.2477</v>
      </c>
      <c r="C1431">
        <v>3.5648</v>
      </c>
      <c r="D1431">
        <v>6.0568999999999997</v>
      </c>
      <c r="E1431">
        <v>11.232699999999999</v>
      </c>
      <c r="F1431">
        <v>20.968699999999998</v>
      </c>
      <c r="G1431">
        <v>33.882399999999997</v>
      </c>
      <c r="H1431">
        <v>45.767899999999997</v>
      </c>
      <c r="I1431">
        <v>52.572899999999997</v>
      </c>
      <c r="J1431">
        <v>64.394300000000001</v>
      </c>
    </row>
    <row r="1432" spans="1:10" x14ac:dyDescent="0.4">
      <c r="A1432">
        <v>5</v>
      </c>
      <c r="B1432">
        <v>3.8E-3</v>
      </c>
      <c r="C1432">
        <v>0.57030000000000003</v>
      </c>
      <c r="D1432">
        <v>1.5686</v>
      </c>
      <c r="E1432">
        <v>4.0575000000000001</v>
      </c>
      <c r="F1432">
        <v>8.3651999999999997</v>
      </c>
      <c r="G1432">
        <v>16.2864</v>
      </c>
      <c r="H1432">
        <v>23.559000000000001</v>
      </c>
      <c r="I1432">
        <v>27.167000000000002</v>
      </c>
      <c r="J1432">
        <v>37.347000000000001</v>
      </c>
    </row>
    <row r="1433" spans="1:10" x14ac:dyDescent="0.4">
      <c r="A1433">
        <v>6</v>
      </c>
      <c r="B1433">
        <v>6.9999999999999999E-4</v>
      </c>
      <c r="C1433">
        <v>9.8400000000000001E-2</v>
      </c>
      <c r="D1433">
        <v>0.37369999999999998</v>
      </c>
      <c r="E1433">
        <v>1.3945000000000001</v>
      </c>
      <c r="F1433">
        <v>3.4496000000000002</v>
      </c>
      <c r="G1433">
        <v>6.5037000000000003</v>
      </c>
      <c r="H1433">
        <v>11.2827</v>
      </c>
      <c r="I1433">
        <v>13.556900000000001</v>
      </c>
      <c r="J1433">
        <v>18.405000000000001</v>
      </c>
    </row>
    <row r="1434" spans="1:10" x14ac:dyDescent="0.4">
      <c r="A1434">
        <v>7</v>
      </c>
      <c r="B1434">
        <v>0</v>
      </c>
      <c r="C1434">
        <v>1.5299999999999999E-2</v>
      </c>
      <c r="D1434">
        <v>9.5100000000000004E-2</v>
      </c>
      <c r="E1434">
        <v>0.51749999999999996</v>
      </c>
      <c r="F1434">
        <v>1.3844000000000001</v>
      </c>
      <c r="G1434">
        <v>2.8931</v>
      </c>
      <c r="H1434">
        <v>5.1585000000000001</v>
      </c>
      <c r="I1434">
        <v>6.7055999999999996</v>
      </c>
      <c r="J1434">
        <v>10.145200000000001</v>
      </c>
    </row>
    <row r="1435" spans="1:10" x14ac:dyDescent="0.4">
      <c r="A1435">
        <v>8</v>
      </c>
      <c r="B1435">
        <v>0</v>
      </c>
      <c r="C1435">
        <v>2.5999999999999999E-3</v>
      </c>
      <c r="D1435">
        <v>2.4500000000000001E-2</v>
      </c>
      <c r="E1435">
        <v>0.17879999999999999</v>
      </c>
      <c r="F1435">
        <v>0.58009999999999995</v>
      </c>
      <c r="G1435">
        <v>1.3522000000000001</v>
      </c>
      <c r="H1435">
        <v>2.4958</v>
      </c>
      <c r="I1435">
        <v>3.5043000000000002</v>
      </c>
      <c r="J1435">
        <v>5.7331000000000003</v>
      </c>
    </row>
    <row r="1436" spans="1:10" x14ac:dyDescent="0.4">
      <c r="A1436">
        <v>9</v>
      </c>
      <c r="B1436">
        <v>0</v>
      </c>
      <c r="C1436">
        <v>6.9999999999999999E-4</v>
      </c>
      <c r="D1436">
        <v>6.8999999999999999E-3</v>
      </c>
      <c r="E1436">
        <v>5.8599999999999999E-2</v>
      </c>
      <c r="F1436">
        <v>0.23849999999999999</v>
      </c>
      <c r="G1436">
        <v>0.61850000000000005</v>
      </c>
      <c r="H1436">
        <v>1.1274999999999999</v>
      </c>
      <c r="I1436">
        <v>1.6588000000000001</v>
      </c>
      <c r="J1436">
        <v>2.7932000000000001</v>
      </c>
    </row>
    <row r="1437" spans="1:10" x14ac:dyDescent="0.4">
      <c r="A1437">
        <v>10</v>
      </c>
      <c r="B1437">
        <v>0</v>
      </c>
      <c r="C1437">
        <v>2.0000000000000001E-4</v>
      </c>
      <c r="D1437">
        <v>1.6999999999999999E-3</v>
      </c>
      <c r="E1437">
        <v>2.01E-2</v>
      </c>
      <c r="F1437">
        <v>9.2700000000000005E-2</v>
      </c>
      <c r="G1437">
        <v>0.28370000000000001</v>
      </c>
      <c r="H1437">
        <v>0.60609999999999997</v>
      </c>
      <c r="I1437">
        <v>0.86880000000000002</v>
      </c>
      <c r="J1437">
        <v>1.4416</v>
      </c>
    </row>
    <row r="1438" spans="1:10" x14ac:dyDescent="0.4">
      <c r="A1438">
        <v>11</v>
      </c>
      <c r="B1438">
        <v>0</v>
      </c>
      <c r="C1438">
        <v>0</v>
      </c>
      <c r="D1438">
        <v>5.9999999999999995E-4</v>
      </c>
      <c r="E1438">
        <v>7.3000000000000001E-3</v>
      </c>
      <c r="F1438">
        <v>3.9899999999999998E-2</v>
      </c>
      <c r="G1438">
        <v>0.13739999999999999</v>
      </c>
      <c r="H1438">
        <v>0.27729999999999999</v>
      </c>
      <c r="I1438">
        <v>0.40529999999999999</v>
      </c>
      <c r="J1438">
        <v>0.85829999999999995</v>
      </c>
    </row>
    <row r="1439" spans="1:10" x14ac:dyDescent="0.4">
      <c r="A1439">
        <v>12</v>
      </c>
      <c r="B1439">
        <v>0</v>
      </c>
      <c r="C1439">
        <v>0</v>
      </c>
      <c r="D1439">
        <v>2.0000000000000001E-4</v>
      </c>
      <c r="E1439">
        <v>2.5999999999999999E-3</v>
      </c>
      <c r="F1439">
        <v>1.9E-2</v>
      </c>
      <c r="G1439">
        <v>6.4899999999999999E-2</v>
      </c>
      <c r="H1439">
        <v>0.14219999999999999</v>
      </c>
      <c r="I1439">
        <v>0.20050000000000001</v>
      </c>
      <c r="J1439">
        <v>0.48349999999999999</v>
      </c>
    </row>
    <row r="1440" spans="1:10" x14ac:dyDescent="0.4">
      <c r="A1440">
        <v>13</v>
      </c>
      <c r="B1440">
        <v>0</v>
      </c>
      <c r="C1440">
        <v>0</v>
      </c>
      <c r="D1440">
        <v>1E-4</v>
      </c>
      <c r="E1440">
        <v>8.9999999999999998E-4</v>
      </c>
      <c r="F1440">
        <v>7.6E-3</v>
      </c>
      <c r="G1440">
        <v>3.1399999999999997E-2</v>
      </c>
      <c r="H1440">
        <v>7.1499999999999994E-2</v>
      </c>
      <c r="I1440">
        <v>0.1065</v>
      </c>
      <c r="J1440">
        <v>0.21929999999999999</v>
      </c>
    </row>
    <row r="1441" spans="1:10" x14ac:dyDescent="0.4">
      <c r="A1441">
        <v>14</v>
      </c>
      <c r="B1441">
        <v>0</v>
      </c>
      <c r="C1441">
        <v>0</v>
      </c>
      <c r="D1441">
        <v>0</v>
      </c>
      <c r="E1441">
        <v>4.0000000000000002E-4</v>
      </c>
      <c r="F1441">
        <v>3.5000000000000001E-3</v>
      </c>
      <c r="G1441">
        <v>1.4500000000000001E-2</v>
      </c>
      <c r="H1441">
        <v>3.9100000000000003E-2</v>
      </c>
      <c r="I1441">
        <v>5.7700000000000001E-2</v>
      </c>
      <c r="J1441">
        <v>0.13450000000000001</v>
      </c>
    </row>
    <row r="1442" spans="1:10" x14ac:dyDescent="0.4">
      <c r="A1442" t="s">
        <v>29</v>
      </c>
      <c r="B1442">
        <v>0</v>
      </c>
      <c r="C1442">
        <v>0</v>
      </c>
      <c r="D1442">
        <v>0</v>
      </c>
      <c r="E1442">
        <v>2.9999999999999997E-4</v>
      </c>
      <c r="F1442">
        <v>3.5000000000000001E-3</v>
      </c>
      <c r="G1442">
        <v>1.52E-2</v>
      </c>
      <c r="H1442">
        <v>4.1200000000000001E-2</v>
      </c>
      <c r="I1442">
        <v>6.3299999999999995E-2</v>
      </c>
      <c r="J1442">
        <v>0.13100000000000001</v>
      </c>
    </row>
    <row r="1444" spans="1:10" x14ac:dyDescent="0.4">
      <c r="A1444">
        <v>2046</v>
      </c>
    </row>
    <row r="1446" spans="1:10" x14ac:dyDescent="0.4">
      <c r="A1446" t="s">
        <v>0</v>
      </c>
      <c r="B1446" s="2">
        <v>0.01</v>
      </c>
      <c r="C1446" s="2">
        <v>0.05</v>
      </c>
      <c r="D1446" s="2">
        <v>0.1</v>
      </c>
      <c r="E1446" s="2">
        <v>0.25</v>
      </c>
      <c r="F1446" s="2">
        <v>0.5</v>
      </c>
      <c r="G1446" s="2">
        <v>0.75</v>
      </c>
      <c r="H1446" s="2">
        <v>0.9</v>
      </c>
      <c r="I1446" s="2">
        <v>0.95</v>
      </c>
      <c r="J1446" s="2">
        <v>0.99</v>
      </c>
    </row>
    <row r="1447" spans="1:10" x14ac:dyDescent="0.4">
      <c r="A1447">
        <v>1</v>
      </c>
      <c r="B1447">
        <v>68.654200000000003</v>
      </c>
      <c r="C1447">
        <v>69.884399999999999</v>
      </c>
      <c r="D1447">
        <v>77.813900000000004</v>
      </c>
      <c r="E1447">
        <v>104.8947</v>
      </c>
      <c r="F1447">
        <v>168.41149999999999</v>
      </c>
      <c r="G1447">
        <v>235.92670000000001</v>
      </c>
      <c r="H1447">
        <v>276.85550000000001</v>
      </c>
      <c r="I1447">
        <v>306.20960000000002</v>
      </c>
      <c r="J1447">
        <v>325.71690000000001</v>
      </c>
    </row>
    <row r="1448" spans="1:10" x14ac:dyDescent="0.4">
      <c r="A1448">
        <v>2</v>
      </c>
      <c r="B1448">
        <v>29.5778</v>
      </c>
      <c r="C1448">
        <v>40.684600000000003</v>
      </c>
      <c r="D1448">
        <v>45.017800000000001</v>
      </c>
      <c r="E1448">
        <v>59.990600000000001</v>
      </c>
      <c r="F1448">
        <v>96.767200000000003</v>
      </c>
      <c r="G1448">
        <v>139.79429999999999</v>
      </c>
      <c r="H1448">
        <v>166.3587</v>
      </c>
      <c r="I1448">
        <v>180.0745</v>
      </c>
      <c r="J1448">
        <v>223.37459999999999</v>
      </c>
    </row>
    <row r="1449" spans="1:10" x14ac:dyDescent="0.4">
      <c r="A1449">
        <v>3</v>
      </c>
      <c r="B1449">
        <v>4.7369000000000003</v>
      </c>
      <c r="C1449">
        <v>16.230499999999999</v>
      </c>
      <c r="D1449">
        <v>20.2805</v>
      </c>
      <c r="E1449">
        <v>27.753900000000002</v>
      </c>
      <c r="F1449">
        <v>48.82</v>
      </c>
      <c r="G1449">
        <v>74.319199999999995</v>
      </c>
      <c r="H1449">
        <v>92.876599999999996</v>
      </c>
      <c r="I1449">
        <v>101.7787</v>
      </c>
      <c r="J1449">
        <v>120.9808</v>
      </c>
    </row>
    <row r="1450" spans="1:10" x14ac:dyDescent="0.4">
      <c r="A1450">
        <v>4</v>
      </c>
      <c r="B1450">
        <v>0.22159999999999999</v>
      </c>
      <c r="C1450">
        <v>2.9786000000000001</v>
      </c>
      <c r="D1450">
        <v>6.2096999999999998</v>
      </c>
      <c r="E1450">
        <v>11.405900000000001</v>
      </c>
      <c r="F1450">
        <v>19.684100000000001</v>
      </c>
      <c r="G1450">
        <v>34.1158</v>
      </c>
      <c r="H1450">
        <v>46.334600000000002</v>
      </c>
      <c r="I1450">
        <v>52.570900000000002</v>
      </c>
      <c r="J1450">
        <v>64.044799999999995</v>
      </c>
    </row>
    <row r="1451" spans="1:10" x14ac:dyDescent="0.4">
      <c r="A1451">
        <v>5</v>
      </c>
      <c r="B1451">
        <v>6.7000000000000002E-3</v>
      </c>
      <c r="C1451">
        <v>0.45939999999999998</v>
      </c>
      <c r="D1451">
        <v>1.5572999999999999</v>
      </c>
      <c r="E1451">
        <v>4.0012999999999996</v>
      </c>
      <c r="F1451">
        <v>8.6891999999999996</v>
      </c>
      <c r="G1451">
        <v>15.7242</v>
      </c>
      <c r="H1451">
        <v>22.3688</v>
      </c>
      <c r="I1451">
        <v>26.532</v>
      </c>
      <c r="J1451">
        <v>34.099400000000003</v>
      </c>
    </row>
    <row r="1452" spans="1:10" x14ac:dyDescent="0.4">
      <c r="A1452">
        <v>6</v>
      </c>
      <c r="B1452">
        <v>2.0000000000000001E-4</v>
      </c>
      <c r="C1452">
        <v>7.0099999999999996E-2</v>
      </c>
      <c r="D1452">
        <v>0.31940000000000002</v>
      </c>
      <c r="E1452">
        <v>1.3555999999999999</v>
      </c>
      <c r="F1452">
        <v>3.3914</v>
      </c>
      <c r="G1452">
        <v>7.1619000000000002</v>
      </c>
      <c r="H1452">
        <v>11.5268</v>
      </c>
      <c r="I1452">
        <v>13.207100000000001</v>
      </c>
      <c r="J1452">
        <v>19.508400000000002</v>
      </c>
    </row>
    <row r="1453" spans="1:10" x14ac:dyDescent="0.4">
      <c r="A1453">
        <v>7</v>
      </c>
      <c r="B1453">
        <v>0</v>
      </c>
      <c r="C1453">
        <v>1.15E-2</v>
      </c>
      <c r="D1453">
        <v>6.7199999999999996E-2</v>
      </c>
      <c r="E1453">
        <v>0.49070000000000003</v>
      </c>
      <c r="F1453">
        <v>1.4019999999999999</v>
      </c>
      <c r="G1453">
        <v>2.8818000000000001</v>
      </c>
      <c r="H1453">
        <v>5.4783999999999997</v>
      </c>
      <c r="I1453">
        <v>6.7262000000000004</v>
      </c>
      <c r="J1453">
        <v>9.5114000000000001</v>
      </c>
    </row>
    <row r="1454" spans="1:10" x14ac:dyDescent="0.4">
      <c r="A1454">
        <v>8</v>
      </c>
      <c r="B1454">
        <v>0</v>
      </c>
      <c r="C1454">
        <v>2E-3</v>
      </c>
      <c r="D1454">
        <v>2.1000000000000001E-2</v>
      </c>
      <c r="E1454">
        <v>0.17660000000000001</v>
      </c>
      <c r="F1454">
        <v>0.56679999999999997</v>
      </c>
      <c r="G1454">
        <v>1.2786</v>
      </c>
      <c r="H1454">
        <v>2.5112999999999999</v>
      </c>
      <c r="I1454">
        <v>3.3793000000000002</v>
      </c>
      <c r="J1454">
        <v>5.4019000000000004</v>
      </c>
    </row>
    <row r="1455" spans="1:10" x14ac:dyDescent="0.4">
      <c r="A1455">
        <v>9</v>
      </c>
      <c r="B1455">
        <v>0</v>
      </c>
      <c r="C1455">
        <v>5.9999999999999995E-4</v>
      </c>
      <c r="D1455">
        <v>5.7999999999999996E-3</v>
      </c>
      <c r="E1455">
        <v>6.3100000000000003E-2</v>
      </c>
      <c r="F1455">
        <v>0.24229999999999999</v>
      </c>
      <c r="G1455">
        <v>0.61150000000000004</v>
      </c>
      <c r="H1455">
        <v>1.216</v>
      </c>
      <c r="I1455">
        <v>1.7266999999999999</v>
      </c>
      <c r="J1455">
        <v>3.0165999999999999</v>
      </c>
    </row>
    <row r="1456" spans="1:10" x14ac:dyDescent="0.4">
      <c r="A1456">
        <v>10</v>
      </c>
      <c r="B1456">
        <v>0</v>
      </c>
      <c r="C1456">
        <v>1E-4</v>
      </c>
      <c r="D1456">
        <v>1.6999999999999999E-3</v>
      </c>
      <c r="E1456">
        <v>2.1499999999999998E-2</v>
      </c>
      <c r="F1456">
        <v>0.10349999999999999</v>
      </c>
      <c r="G1456">
        <v>0.2863</v>
      </c>
      <c r="H1456">
        <v>0.56950000000000001</v>
      </c>
      <c r="I1456">
        <v>0.83750000000000002</v>
      </c>
      <c r="J1456">
        <v>1.4879</v>
      </c>
    </row>
    <row r="1457" spans="1:10" x14ac:dyDescent="0.4">
      <c r="A1457">
        <v>11</v>
      </c>
      <c r="B1457">
        <v>0</v>
      </c>
      <c r="C1457">
        <v>0</v>
      </c>
      <c r="D1457">
        <v>5.9999999999999995E-4</v>
      </c>
      <c r="E1457">
        <v>7.4999999999999997E-3</v>
      </c>
      <c r="F1457">
        <v>4.0599999999999997E-2</v>
      </c>
      <c r="G1457">
        <v>0.13170000000000001</v>
      </c>
      <c r="H1457">
        <v>0.2918</v>
      </c>
      <c r="I1457">
        <v>0.44109999999999999</v>
      </c>
      <c r="J1457">
        <v>0.80359999999999998</v>
      </c>
    </row>
    <row r="1458" spans="1:10" x14ac:dyDescent="0.4">
      <c r="A1458">
        <v>12</v>
      </c>
      <c r="B1458">
        <v>0</v>
      </c>
      <c r="C1458">
        <v>0</v>
      </c>
      <c r="D1458">
        <v>2.0000000000000001E-4</v>
      </c>
      <c r="E1458">
        <v>2.5000000000000001E-3</v>
      </c>
      <c r="F1458">
        <v>1.6500000000000001E-2</v>
      </c>
      <c r="G1458">
        <v>6.5799999999999997E-2</v>
      </c>
      <c r="H1458">
        <v>0.13370000000000001</v>
      </c>
      <c r="I1458">
        <v>0.20799999999999999</v>
      </c>
      <c r="J1458">
        <v>0.47689999999999999</v>
      </c>
    </row>
    <row r="1459" spans="1:10" x14ac:dyDescent="0.4">
      <c r="A1459">
        <v>13</v>
      </c>
      <c r="B1459">
        <v>0</v>
      </c>
      <c r="C1459">
        <v>0</v>
      </c>
      <c r="D1459">
        <v>1E-4</v>
      </c>
      <c r="E1459">
        <v>1E-3</v>
      </c>
      <c r="F1459">
        <v>8.0000000000000002E-3</v>
      </c>
      <c r="G1459">
        <v>3.04E-2</v>
      </c>
      <c r="H1459">
        <v>7.0999999999999994E-2</v>
      </c>
      <c r="I1459">
        <v>0.1082</v>
      </c>
      <c r="J1459">
        <v>0.26429999999999998</v>
      </c>
    </row>
    <row r="1460" spans="1:10" x14ac:dyDescent="0.4">
      <c r="A1460">
        <v>14</v>
      </c>
      <c r="B1460">
        <v>0</v>
      </c>
      <c r="C1460">
        <v>0</v>
      </c>
      <c r="D1460">
        <v>0</v>
      </c>
      <c r="E1460">
        <v>2.9999999999999997E-4</v>
      </c>
      <c r="F1460">
        <v>3.2000000000000002E-3</v>
      </c>
      <c r="G1460">
        <v>1.4800000000000001E-2</v>
      </c>
      <c r="H1460">
        <v>3.5299999999999998E-2</v>
      </c>
      <c r="I1460">
        <v>5.6300000000000003E-2</v>
      </c>
      <c r="J1460">
        <v>0.12330000000000001</v>
      </c>
    </row>
    <row r="1461" spans="1:10" x14ac:dyDescent="0.4">
      <c r="A1461" t="s">
        <v>29</v>
      </c>
      <c r="B1461">
        <v>0</v>
      </c>
      <c r="C1461">
        <v>0</v>
      </c>
      <c r="D1461">
        <v>0</v>
      </c>
      <c r="E1461">
        <v>2.9999999999999997E-4</v>
      </c>
      <c r="F1461">
        <v>3.3999999999999998E-3</v>
      </c>
      <c r="G1461">
        <v>1.49E-2</v>
      </c>
      <c r="H1461">
        <v>4.0399999999999998E-2</v>
      </c>
      <c r="I1461">
        <v>5.8400000000000001E-2</v>
      </c>
      <c r="J1461">
        <v>0.14799999999999999</v>
      </c>
    </row>
    <row r="1463" spans="1:10" x14ac:dyDescent="0.4">
      <c r="A1463">
        <v>2047</v>
      </c>
    </row>
    <row r="1465" spans="1:10" x14ac:dyDescent="0.4">
      <c r="A1465" t="s">
        <v>0</v>
      </c>
      <c r="B1465" s="2">
        <v>0.01</v>
      </c>
      <c r="C1465" s="2">
        <v>0.05</v>
      </c>
      <c r="D1465" s="2">
        <v>0.1</v>
      </c>
      <c r="E1465" s="2">
        <v>0.25</v>
      </c>
      <c r="F1465" s="2">
        <v>0.5</v>
      </c>
      <c r="G1465" s="2">
        <v>0.75</v>
      </c>
      <c r="H1465" s="2">
        <v>0.9</v>
      </c>
      <c r="I1465" s="2">
        <v>0.95</v>
      </c>
      <c r="J1465" s="2">
        <v>0.99</v>
      </c>
    </row>
    <row r="1466" spans="1:10" x14ac:dyDescent="0.4">
      <c r="A1466">
        <v>1</v>
      </c>
      <c r="B1466">
        <v>68.557000000000002</v>
      </c>
      <c r="C1466">
        <v>69.848699999999994</v>
      </c>
      <c r="D1466">
        <v>78.496899999999997</v>
      </c>
      <c r="E1466">
        <v>105.7214</v>
      </c>
      <c r="F1466">
        <v>168.70079999999999</v>
      </c>
      <c r="G1466">
        <v>237.88759999999999</v>
      </c>
      <c r="H1466">
        <v>283.52350000000001</v>
      </c>
      <c r="I1466">
        <v>310.90379999999999</v>
      </c>
      <c r="J1466">
        <v>324.822</v>
      </c>
    </row>
    <row r="1467" spans="1:10" x14ac:dyDescent="0.4">
      <c r="A1467">
        <v>2</v>
      </c>
      <c r="B1467">
        <v>32.427900000000001</v>
      </c>
      <c r="C1467">
        <v>40.782400000000003</v>
      </c>
      <c r="D1467">
        <v>44.506900000000002</v>
      </c>
      <c r="E1467">
        <v>60.011699999999998</v>
      </c>
      <c r="F1467">
        <v>97.751599999999996</v>
      </c>
      <c r="G1467">
        <v>137.9238</v>
      </c>
      <c r="H1467">
        <v>166.63399999999999</v>
      </c>
      <c r="I1467">
        <v>178.41139999999999</v>
      </c>
      <c r="J1467">
        <v>203.62710000000001</v>
      </c>
    </row>
    <row r="1468" spans="1:10" x14ac:dyDescent="0.4">
      <c r="A1468">
        <v>3</v>
      </c>
      <c r="B1468">
        <v>1.6797</v>
      </c>
      <c r="C1468">
        <v>16.3794</v>
      </c>
      <c r="D1468">
        <v>20.414899999999999</v>
      </c>
      <c r="E1468">
        <v>28.550699999999999</v>
      </c>
      <c r="F1468">
        <v>48.237200000000001</v>
      </c>
      <c r="G1468">
        <v>70.154600000000002</v>
      </c>
      <c r="H1468">
        <v>90.7316</v>
      </c>
      <c r="I1468">
        <v>99.961600000000004</v>
      </c>
      <c r="J1468">
        <v>127.3767</v>
      </c>
    </row>
    <row r="1469" spans="1:10" x14ac:dyDescent="0.4">
      <c r="A1469">
        <v>4</v>
      </c>
      <c r="B1469">
        <v>4.8500000000000001E-2</v>
      </c>
      <c r="C1469">
        <v>2.7155999999999998</v>
      </c>
      <c r="D1469">
        <v>5.7557</v>
      </c>
      <c r="E1469">
        <v>11.1859</v>
      </c>
      <c r="F1469">
        <v>20.873000000000001</v>
      </c>
      <c r="G1469">
        <v>35.204300000000003</v>
      </c>
      <c r="H1469">
        <v>47.493400000000001</v>
      </c>
      <c r="I1469">
        <v>53.903500000000001</v>
      </c>
      <c r="J1469">
        <v>65.116100000000003</v>
      </c>
    </row>
    <row r="1470" spans="1:10" x14ac:dyDescent="0.4">
      <c r="A1470">
        <v>5</v>
      </c>
      <c r="B1470">
        <v>1E-3</v>
      </c>
      <c r="C1470">
        <v>0.40250000000000002</v>
      </c>
      <c r="D1470">
        <v>1.5016</v>
      </c>
      <c r="E1470">
        <v>3.9863</v>
      </c>
      <c r="F1470">
        <v>7.8970000000000002</v>
      </c>
      <c r="G1470">
        <v>15.4781</v>
      </c>
      <c r="H1470">
        <v>22.5626</v>
      </c>
      <c r="I1470">
        <v>26.595400000000001</v>
      </c>
      <c r="J1470">
        <v>34.7759</v>
      </c>
    </row>
    <row r="1471" spans="1:10" x14ac:dyDescent="0.4">
      <c r="A1471">
        <v>6</v>
      </c>
      <c r="B1471">
        <v>8.9999999999999998E-4</v>
      </c>
      <c r="C1471">
        <v>6.3899999999999998E-2</v>
      </c>
      <c r="D1471">
        <v>0.33610000000000001</v>
      </c>
      <c r="E1471">
        <v>1.339</v>
      </c>
      <c r="F1471">
        <v>3.4491999999999998</v>
      </c>
      <c r="G1471">
        <v>6.9397000000000002</v>
      </c>
      <c r="H1471">
        <v>10.4719</v>
      </c>
      <c r="I1471">
        <v>13.3575</v>
      </c>
      <c r="J1471">
        <v>18.1175</v>
      </c>
    </row>
    <row r="1472" spans="1:10" x14ac:dyDescent="0.4">
      <c r="A1472">
        <v>7</v>
      </c>
      <c r="B1472">
        <v>0</v>
      </c>
      <c r="C1472">
        <v>1.01E-2</v>
      </c>
      <c r="D1472">
        <v>6.93E-2</v>
      </c>
      <c r="E1472">
        <v>0.44629999999999997</v>
      </c>
      <c r="F1472">
        <v>1.3998999999999999</v>
      </c>
      <c r="G1472">
        <v>3.2201</v>
      </c>
      <c r="H1472">
        <v>5.4869000000000003</v>
      </c>
      <c r="I1472">
        <v>6.8438999999999997</v>
      </c>
      <c r="J1472">
        <v>11.022</v>
      </c>
    </row>
    <row r="1473" spans="1:10" x14ac:dyDescent="0.4">
      <c r="A1473">
        <v>8</v>
      </c>
      <c r="B1473">
        <v>0</v>
      </c>
      <c r="C1473">
        <v>1.9E-3</v>
      </c>
      <c r="D1473">
        <v>1.49E-2</v>
      </c>
      <c r="E1473">
        <v>0.1656</v>
      </c>
      <c r="F1473">
        <v>0.55079999999999996</v>
      </c>
      <c r="G1473">
        <v>1.3255999999999999</v>
      </c>
      <c r="H1473">
        <v>2.5739000000000001</v>
      </c>
      <c r="I1473">
        <v>3.4165000000000001</v>
      </c>
      <c r="J1473">
        <v>5.3655999999999997</v>
      </c>
    </row>
    <row r="1474" spans="1:10" x14ac:dyDescent="0.4">
      <c r="A1474">
        <v>9</v>
      </c>
      <c r="B1474">
        <v>0</v>
      </c>
      <c r="C1474">
        <v>5.0000000000000001E-4</v>
      </c>
      <c r="D1474">
        <v>5.1999999999999998E-3</v>
      </c>
      <c r="E1474">
        <v>6.2399999999999997E-2</v>
      </c>
      <c r="F1474">
        <v>0.23139999999999999</v>
      </c>
      <c r="G1474">
        <v>0.58209999999999995</v>
      </c>
      <c r="H1474">
        <v>1.2102999999999999</v>
      </c>
      <c r="I1474">
        <v>1.7687999999999999</v>
      </c>
      <c r="J1474">
        <v>3.0070000000000001</v>
      </c>
    </row>
    <row r="1475" spans="1:10" x14ac:dyDescent="0.4">
      <c r="A1475">
        <v>10</v>
      </c>
      <c r="B1475">
        <v>0</v>
      </c>
      <c r="C1475">
        <v>1E-4</v>
      </c>
      <c r="D1475">
        <v>1.4E-3</v>
      </c>
      <c r="E1475">
        <v>2.1999999999999999E-2</v>
      </c>
      <c r="F1475">
        <v>0.10150000000000001</v>
      </c>
      <c r="G1475">
        <v>0.28720000000000001</v>
      </c>
      <c r="H1475">
        <v>0.61560000000000004</v>
      </c>
      <c r="I1475">
        <v>0.91090000000000004</v>
      </c>
      <c r="J1475">
        <v>1.7030000000000001</v>
      </c>
    </row>
    <row r="1476" spans="1:10" x14ac:dyDescent="0.4">
      <c r="A1476">
        <v>11</v>
      </c>
      <c r="B1476">
        <v>0</v>
      </c>
      <c r="C1476">
        <v>0</v>
      </c>
      <c r="D1476">
        <v>5.0000000000000001E-4</v>
      </c>
      <c r="E1476">
        <v>7.9000000000000008E-3</v>
      </c>
      <c r="F1476">
        <v>4.41E-2</v>
      </c>
      <c r="G1476">
        <v>0.13120000000000001</v>
      </c>
      <c r="H1476">
        <v>0.28220000000000001</v>
      </c>
      <c r="I1476">
        <v>0.44169999999999998</v>
      </c>
      <c r="J1476">
        <v>0.8196</v>
      </c>
    </row>
    <row r="1477" spans="1:10" x14ac:dyDescent="0.4">
      <c r="A1477">
        <v>12</v>
      </c>
      <c r="B1477">
        <v>0</v>
      </c>
      <c r="C1477">
        <v>0</v>
      </c>
      <c r="D1477">
        <v>2.0000000000000001E-4</v>
      </c>
      <c r="E1477">
        <v>2.7000000000000001E-3</v>
      </c>
      <c r="F1477">
        <v>1.7399999999999999E-2</v>
      </c>
      <c r="G1477">
        <v>6.0600000000000001E-2</v>
      </c>
      <c r="H1477">
        <v>0.14549999999999999</v>
      </c>
      <c r="I1477">
        <v>0.22500000000000001</v>
      </c>
      <c r="J1477">
        <v>0.41909999999999997</v>
      </c>
    </row>
    <row r="1478" spans="1:10" x14ac:dyDescent="0.4">
      <c r="A1478">
        <v>13</v>
      </c>
      <c r="B1478">
        <v>0</v>
      </c>
      <c r="C1478">
        <v>0</v>
      </c>
      <c r="D1478">
        <v>1E-4</v>
      </c>
      <c r="E1478">
        <v>1E-3</v>
      </c>
      <c r="F1478">
        <v>7.1000000000000004E-3</v>
      </c>
      <c r="G1478">
        <v>3.0700000000000002E-2</v>
      </c>
      <c r="H1478">
        <v>6.5100000000000005E-2</v>
      </c>
      <c r="I1478">
        <v>0.1032</v>
      </c>
      <c r="J1478">
        <v>0.2407</v>
      </c>
    </row>
    <row r="1479" spans="1:10" x14ac:dyDescent="0.4">
      <c r="A1479">
        <v>14</v>
      </c>
      <c r="B1479">
        <v>0</v>
      </c>
      <c r="C1479">
        <v>0</v>
      </c>
      <c r="D1479">
        <v>0</v>
      </c>
      <c r="E1479">
        <v>4.0000000000000002E-4</v>
      </c>
      <c r="F1479">
        <v>3.5000000000000001E-3</v>
      </c>
      <c r="G1479">
        <v>1.41E-2</v>
      </c>
      <c r="H1479">
        <v>3.5499999999999997E-2</v>
      </c>
      <c r="I1479">
        <v>5.5500000000000001E-2</v>
      </c>
      <c r="J1479">
        <v>0.14810000000000001</v>
      </c>
    </row>
    <row r="1480" spans="1:10" x14ac:dyDescent="0.4">
      <c r="A1480" t="s">
        <v>29</v>
      </c>
      <c r="B1480">
        <v>0</v>
      </c>
      <c r="C1480">
        <v>0</v>
      </c>
      <c r="D1480">
        <v>0</v>
      </c>
      <c r="E1480">
        <v>2.9999999999999997E-4</v>
      </c>
      <c r="F1480">
        <v>3.2000000000000002E-3</v>
      </c>
      <c r="G1480">
        <v>1.4800000000000001E-2</v>
      </c>
      <c r="H1480">
        <v>3.6400000000000002E-2</v>
      </c>
      <c r="I1480">
        <v>5.7200000000000001E-2</v>
      </c>
      <c r="J1480">
        <v>0.13980000000000001</v>
      </c>
    </row>
    <row r="1482" spans="1:10" x14ac:dyDescent="0.4">
      <c r="A1482">
        <v>2048</v>
      </c>
    </row>
    <row r="1484" spans="1:10" x14ac:dyDescent="0.4">
      <c r="A1484" t="s">
        <v>0</v>
      </c>
      <c r="B1484" s="2">
        <v>0.01</v>
      </c>
      <c r="C1484" s="2">
        <v>0.05</v>
      </c>
      <c r="D1484" s="2">
        <v>0.1</v>
      </c>
      <c r="E1484" s="2">
        <v>0.25</v>
      </c>
      <c r="F1484" s="2">
        <v>0.5</v>
      </c>
      <c r="G1484" s="2">
        <v>0.75</v>
      </c>
      <c r="H1484" s="2">
        <v>0.9</v>
      </c>
      <c r="I1484" s="2">
        <v>0.95</v>
      </c>
      <c r="J1484" s="2">
        <v>0.99</v>
      </c>
    </row>
    <row r="1485" spans="1:10" x14ac:dyDescent="0.4">
      <c r="A1485">
        <v>1</v>
      </c>
      <c r="B1485">
        <v>68.523399999999995</v>
      </c>
      <c r="C1485">
        <v>70.287400000000005</v>
      </c>
      <c r="D1485">
        <v>79.348600000000005</v>
      </c>
      <c r="E1485">
        <v>105.562</v>
      </c>
      <c r="F1485">
        <v>168.6927</v>
      </c>
      <c r="G1485">
        <v>236.50960000000001</v>
      </c>
      <c r="H1485">
        <v>282.74439999999998</v>
      </c>
      <c r="I1485">
        <v>311.91789999999997</v>
      </c>
      <c r="J1485">
        <v>344.53030000000001</v>
      </c>
    </row>
    <row r="1486" spans="1:10" x14ac:dyDescent="0.4">
      <c r="A1486">
        <v>2</v>
      </c>
      <c r="B1486">
        <v>18.8369</v>
      </c>
      <c r="C1486">
        <v>40.993200000000002</v>
      </c>
      <c r="D1486">
        <v>44.9726</v>
      </c>
      <c r="E1486">
        <v>60.971699999999998</v>
      </c>
      <c r="F1486">
        <v>97.880300000000005</v>
      </c>
      <c r="G1486">
        <v>141.76089999999999</v>
      </c>
      <c r="H1486">
        <v>170.29949999999999</v>
      </c>
      <c r="I1486">
        <v>185.3031</v>
      </c>
      <c r="J1486">
        <v>201.8038</v>
      </c>
    </row>
    <row r="1487" spans="1:10" x14ac:dyDescent="0.4">
      <c r="A1487">
        <v>3</v>
      </c>
      <c r="B1487">
        <v>2.1718000000000002</v>
      </c>
      <c r="C1487">
        <v>15.827400000000001</v>
      </c>
      <c r="D1487">
        <v>19.763000000000002</v>
      </c>
      <c r="E1487">
        <v>28.912299999999998</v>
      </c>
      <c r="F1487">
        <v>48.277299999999997</v>
      </c>
      <c r="G1487">
        <v>70.585400000000007</v>
      </c>
      <c r="H1487">
        <v>90.049899999999994</v>
      </c>
      <c r="I1487">
        <v>99.497</v>
      </c>
      <c r="J1487">
        <v>118.8759</v>
      </c>
    </row>
    <row r="1488" spans="1:10" x14ac:dyDescent="0.4">
      <c r="A1488">
        <v>4</v>
      </c>
      <c r="B1488">
        <v>1.1599999999999999E-2</v>
      </c>
      <c r="C1488">
        <v>3.1623999999999999</v>
      </c>
      <c r="D1488">
        <v>6.0164</v>
      </c>
      <c r="E1488">
        <v>11.242599999999999</v>
      </c>
      <c r="F1488">
        <v>20.713699999999999</v>
      </c>
      <c r="G1488">
        <v>32.9129</v>
      </c>
      <c r="H1488">
        <v>45.667200000000001</v>
      </c>
      <c r="I1488">
        <v>52.252000000000002</v>
      </c>
      <c r="J1488">
        <v>70.2102</v>
      </c>
    </row>
    <row r="1489" spans="1:10" x14ac:dyDescent="0.4">
      <c r="A1489">
        <v>5</v>
      </c>
      <c r="B1489">
        <v>1E-3</v>
      </c>
      <c r="C1489">
        <v>0.4829</v>
      </c>
      <c r="D1489">
        <v>1.4937</v>
      </c>
      <c r="E1489">
        <v>4.18</v>
      </c>
      <c r="F1489">
        <v>8.4690999999999992</v>
      </c>
      <c r="G1489">
        <v>15.902100000000001</v>
      </c>
      <c r="H1489">
        <v>23.0731</v>
      </c>
      <c r="I1489">
        <v>26.968299999999999</v>
      </c>
      <c r="J1489">
        <v>35.852699999999999</v>
      </c>
    </row>
    <row r="1490" spans="1:10" x14ac:dyDescent="0.4">
      <c r="A1490">
        <v>6</v>
      </c>
      <c r="B1490">
        <v>1E-4</v>
      </c>
      <c r="C1490">
        <v>5.8299999999999998E-2</v>
      </c>
      <c r="D1490">
        <v>0.35120000000000001</v>
      </c>
      <c r="E1490">
        <v>1.3315999999999999</v>
      </c>
      <c r="F1490">
        <v>3.1974</v>
      </c>
      <c r="G1490">
        <v>6.9504000000000001</v>
      </c>
      <c r="H1490">
        <v>10.996499999999999</v>
      </c>
      <c r="I1490">
        <v>13.2212</v>
      </c>
      <c r="J1490">
        <v>18.351600000000001</v>
      </c>
    </row>
    <row r="1491" spans="1:10" x14ac:dyDescent="0.4">
      <c r="A1491">
        <v>7</v>
      </c>
      <c r="B1491">
        <v>0</v>
      </c>
      <c r="C1491">
        <v>7.3000000000000001E-3</v>
      </c>
      <c r="D1491">
        <v>8.3699999999999997E-2</v>
      </c>
      <c r="E1491">
        <v>0.45860000000000001</v>
      </c>
      <c r="F1491">
        <v>1.3934</v>
      </c>
      <c r="G1491">
        <v>3.0628000000000002</v>
      </c>
      <c r="H1491">
        <v>5.0286999999999997</v>
      </c>
      <c r="I1491">
        <v>6.6352000000000002</v>
      </c>
      <c r="J1491">
        <v>9.7868999999999993</v>
      </c>
    </row>
    <row r="1492" spans="1:10" x14ac:dyDescent="0.4">
      <c r="A1492">
        <v>8</v>
      </c>
      <c r="B1492">
        <v>0</v>
      </c>
      <c r="C1492">
        <v>1.6000000000000001E-3</v>
      </c>
      <c r="D1492">
        <v>1.6500000000000001E-2</v>
      </c>
      <c r="E1492">
        <v>0.1497</v>
      </c>
      <c r="F1492">
        <v>0.57379999999999998</v>
      </c>
      <c r="G1492">
        <v>1.4681</v>
      </c>
      <c r="H1492">
        <v>2.5727000000000002</v>
      </c>
      <c r="I1492">
        <v>3.4506999999999999</v>
      </c>
      <c r="J1492">
        <v>5.2207999999999997</v>
      </c>
    </row>
    <row r="1493" spans="1:10" x14ac:dyDescent="0.4">
      <c r="A1493">
        <v>9</v>
      </c>
      <c r="B1493">
        <v>0</v>
      </c>
      <c r="C1493">
        <v>5.9999999999999995E-4</v>
      </c>
      <c r="D1493">
        <v>3.5999999999999999E-3</v>
      </c>
      <c r="E1493">
        <v>5.6599999999999998E-2</v>
      </c>
      <c r="F1493">
        <v>0.23300000000000001</v>
      </c>
      <c r="G1493">
        <v>0.59860000000000002</v>
      </c>
      <c r="H1493">
        <v>1.2617</v>
      </c>
      <c r="I1493">
        <v>1.6889000000000001</v>
      </c>
      <c r="J1493">
        <v>2.7155</v>
      </c>
    </row>
    <row r="1494" spans="1:10" x14ac:dyDescent="0.4">
      <c r="A1494">
        <v>10</v>
      </c>
      <c r="B1494">
        <v>0</v>
      </c>
      <c r="C1494">
        <v>1E-4</v>
      </c>
      <c r="D1494">
        <v>1.2999999999999999E-3</v>
      </c>
      <c r="E1494">
        <v>1.9400000000000001E-2</v>
      </c>
      <c r="F1494">
        <v>9.64E-2</v>
      </c>
      <c r="G1494">
        <v>0.26860000000000001</v>
      </c>
      <c r="H1494">
        <v>0.623</v>
      </c>
      <c r="I1494">
        <v>0.9194</v>
      </c>
      <c r="J1494">
        <v>1.6423000000000001</v>
      </c>
    </row>
    <row r="1495" spans="1:10" x14ac:dyDescent="0.4">
      <c r="A1495">
        <v>11</v>
      </c>
      <c r="B1495">
        <v>0</v>
      </c>
      <c r="C1495">
        <v>0</v>
      </c>
      <c r="D1495">
        <v>5.0000000000000001E-4</v>
      </c>
      <c r="E1495">
        <v>7.3000000000000001E-3</v>
      </c>
      <c r="F1495">
        <v>4.24E-2</v>
      </c>
      <c r="G1495">
        <v>0.13769999999999999</v>
      </c>
      <c r="H1495">
        <v>0.2974</v>
      </c>
      <c r="I1495">
        <v>0.4723</v>
      </c>
      <c r="J1495">
        <v>0.98399999999999999</v>
      </c>
    </row>
    <row r="1496" spans="1:10" x14ac:dyDescent="0.4">
      <c r="A1496">
        <v>12</v>
      </c>
      <c r="B1496">
        <v>0</v>
      </c>
      <c r="C1496">
        <v>0</v>
      </c>
      <c r="D1496">
        <v>2.0000000000000001E-4</v>
      </c>
      <c r="E1496">
        <v>2.8999999999999998E-3</v>
      </c>
      <c r="F1496">
        <v>1.8599999999999998E-2</v>
      </c>
      <c r="G1496">
        <v>6.1899999999999997E-2</v>
      </c>
      <c r="H1496">
        <v>0.14510000000000001</v>
      </c>
      <c r="I1496">
        <v>0.22389999999999999</v>
      </c>
      <c r="J1496">
        <v>0.44919999999999999</v>
      </c>
    </row>
    <row r="1497" spans="1:10" x14ac:dyDescent="0.4">
      <c r="A1497">
        <v>13</v>
      </c>
      <c r="B1497">
        <v>0</v>
      </c>
      <c r="C1497">
        <v>0</v>
      </c>
      <c r="D1497">
        <v>0</v>
      </c>
      <c r="E1497">
        <v>1E-3</v>
      </c>
      <c r="F1497">
        <v>7.4000000000000003E-3</v>
      </c>
      <c r="G1497">
        <v>2.93E-2</v>
      </c>
      <c r="H1497">
        <v>7.2499999999999995E-2</v>
      </c>
      <c r="I1497">
        <v>0.1134</v>
      </c>
      <c r="J1497">
        <v>0.2273</v>
      </c>
    </row>
    <row r="1498" spans="1:10" x14ac:dyDescent="0.4">
      <c r="A1498">
        <v>14</v>
      </c>
      <c r="B1498">
        <v>0</v>
      </c>
      <c r="C1498">
        <v>0</v>
      </c>
      <c r="D1498">
        <v>0</v>
      </c>
      <c r="E1498">
        <v>4.0000000000000002E-4</v>
      </c>
      <c r="F1498">
        <v>3.0000000000000001E-3</v>
      </c>
      <c r="G1498">
        <v>1.43E-2</v>
      </c>
      <c r="H1498">
        <v>3.2500000000000001E-2</v>
      </c>
      <c r="I1498">
        <v>5.3699999999999998E-2</v>
      </c>
      <c r="J1498">
        <v>0.1419</v>
      </c>
    </row>
    <row r="1499" spans="1:10" x14ac:dyDescent="0.4">
      <c r="A1499" t="s">
        <v>29</v>
      </c>
      <c r="B1499">
        <v>0</v>
      </c>
      <c r="C1499">
        <v>0</v>
      </c>
      <c r="D1499">
        <v>0</v>
      </c>
      <c r="E1499">
        <v>2.9999999999999997E-4</v>
      </c>
      <c r="F1499">
        <v>3.0999999999999999E-3</v>
      </c>
      <c r="G1499">
        <v>1.35E-2</v>
      </c>
      <c r="H1499">
        <v>3.7100000000000001E-2</v>
      </c>
      <c r="I1499">
        <v>5.91E-2</v>
      </c>
      <c r="J1499">
        <v>0.159</v>
      </c>
    </row>
    <row r="1501" spans="1:10" x14ac:dyDescent="0.4">
      <c r="A1501">
        <v>2049</v>
      </c>
    </row>
    <row r="1503" spans="1:10" x14ac:dyDescent="0.4">
      <c r="A1503" t="s">
        <v>0</v>
      </c>
      <c r="B1503" s="2">
        <v>0.01</v>
      </c>
      <c r="C1503" s="2">
        <v>0.05</v>
      </c>
      <c r="D1503" s="2">
        <v>0.1</v>
      </c>
      <c r="E1503" s="2">
        <v>0.25</v>
      </c>
      <c r="F1503" s="2">
        <v>0.5</v>
      </c>
      <c r="G1503" s="2">
        <v>0.75</v>
      </c>
      <c r="H1503" s="2">
        <v>0.9</v>
      </c>
      <c r="I1503" s="2">
        <v>0.95</v>
      </c>
      <c r="J1503" s="2">
        <v>0.99</v>
      </c>
    </row>
    <row r="1504" spans="1:10" x14ac:dyDescent="0.4">
      <c r="A1504">
        <v>1</v>
      </c>
      <c r="B1504">
        <v>68.617500000000007</v>
      </c>
      <c r="C1504">
        <v>69.772499999999994</v>
      </c>
      <c r="D1504">
        <v>78.064800000000005</v>
      </c>
      <c r="E1504">
        <v>102.7353</v>
      </c>
      <c r="F1504">
        <v>168.62200000000001</v>
      </c>
      <c r="G1504">
        <v>238.48699999999999</v>
      </c>
      <c r="H1504">
        <v>277.98099999999999</v>
      </c>
      <c r="I1504">
        <v>305.19909999999999</v>
      </c>
      <c r="J1504">
        <v>322.23590000000002</v>
      </c>
    </row>
    <row r="1505" spans="1:10" x14ac:dyDescent="0.4">
      <c r="A1505">
        <v>2</v>
      </c>
      <c r="B1505">
        <v>25.9117</v>
      </c>
      <c r="C1505">
        <v>40.816400000000002</v>
      </c>
      <c r="D1505">
        <v>45.4009</v>
      </c>
      <c r="E1505">
        <v>60.796900000000001</v>
      </c>
      <c r="F1505">
        <v>97.558999999999997</v>
      </c>
      <c r="G1505">
        <v>139.53319999999999</v>
      </c>
      <c r="H1505">
        <v>167.86539999999999</v>
      </c>
      <c r="I1505">
        <v>180.0924</v>
      </c>
      <c r="J1505">
        <v>215.77670000000001</v>
      </c>
    </row>
    <row r="1506" spans="1:10" x14ac:dyDescent="0.4">
      <c r="A1506">
        <v>3</v>
      </c>
      <c r="B1506">
        <v>0.54959999999999998</v>
      </c>
      <c r="C1506">
        <v>15.9381</v>
      </c>
      <c r="D1506">
        <v>20.849399999999999</v>
      </c>
      <c r="E1506">
        <v>28.610299999999999</v>
      </c>
      <c r="F1506">
        <v>48.52</v>
      </c>
      <c r="G1506">
        <v>73.862399999999994</v>
      </c>
      <c r="H1506">
        <v>93.186700000000002</v>
      </c>
      <c r="I1506">
        <v>102.0771</v>
      </c>
      <c r="J1506">
        <v>116.8706</v>
      </c>
    </row>
    <row r="1507" spans="1:10" x14ac:dyDescent="0.4">
      <c r="A1507">
        <v>4</v>
      </c>
      <c r="B1507">
        <v>1.6000000000000001E-3</v>
      </c>
      <c r="C1507">
        <v>2.9028</v>
      </c>
      <c r="D1507">
        <v>6.3550000000000004</v>
      </c>
      <c r="E1507">
        <v>11.406499999999999</v>
      </c>
      <c r="F1507">
        <v>20.896000000000001</v>
      </c>
      <c r="G1507">
        <v>32.9054</v>
      </c>
      <c r="H1507">
        <v>44.601999999999997</v>
      </c>
      <c r="I1507">
        <v>51.418300000000002</v>
      </c>
      <c r="J1507">
        <v>67.508300000000006</v>
      </c>
    </row>
    <row r="1508" spans="1:10" x14ac:dyDescent="0.4">
      <c r="A1508">
        <v>5</v>
      </c>
      <c r="B1508">
        <v>1E-3</v>
      </c>
      <c r="C1508">
        <v>0.47370000000000001</v>
      </c>
      <c r="D1508">
        <v>1.6347</v>
      </c>
      <c r="E1508">
        <v>4.1601999999999997</v>
      </c>
      <c r="F1508">
        <v>8.3054000000000006</v>
      </c>
      <c r="G1508">
        <v>15.0303</v>
      </c>
      <c r="H1508">
        <v>22.0213</v>
      </c>
      <c r="I1508">
        <v>26.6021</v>
      </c>
      <c r="J1508">
        <v>40.795400000000001</v>
      </c>
    </row>
    <row r="1509" spans="1:10" x14ac:dyDescent="0.4">
      <c r="A1509">
        <v>6</v>
      </c>
      <c r="B1509">
        <v>1E-4</v>
      </c>
      <c r="C1509">
        <v>5.6399999999999999E-2</v>
      </c>
      <c r="D1509">
        <v>0.31240000000000001</v>
      </c>
      <c r="E1509">
        <v>1.4723999999999999</v>
      </c>
      <c r="F1509">
        <v>3.3626</v>
      </c>
      <c r="G1509">
        <v>7.0928000000000004</v>
      </c>
      <c r="H1509">
        <v>10.978</v>
      </c>
      <c r="I1509">
        <v>13.730499999999999</v>
      </c>
      <c r="J1509">
        <v>18.497299999999999</v>
      </c>
    </row>
    <row r="1510" spans="1:10" x14ac:dyDescent="0.4">
      <c r="A1510">
        <v>7</v>
      </c>
      <c r="B1510">
        <v>0</v>
      </c>
      <c r="C1510">
        <v>9.4000000000000004E-3</v>
      </c>
      <c r="D1510">
        <v>7.2999999999999995E-2</v>
      </c>
      <c r="E1510">
        <v>0.44</v>
      </c>
      <c r="F1510">
        <v>1.3379000000000001</v>
      </c>
      <c r="G1510">
        <v>3.0488</v>
      </c>
      <c r="H1510">
        <v>5.1931000000000003</v>
      </c>
      <c r="I1510">
        <v>6.4580000000000002</v>
      </c>
      <c r="J1510">
        <v>9.9481999999999999</v>
      </c>
    </row>
    <row r="1511" spans="1:10" x14ac:dyDescent="0.4">
      <c r="A1511">
        <v>8</v>
      </c>
      <c r="B1511">
        <v>0</v>
      </c>
      <c r="C1511">
        <v>1.2999999999999999E-3</v>
      </c>
      <c r="D1511">
        <v>1.72E-2</v>
      </c>
      <c r="E1511">
        <v>0.15329999999999999</v>
      </c>
      <c r="F1511">
        <v>0.56699999999999995</v>
      </c>
      <c r="G1511">
        <v>1.3915999999999999</v>
      </c>
      <c r="H1511">
        <v>2.4079000000000002</v>
      </c>
      <c r="I1511">
        <v>3.1606000000000001</v>
      </c>
      <c r="J1511">
        <v>5.0972999999999997</v>
      </c>
    </row>
    <row r="1512" spans="1:10" x14ac:dyDescent="0.4">
      <c r="A1512">
        <v>9</v>
      </c>
      <c r="B1512">
        <v>0</v>
      </c>
      <c r="C1512">
        <v>5.0000000000000001E-4</v>
      </c>
      <c r="D1512">
        <v>3.7000000000000002E-3</v>
      </c>
      <c r="E1512">
        <v>5.1900000000000002E-2</v>
      </c>
      <c r="F1512">
        <v>0.24229999999999999</v>
      </c>
      <c r="G1512">
        <v>0.66549999999999998</v>
      </c>
      <c r="H1512">
        <v>1.2236</v>
      </c>
      <c r="I1512">
        <v>1.6927000000000001</v>
      </c>
      <c r="J1512">
        <v>2.9060999999999999</v>
      </c>
    </row>
    <row r="1513" spans="1:10" x14ac:dyDescent="0.4">
      <c r="A1513">
        <v>10</v>
      </c>
      <c r="B1513">
        <v>0</v>
      </c>
      <c r="C1513">
        <v>1E-4</v>
      </c>
      <c r="D1513">
        <v>1E-3</v>
      </c>
      <c r="E1513">
        <v>2.0199999999999999E-2</v>
      </c>
      <c r="F1513">
        <v>9.6699999999999994E-2</v>
      </c>
      <c r="G1513">
        <v>0.28039999999999998</v>
      </c>
      <c r="H1513">
        <v>0.6411</v>
      </c>
      <c r="I1513">
        <v>0.87170000000000003</v>
      </c>
      <c r="J1513">
        <v>1.5174000000000001</v>
      </c>
    </row>
    <row r="1514" spans="1:10" x14ac:dyDescent="0.4">
      <c r="A1514">
        <v>11</v>
      </c>
      <c r="B1514">
        <v>0</v>
      </c>
      <c r="C1514">
        <v>0</v>
      </c>
      <c r="D1514">
        <v>4.0000000000000002E-4</v>
      </c>
      <c r="E1514">
        <v>7.1999999999999998E-3</v>
      </c>
      <c r="F1514">
        <v>4.07E-2</v>
      </c>
      <c r="G1514">
        <v>0.126</v>
      </c>
      <c r="H1514">
        <v>0.3024</v>
      </c>
      <c r="I1514">
        <v>0.46210000000000001</v>
      </c>
      <c r="J1514">
        <v>0.87260000000000004</v>
      </c>
    </row>
    <row r="1515" spans="1:10" x14ac:dyDescent="0.4">
      <c r="A1515">
        <v>12</v>
      </c>
      <c r="B1515">
        <v>0</v>
      </c>
      <c r="C1515">
        <v>0</v>
      </c>
      <c r="D1515">
        <v>1E-4</v>
      </c>
      <c r="E1515">
        <v>2.7000000000000001E-3</v>
      </c>
      <c r="F1515">
        <v>1.78E-2</v>
      </c>
      <c r="G1515">
        <v>6.3799999999999996E-2</v>
      </c>
      <c r="H1515">
        <v>0.15329999999999999</v>
      </c>
      <c r="I1515">
        <v>0.2339</v>
      </c>
      <c r="J1515">
        <v>0.51090000000000002</v>
      </c>
    </row>
    <row r="1516" spans="1:10" x14ac:dyDescent="0.4">
      <c r="A1516">
        <v>13</v>
      </c>
      <c r="B1516">
        <v>0</v>
      </c>
      <c r="C1516">
        <v>0</v>
      </c>
      <c r="D1516">
        <v>0</v>
      </c>
      <c r="E1516">
        <v>1E-3</v>
      </c>
      <c r="F1516">
        <v>7.9000000000000008E-3</v>
      </c>
      <c r="G1516">
        <v>0.03</v>
      </c>
      <c r="H1516">
        <v>7.1900000000000006E-2</v>
      </c>
      <c r="I1516">
        <v>0.1157</v>
      </c>
      <c r="J1516">
        <v>0.24879999999999999</v>
      </c>
    </row>
    <row r="1517" spans="1:10" x14ac:dyDescent="0.4">
      <c r="A1517">
        <v>14</v>
      </c>
      <c r="B1517">
        <v>0</v>
      </c>
      <c r="C1517">
        <v>0</v>
      </c>
      <c r="D1517">
        <v>0</v>
      </c>
      <c r="E1517">
        <v>4.0000000000000002E-4</v>
      </c>
      <c r="F1517">
        <v>3.2000000000000002E-3</v>
      </c>
      <c r="G1517">
        <v>1.3899999999999999E-2</v>
      </c>
      <c r="H1517">
        <v>3.6700000000000003E-2</v>
      </c>
      <c r="I1517">
        <v>5.9700000000000003E-2</v>
      </c>
      <c r="J1517">
        <v>0.12540000000000001</v>
      </c>
    </row>
    <row r="1518" spans="1:10" x14ac:dyDescent="0.4">
      <c r="A1518" t="s">
        <v>29</v>
      </c>
      <c r="B1518">
        <v>0</v>
      </c>
      <c r="C1518">
        <v>0</v>
      </c>
      <c r="D1518">
        <v>0</v>
      </c>
      <c r="E1518">
        <v>2.9999999999999997E-4</v>
      </c>
      <c r="F1518">
        <v>2.8999999999999998E-3</v>
      </c>
      <c r="G1518">
        <v>1.34E-2</v>
      </c>
      <c r="H1518">
        <v>3.6200000000000003E-2</v>
      </c>
      <c r="I1518">
        <v>5.8099999999999999E-2</v>
      </c>
      <c r="J1518">
        <v>0.16370000000000001</v>
      </c>
    </row>
    <row r="1520" spans="1:10" x14ac:dyDescent="0.4">
      <c r="A1520">
        <v>2050</v>
      </c>
    </row>
    <row r="1522" spans="1:10" x14ac:dyDescent="0.4">
      <c r="A1522" t="s">
        <v>0</v>
      </c>
      <c r="B1522" s="2">
        <v>0.01</v>
      </c>
      <c r="C1522" s="2">
        <v>0.05</v>
      </c>
      <c r="D1522" s="2">
        <v>0.1</v>
      </c>
      <c r="E1522" s="2">
        <v>0.25</v>
      </c>
      <c r="F1522" s="2">
        <v>0.5</v>
      </c>
      <c r="G1522" s="2">
        <v>0.75</v>
      </c>
      <c r="H1522" s="2">
        <v>0.9</v>
      </c>
      <c r="I1522" s="2">
        <v>0.95</v>
      </c>
      <c r="J1522" s="2">
        <v>0.99</v>
      </c>
    </row>
    <row r="1523" spans="1:10" x14ac:dyDescent="0.4">
      <c r="A1523">
        <v>1</v>
      </c>
      <c r="B1523">
        <v>68.455100000000002</v>
      </c>
      <c r="C1523">
        <v>71.171400000000006</v>
      </c>
      <c r="D1523">
        <v>79.619100000000003</v>
      </c>
      <c r="E1523">
        <v>105.8171</v>
      </c>
      <c r="F1523">
        <v>168.1934</v>
      </c>
      <c r="G1523">
        <v>236.85079999999999</v>
      </c>
      <c r="H1523">
        <v>285.14190000000002</v>
      </c>
      <c r="I1523">
        <v>310.91570000000002</v>
      </c>
      <c r="J1523">
        <v>325.44830000000002</v>
      </c>
    </row>
    <row r="1524" spans="1:10" x14ac:dyDescent="0.4">
      <c r="A1524">
        <v>2</v>
      </c>
      <c r="B1524">
        <v>1E-3</v>
      </c>
      <c r="C1524">
        <v>40.396799999999999</v>
      </c>
      <c r="D1524">
        <v>44.881999999999998</v>
      </c>
      <c r="E1524">
        <v>59.190800000000003</v>
      </c>
      <c r="F1524">
        <v>98.504000000000005</v>
      </c>
      <c r="G1524">
        <v>139.48050000000001</v>
      </c>
      <c r="H1524">
        <v>167.02889999999999</v>
      </c>
      <c r="I1524">
        <v>180.70169999999999</v>
      </c>
      <c r="J1524">
        <v>202.4135</v>
      </c>
    </row>
    <row r="1525" spans="1:10" x14ac:dyDescent="0.4">
      <c r="A1525">
        <v>3</v>
      </c>
      <c r="B1525">
        <v>1E-3</v>
      </c>
      <c r="C1525">
        <v>15.0609</v>
      </c>
      <c r="D1525">
        <v>20.592199999999998</v>
      </c>
      <c r="E1525">
        <v>28.719799999999999</v>
      </c>
      <c r="F1525">
        <v>47.6462</v>
      </c>
      <c r="G1525">
        <v>72.362899999999996</v>
      </c>
      <c r="H1525">
        <v>90.906599999999997</v>
      </c>
      <c r="I1525">
        <v>100.7187</v>
      </c>
      <c r="J1525">
        <v>122.72709999999999</v>
      </c>
    </row>
    <row r="1526" spans="1:10" x14ac:dyDescent="0.4">
      <c r="A1526">
        <v>4</v>
      </c>
      <c r="B1526">
        <v>1E-3</v>
      </c>
      <c r="C1526">
        <v>2.9161999999999999</v>
      </c>
      <c r="D1526">
        <v>6.37</v>
      </c>
      <c r="E1526">
        <v>11.436</v>
      </c>
      <c r="F1526">
        <v>20.506599999999999</v>
      </c>
      <c r="G1526">
        <v>35.011800000000001</v>
      </c>
      <c r="H1526">
        <v>46.494500000000002</v>
      </c>
      <c r="I1526">
        <v>52.921100000000003</v>
      </c>
      <c r="J1526">
        <v>67.233999999999995</v>
      </c>
    </row>
    <row r="1527" spans="1:10" x14ac:dyDescent="0.4">
      <c r="A1527">
        <v>5</v>
      </c>
      <c r="B1527">
        <v>1E-3</v>
      </c>
      <c r="C1527">
        <v>0.34799999999999998</v>
      </c>
      <c r="D1527">
        <v>1.6684000000000001</v>
      </c>
      <c r="E1527">
        <v>4.1737000000000002</v>
      </c>
      <c r="F1527">
        <v>8.3329000000000004</v>
      </c>
      <c r="G1527">
        <v>14.8527</v>
      </c>
      <c r="H1527">
        <v>21.498100000000001</v>
      </c>
      <c r="I1527">
        <v>25.916699999999999</v>
      </c>
      <c r="J1527">
        <v>36.4497</v>
      </c>
    </row>
    <row r="1528" spans="1:10" x14ac:dyDescent="0.4">
      <c r="A1528">
        <v>6</v>
      </c>
      <c r="B1528">
        <v>2.9999999999999997E-4</v>
      </c>
      <c r="C1528">
        <v>3.95E-2</v>
      </c>
      <c r="D1528">
        <v>0.40870000000000001</v>
      </c>
      <c r="E1528">
        <v>1.3479000000000001</v>
      </c>
      <c r="F1528">
        <v>3.3677000000000001</v>
      </c>
      <c r="G1528">
        <v>6.6325000000000003</v>
      </c>
      <c r="H1528">
        <v>10.4991</v>
      </c>
      <c r="I1528">
        <v>13.281499999999999</v>
      </c>
      <c r="J1528">
        <v>21.767099999999999</v>
      </c>
    </row>
    <row r="1529" spans="1:10" x14ac:dyDescent="0.4">
      <c r="A1529">
        <v>7</v>
      </c>
      <c r="B1529">
        <v>0</v>
      </c>
      <c r="C1529">
        <v>4.5999999999999999E-3</v>
      </c>
      <c r="D1529">
        <v>7.6300000000000007E-2</v>
      </c>
      <c r="E1529">
        <v>0.48849999999999999</v>
      </c>
      <c r="F1529">
        <v>1.36</v>
      </c>
      <c r="G1529">
        <v>3.0253999999999999</v>
      </c>
      <c r="H1529">
        <v>5.1811999999999996</v>
      </c>
      <c r="I1529">
        <v>6.8396999999999997</v>
      </c>
      <c r="J1529">
        <v>9.4296000000000006</v>
      </c>
    </row>
    <row r="1530" spans="1:10" x14ac:dyDescent="0.4">
      <c r="A1530">
        <v>8</v>
      </c>
      <c r="B1530">
        <v>0</v>
      </c>
      <c r="C1530">
        <v>1.1000000000000001E-3</v>
      </c>
      <c r="D1530">
        <v>1.4200000000000001E-2</v>
      </c>
      <c r="E1530">
        <v>0.1444</v>
      </c>
      <c r="F1530">
        <v>0.55379999999999996</v>
      </c>
      <c r="G1530">
        <v>1.3563000000000001</v>
      </c>
      <c r="H1530">
        <v>2.4405000000000001</v>
      </c>
      <c r="I1530">
        <v>3.2088000000000001</v>
      </c>
      <c r="J1530">
        <v>5.2138</v>
      </c>
    </row>
    <row r="1531" spans="1:10" x14ac:dyDescent="0.4">
      <c r="A1531">
        <v>9</v>
      </c>
      <c r="B1531">
        <v>0</v>
      </c>
      <c r="C1531">
        <v>2.9999999999999997E-4</v>
      </c>
      <c r="D1531">
        <v>4.1000000000000003E-3</v>
      </c>
      <c r="E1531">
        <v>5.1200000000000002E-2</v>
      </c>
      <c r="F1531">
        <v>0.2311</v>
      </c>
      <c r="G1531">
        <v>0.63060000000000005</v>
      </c>
      <c r="H1531">
        <v>1.1234</v>
      </c>
      <c r="I1531">
        <v>1.5858000000000001</v>
      </c>
      <c r="J1531">
        <v>2.7437999999999998</v>
      </c>
    </row>
    <row r="1532" spans="1:10" x14ac:dyDescent="0.4">
      <c r="A1532">
        <v>10</v>
      </c>
      <c r="B1532">
        <v>0</v>
      </c>
      <c r="C1532">
        <v>0</v>
      </c>
      <c r="D1532">
        <v>1E-3</v>
      </c>
      <c r="E1532">
        <v>1.84E-2</v>
      </c>
      <c r="F1532">
        <v>9.7600000000000006E-2</v>
      </c>
      <c r="G1532">
        <v>0.31240000000000001</v>
      </c>
      <c r="H1532">
        <v>0.61250000000000004</v>
      </c>
      <c r="I1532">
        <v>0.84799999999999998</v>
      </c>
      <c r="J1532">
        <v>1.6267</v>
      </c>
    </row>
    <row r="1533" spans="1:10" x14ac:dyDescent="0.4">
      <c r="A1533">
        <v>11</v>
      </c>
      <c r="B1533">
        <v>0</v>
      </c>
      <c r="C1533">
        <v>0</v>
      </c>
      <c r="D1533">
        <v>2.9999999999999997E-4</v>
      </c>
      <c r="E1533">
        <v>7.3000000000000001E-3</v>
      </c>
      <c r="F1533">
        <v>4.1500000000000002E-2</v>
      </c>
      <c r="G1533">
        <v>0.13289999999999999</v>
      </c>
      <c r="H1533">
        <v>0.31</v>
      </c>
      <c r="I1533">
        <v>0.4617</v>
      </c>
      <c r="J1533">
        <v>0.79649999999999999</v>
      </c>
    </row>
    <row r="1534" spans="1:10" x14ac:dyDescent="0.4">
      <c r="A1534">
        <v>12</v>
      </c>
      <c r="B1534">
        <v>0</v>
      </c>
      <c r="C1534">
        <v>0</v>
      </c>
      <c r="D1534">
        <v>1E-4</v>
      </c>
      <c r="E1534">
        <v>2.5000000000000001E-3</v>
      </c>
      <c r="F1534">
        <v>1.77E-2</v>
      </c>
      <c r="G1534">
        <v>5.8200000000000002E-2</v>
      </c>
      <c r="H1534">
        <v>0.14169999999999999</v>
      </c>
      <c r="I1534">
        <v>0.23860000000000001</v>
      </c>
      <c r="J1534">
        <v>0.51780000000000004</v>
      </c>
    </row>
    <row r="1535" spans="1:10" x14ac:dyDescent="0.4">
      <c r="A1535">
        <v>13</v>
      </c>
      <c r="B1535">
        <v>0</v>
      </c>
      <c r="C1535">
        <v>0</v>
      </c>
      <c r="D1535">
        <v>0</v>
      </c>
      <c r="E1535">
        <v>1E-3</v>
      </c>
      <c r="F1535">
        <v>7.7000000000000002E-3</v>
      </c>
      <c r="G1535">
        <v>3.1E-2</v>
      </c>
      <c r="H1535">
        <v>7.51E-2</v>
      </c>
      <c r="I1535">
        <v>0.1229</v>
      </c>
      <c r="J1535">
        <v>0.26319999999999999</v>
      </c>
    </row>
    <row r="1536" spans="1:10" x14ac:dyDescent="0.4">
      <c r="A1536">
        <v>14</v>
      </c>
      <c r="B1536">
        <v>0</v>
      </c>
      <c r="C1536">
        <v>0</v>
      </c>
      <c r="D1536">
        <v>0</v>
      </c>
      <c r="E1536">
        <v>5.0000000000000001E-4</v>
      </c>
      <c r="F1536">
        <v>3.3E-3</v>
      </c>
      <c r="G1536">
        <v>1.46E-2</v>
      </c>
      <c r="H1536">
        <v>3.5900000000000001E-2</v>
      </c>
      <c r="I1536">
        <v>5.9299999999999999E-2</v>
      </c>
      <c r="J1536">
        <v>0.13300000000000001</v>
      </c>
    </row>
    <row r="1537" spans="1:10" x14ac:dyDescent="0.4">
      <c r="A1537" t="s">
        <v>29</v>
      </c>
      <c r="B1537">
        <v>0</v>
      </c>
      <c r="C1537">
        <v>0</v>
      </c>
      <c r="D1537">
        <v>0</v>
      </c>
      <c r="E1537">
        <v>2.9999999999999997E-4</v>
      </c>
      <c r="F1537">
        <v>2.8999999999999998E-3</v>
      </c>
      <c r="G1537">
        <v>1.35E-2</v>
      </c>
      <c r="H1537">
        <v>3.6900000000000002E-2</v>
      </c>
      <c r="I1537">
        <v>5.9900000000000002E-2</v>
      </c>
      <c r="J1537">
        <v>0.15629999999999999</v>
      </c>
    </row>
    <row r="1539" spans="1:10" x14ac:dyDescent="0.4">
      <c r="A1539">
        <v>2051</v>
      </c>
    </row>
    <row r="1541" spans="1:10" x14ac:dyDescent="0.4">
      <c r="A1541" t="s">
        <v>0</v>
      </c>
      <c r="B1541" s="2">
        <v>0.01</v>
      </c>
      <c r="C1541" s="2">
        <v>0.05</v>
      </c>
      <c r="D1541" s="2">
        <v>0.1</v>
      </c>
      <c r="E1541" s="2">
        <v>0.25</v>
      </c>
      <c r="F1541" s="2">
        <v>0.5</v>
      </c>
      <c r="G1541" s="2">
        <v>0.75</v>
      </c>
      <c r="H1541" s="2">
        <v>0.9</v>
      </c>
      <c r="I1541" s="2">
        <v>0.95</v>
      </c>
      <c r="J1541" s="2">
        <v>0.99</v>
      </c>
    </row>
    <row r="1542" spans="1:10" x14ac:dyDescent="0.4">
      <c r="A1542">
        <v>1</v>
      </c>
      <c r="B1542">
        <v>68.66</v>
      </c>
      <c r="C1542">
        <v>71.479699999999994</v>
      </c>
      <c r="D1542">
        <v>79.568299999999994</v>
      </c>
      <c r="E1542">
        <v>106.6189</v>
      </c>
      <c r="F1542">
        <v>169.5977</v>
      </c>
      <c r="G1542">
        <v>238.22720000000001</v>
      </c>
      <c r="H1542">
        <v>277.56720000000001</v>
      </c>
      <c r="I1542">
        <v>302.43900000000002</v>
      </c>
      <c r="J1542">
        <v>325.05529999999999</v>
      </c>
    </row>
    <row r="1543" spans="1:10" x14ac:dyDescent="0.4">
      <c r="A1543">
        <v>2</v>
      </c>
      <c r="B1543">
        <v>-1E-3</v>
      </c>
      <c r="C1543">
        <v>41.086799999999997</v>
      </c>
      <c r="D1543">
        <v>45.144399999999997</v>
      </c>
      <c r="E1543">
        <v>60.602600000000002</v>
      </c>
      <c r="F1543">
        <v>97.759200000000007</v>
      </c>
      <c r="G1543">
        <v>139.8492</v>
      </c>
      <c r="H1543">
        <v>169.67320000000001</v>
      </c>
      <c r="I1543">
        <v>182.9819</v>
      </c>
      <c r="J1543">
        <v>200.73740000000001</v>
      </c>
    </row>
    <row r="1544" spans="1:10" x14ac:dyDescent="0.4">
      <c r="A1544">
        <v>3</v>
      </c>
      <c r="B1544">
        <v>1E-3</v>
      </c>
      <c r="C1544">
        <v>14.504899999999999</v>
      </c>
      <c r="D1544">
        <v>19.876899999999999</v>
      </c>
      <c r="E1544">
        <v>28.290800000000001</v>
      </c>
      <c r="F1544">
        <v>47.445500000000003</v>
      </c>
      <c r="G1544">
        <v>72.784199999999998</v>
      </c>
      <c r="H1544">
        <v>92.049599999999998</v>
      </c>
      <c r="I1544">
        <v>101.2201</v>
      </c>
      <c r="J1544">
        <v>112.13339999999999</v>
      </c>
    </row>
    <row r="1545" spans="1:10" x14ac:dyDescent="0.4">
      <c r="A1545">
        <v>4</v>
      </c>
      <c r="B1545">
        <v>1E-3</v>
      </c>
      <c r="C1545">
        <v>2.8576999999999999</v>
      </c>
      <c r="D1545">
        <v>6.1927000000000003</v>
      </c>
      <c r="E1545">
        <v>10.962899999999999</v>
      </c>
      <c r="F1545">
        <v>20.451799999999999</v>
      </c>
      <c r="G1545">
        <v>33.6449</v>
      </c>
      <c r="H1545">
        <v>45.905900000000003</v>
      </c>
      <c r="I1545">
        <v>53.474899999999998</v>
      </c>
      <c r="J1545">
        <v>63.736699999999999</v>
      </c>
    </row>
    <row r="1546" spans="1:10" x14ac:dyDescent="0.4">
      <c r="A1546">
        <v>5</v>
      </c>
      <c r="B1546">
        <v>4.0000000000000002E-4</v>
      </c>
      <c r="C1546">
        <v>0.49299999999999999</v>
      </c>
      <c r="D1546">
        <v>1.5804</v>
      </c>
      <c r="E1546">
        <v>3.9449000000000001</v>
      </c>
      <c r="F1546">
        <v>8.4663000000000004</v>
      </c>
      <c r="G1546">
        <v>16.360099999999999</v>
      </c>
      <c r="H1546">
        <v>22.556699999999999</v>
      </c>
      <c r="I1546">
        <v>26.281600000000001</v>
      </c>
      <c r="J1546">
        <v>36.872199999999999</v>
      </c>
    </row>
    <row r="1547" spans="1:10" x14ac:dyDescent="0.4">
      <c r="A1547">
        <v>6</v>
      </c>
      <c r="B1547">
        <v>1E-4</v>
      </c>
      <c r="C1547">
        <v>6.9599999999999995E-2</v>
      </c>
      <c r="D1547">
        <v>0.35659999999999997</v>
      </c>
      <c r="E1547">
        <v>1.3595999999999999</v>
      </c>
      <c r="F1547">
        <v>3.3475999999999999</v>
      </c>
      <c r="G1547">
        <v>6.5244</v>
      </c>
      <c r="H1547">
        <v>10.3598</v>
      </c>
      <c r="I1547">
        <v>12.879099999999999</v>
      </c>
      <c r="J1547">
        <v>18.5473</v>
      </c>
    </row>
    <row r="1548" spans="1:10" x14ac:dyDescent="0.4">
      <c r="A1548">
        <v>7</v>
      </c>
      <c r="B1548">
        <v>0</v>
      </c>
      <c r="C1548">
        <v>4.7999999999999996E-3</v>
      </c>
      <c r="D1548">
        <v>9.1499999999999998E-2</v>
      </c>
      <c r="E1548">
        <v>0.43830000000000002</v>
      </c>
      <c r="F1548">
        <v>1.3257000000000001</v>
      </c>
      <c r="G1548">
        <v>2.9487000000000001</v>
      </c>
      <c r="H1548">
        <v>5.1618000000000004</v>
      </c>
      <c r="I1548">
        <v>6.7183999999999999</v>
      </c>
      <c r="J1548">
        <v>11.8744</v>
      </c>
    </row>
    <row r="1549" spans="1:10" x14ac:dyDescent="0.4">
      <c r="A1549">
        <v>8</v>
      </c>
      <c r="B1549">
        <v>0</v>
      </c>
      <c r="C1549">
        <v>1E-3</v>
      </c>
      <c r="D1549">
        <v>1.7600000000000001E-2</v>
      </c>
      <c r="E1549">
        <v>0.15690000000000001</v>
      </c>
      <c r="F1549">
        <v>0.54890000000000005</v>
      </c>
      <c r="G1549">
        <v>1.3933</v>
      </c>
      <c r="H1549">
        <v>2.4015</v>
      </c>
      <c r="I1549">
        <v>3.323</v>
      </c>
      <c r="J1549">
        <v>4.9767000000000001</v>
      </c>
    </row>
    <row r="1550" spans="1:10" x14ac:dyDescent="0.4">
      <c r="A1550">
        <v>9</v>
      </c>
      <c r="B1550">
        <v>0</v>
      </c>
      <c r="C1550">
        <v>5.9999999999999995E-4</v>
      </c>
      <c r="D1550">
        <v>3.3E-3</v>
      </c>
      <c r="E1550">
        <v>4.87E-2</v>
      </c>
      <c r="F1550">
        <v>0.22650000000000001</v>
      </c>
      <c r="G1550">
        <v>0.62329999999999997</v>
      </c>
      <c r="H1550">
        <v>1.1536</v>
      </c>
      <c r="I1550">
        <v>1.6547000000000001</v>
      </c>
      <c r="J1550">
        <v>2.6139999999999999</v>
      </c>
    </row>
    <row r="1551" spans="1:10" x14ac:dyDescent="0.4">
      <c r="A1551">
        <v>10</v>
      </c>
      <c r="B1551">
        <v>0</v>
      </c>
      <c r="C1551">
        <v>1E-4</v>
      </c>
      <c r="D1551">
        <v>1.1000000000000001E-3</v>
      </c>
      <c r="E1551">
        <v>1.7000000000000001E-2</v>
      </c>
      <c r="F1551">
        <v>9.64E-2</v>
      </c>
      <c r="G1551">
        <v>0.2969</v>
      </c>
      <c r="H1551">
        <v>0.56479999999999997</v>
      </c>
      <c r="I1551">
        <v>0.80169999999999997</v>
      </c>
      <c r="J1551">
        <v>1.5051000000000001</v>
      </c>
    </row>
    <row r="1552" spans="1:10" x14ac:dyDescent="0.4">
      <c r="A1552">
        <v>11</v>
      </c>
      <c r="B1552">
        <v>0</v>
      </c>
      <c r="C1552">
        <v>0</v>
      </c>
      <c r="D1552">
        <v>4.0000000000000002E-4</v>
      </c>
      <c r="E1552">
        <v>6.7000000000000002E-3</v>
      </c>
      <c r="F1552">
        <v>4.2900000000000001E-2</v>
      </c>
      <c r="G1552">
        <v>0.1439</v>
      </c>
      <c r="H1552">
        <v>0.31259999999999999</v>
      </c>
      <c r="I1552">
        <v>0.4279</v>
      </c>
      <c r="J1552">
        <v>0.92269999999999996</v>
      </c>
    </row>
    <row r="1553" spans="1:10" x14ac:dyDescent="0.4">
      <c r="A1553">
        <v>12</v>
      </c>
      <c r="B1553">
        <v>0</v>
      </c>
      <c r="C1553">
        <v>0</v>
      </c>
      <c r="D1553">
        <v>1E-4</v>
      </c>
      <c r="E1553">
        <v>2.5999999999999999E-3</v>
      </c>
      <c r="F1553">
        <v>1.78E-2</v>
      </c>
      <c r="G1553">
        <v>6.4699999999999994E-2</v>
      </c>
      <c r="H1553">
        <v>0.15060000000000001</v>
      </c>
      <c r="I1553">
        <v>0.2286</v>
      </c>
      <c r="J1553">
        <v>0.46329999999999999</v>
      </c>
    </row>
    <row r="1554" spans="1:10" x14ac:dyDescent="0.4">
      <c r="A1554">
        <v>13</v>
      </c>
      <c r="B1554">
        <v>0</v>
      </c>
      <c r="C1554">
        <v>0</v>
      </c>
      <c r="D1554">
        <v>0</v>
      </c>
      <c r="E1554">
        <v>1E-3</v>
      </c>
      <c r="F1554">
        <v>7.7999999999999996E-3</v>
      </c>
      <c r="G1554">
        <v>2.7900000000000001E-2</v>
      </c>
      <c r="H1554">
        <v>7.2599999999999998E-2</v>
      </c>
      <c r="I1554">
        <v>0.122</v>
      </c>
      <c r="J1554">
        <v>0.25259999999999999</v>
      </c>
    </row>
    <row r="1555" spans="1:10" x14ac:dyDescent="0.4">
      <c r="A1555">
        <v>14</v>
      </c>
      <c r="B1555">
        <v>0</v>
      </c>
      <c r="C1555">
        <v>0</v>
      </c>
      <c r="D1555">
        <v>0</v>
      </c>
      <c r="E1555">
        <v>4.0000000000000002E-4</v>
      </c>
      <c r="F1555">
        <v>3.3E-3</v>
      </c>
      <c r="G1555">
        <v>1.44E-2</v>
      </c>
      <c r="H1555">
        <v>3.78E-2</v>
      </c>
      <c r="I1555">
        <v>6.1800000000000001E-2</v>
      </c>
      <c r="J1555">
        <v>0.13969999999999999</v>
      </c>
    </row>
    <row r="1556" spans="1:10" x14ac:dyDescent="0.4">
      <c r="A1556" t="s">
        <v>29</v>
      </c>
      <c r="B1556">
        <v>0</v>
      </c>
      <c r="C1556">
        <v>0</v>
      </c>
      <c r="D1556">
        <v>0</v>
      </c>
      <c r="E1556">
        <v>2.9999999999999997E-4</v>
      </c>
      <c r="F1556">
        <v>2.8999999999999998E-3</v>
      </c>
      <c r="G1556">
        <v>1.4200000000000001E-2</v>
      </c>
      <c r="H1556">
        <v>3.49E-2</v>
      </c>
      <c r="I1556">
        <v>6.13E-2</v>
      </c>
      <c r="J1556">
        <v>0.14019999999999999</v>
      </c>
    </row>
    <row r="1558" spans="1:10" x14ac:dyDescent="0.4">
      <c r="A1558">
        <v>2052</v>
      </c>
    </row>
    <row r="1560" spans="1:10" x14ac:dyDescent="0.4">
      <c r="A1560" t="s">
        <v>0</v>
      </c>
      <c r="B1560" s="2">
        <v>0.01</v>
      </c>
      <c r="C1560" s="2">
        <v>0.05</v>
      </c>
      <c r="D1560" s="2">
        <v>0.1</v>
      </c>
      <c r="E1560" s="2">
        <v>0.25</v>
      </c>
      <c r="F1560" s="2">
        <v>0.5</v>
      </c>
      <c r="G1560" s="2">
        <v>0.75</v>
      </c>
      <c r="H1560" s="2">
        <v>0.9</v>
      </c>
      <c r="I1560" s="2">
        <v>0.95</v>
      </c>
      <c r="J1560" s="2">
        <v>0.99</v>
      </c>
    </row>
    <row r="1561" spans="1:10" x14ac:dyDescent="0.4">
      <c r="A1561">
        <v>1</v>
      </c>
      <c r="B1561">
        <v>68.399900000000002</v>
      </c>
      <c r="C1561">
        <v>69.716499999999996</v>
      </c>
      <c r="D1561">
        <v>77.189599999999999</v>
      </c>
      <c r="E1561">
        <v>103.6298</v>
      </c>
      <c r="F1561">
        <v>167.7056</v>
      </c>
      <c r="G1561">
        <v>232.3134</v>
      </c>
      <c r="H1561">
        <v>283.92189999999999</v>
      </c>
      <c r="I1561">
        <v>305.82310000000001</v>
      </c>
      <c r="J1561">
        <v>324.64879999999999</v>
      </c>
    </row>
    <row r="1562" spans="1:10" x14ac:dyDescent="0.4">
      <c r="A1562">
        <v>2</v>
      </c>
      <c r="B1562">
        <v>-1E-3</v>
      </c>
      <c r="C1562">
        <v>40.569200000000002</v>
      </c>
      <c r="D1562">
        <v>44.774799999999999</v>
      </c>
      <c r="E1562">
        <v>60.507899999999999</v>
      </c>
      <c r="F1562">
        <v>99.056200000000004</v>
      </c>
      <c r="G1562">
        <v>140.52809999999999</v>
      </c>
      <c r="H1562">
        <v>165.7483</v>
      </c>
      <c r="I1562">
        <v>180.0744</v>
      </c>
      <c r="J1562">
        <v>203.41470000000001</v>
      </c>
    </row>
    <row r="1563" spans="1:10" x14ac:dyDescent="0.4">
      <c r="A1563">
        <v>3</v>
      </c>
      <c r="B1563">
        <v>-1E-3</v>
      </c>
      <c r="C1563">
        <v>15.5787</v>
      </c>
      <c r="D1563">
        <v>20.321300000000001</v>
      </c>
      <c r="E1563">
        <v>28.678000000000001</v>
      </c>
      <c r="F1563">
        <v>48.709099999999999</v>
      </c>
      <c r="G1563">
        <v>71.686099999999996</v>
      </c>
      <c r="H1563">
        <v>91.183199999999999</v>
      </c>
      <c r="I1563">
        <v>101.36920000000001</v>
      </c>
      <c r="J1563">
        <v>116.113</v>
      </c>
    </row>
    <row r="1564" spans="1:10" x14ac:dyDescent="0.4">
      <c r="A1564">
        <v>4</v>
      </c>
      <c r="B1564">
        <v>1E-3</v>
      </c>
      <c r="C1564">
        <v>2.7703000000000002</v>
      </c>
      <c r="D1564">
        <v>5.7024999999999997</v>
      </c>
      <c r="E1564">
        <v>11.112399999999999</v>
      </c>
      <c r="F1564">
        <v>20.365100000000002</v>
      </c>
      <c r="G1564">
        <v>34.272300000000001</v>
      </c>
      <c r="H1564">
        <v>46.452300000000001</v>
      </c>
      <c r="I1564">
        <v>52.8857</v>
      </c>
      <c r="J1564">
        <v>61.031300000000002</v>
      </c>
    </row>
    <row r="1565" spans="1:10" x14ac:dyDescent="0.4">
      <c r="A1565">
        <v>5</v>
      </c>
      <c r="B1565">
        <v>2.9999999999999997E-4</v>
      </c>
      <c r="C1565">
        <v>0.34060000000000001</v>
      </c>
      <c r="D1565">
        <v>1.3855</v>
      </c>
      <c r="E1565">
        <v>3.7692999999999999</v>
      </c>
      <c r="F1565">
        <v>8.4951000000000008</v>
      </c>
      <c r="G1565">
        <v>15.5914</v>
      </c>
      <c r="H1565">
        <v>22.405100000000001</v>
      </c>
      <c r="I1565">
        <v>27.4117</v>
      </c>
      <c r="J1565">
        <v>34.328099999999999</v>
      </c>
    </row>
    <row r="1566" spans="1:10" x14ac:dyDescent="0.4">
      <c r="A1566">
        <v>6</v>
      </c>
      <c r="B1566">
        <v>0</v>
      </c>
      <c r="C1566">
        <v>7.7499999999999999E-2</v>
      </c>
      <c r="D1566">
        <v>0.27310000000000001</v>
      </c>
      <c r="E1566">
        <v>1.2632000000000001</v>
      </c>
      <c r="F1566">
        <v>3.3628</v>
      </c>
      <c r="G1566">
        <v>7.1459999999999999</v>
      </c>
      <c r="H1566">
        <v>10.703099999999999</v>
      </c>
      <c r="I1566">
        <v>12.8987</v>
      </c>
      <c r="J1566">
        <v>18.710699999999999</v>
      </c>
    </row>
    <row r="1567" spans="1:10" x14ac:dyDescent="0.4">
      <c r="A1567">
        <v>7</v>
      </c>
      <c r="B1567">
        <v>0</v>
      </c>
      <c r="C1567">
        <v>7.4999999999999997E-3</v>
      </c>
      <c r="D1567">
        <v>6.1499999999999999E-2</v>
      </c>
      <c r="E1567">
        <v>0.4637</v>
      </c>
      <c r="F1567">
        <v>1.3841000000000001</v>
      </c>
      <c r="G1567">
        <v>2.9573</v>
      </c>
      <c r="H1567">
        <v>5.0011000000000001</v>
      </c>
      <c r="I1567">
        <v>6.5148999999999999</v>
      </c>
      <c r="J1567">
        <v>10.164099999999999</v>
      </c>
    </row>
    <row r="1568" spans="1:10" x14ac:dyDescent="0.4">
      <c r="A1568">
        <v>8</v>
      </c>
      <c r="B1568">
        <v>0</v>
      </c>
      <c r="C1568">
        <v>1.1999999999999999E-3</v>
      </c>
      <c r="D1568">
        <v>1.8200000000000001E-2</v>
      </c>
      <c r="E1568">
        <v>0.14199999999999999</v>
      </c>
      <c r="F1568">
        <v>0.55940000000000001</v>
      </c>
      <c r="G1568">
        <v>1.3230999999999999</v>
      </c>
      <c r="H1568">
        <v>2.4786000000000001</v>
      </c>
      <c r="I1568">
        <v>3.3077000000000001</v>
      </c>
      <c r="J1568">
        <v>6.2769000000000004</v>
      </c>
    </row>
    <row r="1569" spans="1:10" x14ac:dyDescent="0.4">
      <c r="A1569">
        <v>9</v>
      </c>
      <c r="B1569">
        <v>0</v>
      </c>
      <c r="C1569">
        <v>6.9999999999999999E-4</v>
      </c>
      <c r="D1569">
        <v>3.5999999999999999E-3</v>
      </c>
      <c r="E1569">
        <v>5.2400000000000002E-2</v>
      </c>
      <c r="F1569">
        <v>0.23280000000000001</v>
      </c>
      <c r="G1569">
        <v>0.63919999999999999</v>
      </c>
      <c r="H1569">
        <v>1.2067000000000001</v>
      </c>
      <c r="I1569">
        <v>1.6659999999999999</v>
      </c>
      <c r="J1569">
        <v>2.5668000000000002</v>
      </c>
    </row>
    <row r="1570" spans="1:10" x14ac:dyDescent="0.4">
      <c r="A1570">
        <v>10</v>
      </c>
      <c r="B1570">
        <v>0</v>
      </c>
      <c r="C1570">
        <v>2.0000000000000001E-4</v>
      </c>
      <c r="D1570">
        <v>1E-3</v>
      </c>
      <c r="E1570">
        <v>1.7000000000000001E-2</v>
      </c>
      <c r="F1570">
        <v>9.6299999999999997E-2</v>
      </c>
      <c r="G1570">
        <v>0.2903</v>
      </c>
      <c r="H1570">
        <v>0.57730000000000004</v>
      </c>
      <c r="I1570">
        <v>0.85429999999999995</v>
      </c>
      <c r="J1570">
        <v>1.3660000000000001</v>
      </c>
    </row>
    <row r="1571" spans="1:10" x14ac:dyDescent="0.4">
      <c r="A1571">
        <v>11</v>
      </c>
      <c r="B1571">
        <v>0</v>
      </c>
      <c r="C1571">
        <v>0</v>
      </c>
      <c r="D1571">
        <v>4.0000000000000002E-4</v>
      </c>
      <c r="E1571">
        <v>5.8999999999999999E-3</v>
      </c>
      <c r="F1571">
        <v>4.1700000000000001E-2</v>
      </c>
      <c r="G1571">
        <v>0.1426</v>
      </c>
      <c r="H1571">
        <v>0.28310000000000002</v>
      </c>
      <c r="I1571">
        <v>0.41699999999999998</v>
      </c>
      <c r="J1571">
        <v>0.74870000000000003</v>
      </c>
    </row>
    <row r="1572" spans="1:10" x14ac:dyDescent="0.4">
      <c r="A1572">
        <v>12</v>
      </c>
      <c r="B1572">
        <v>0</v>
      </c>
      <c r="C1572">
        <v>0</v>
      </c>
      <c r="D1572">
        <v>1E-4</v>
      </c>
      <c r="E1572">
        <v>2.5999999999999999E-3</v>
      </c>
      <c r="F1572">
        <v>1.7899999999999999E-2</v>
      </c>
      <c r="G1572">
        <v>6.7000000000000004E-2</v>
      </c>
      <c r="H1572">
        <v>0.15970000000000001</v>
      </c>
      <c r="I1572">
        <v>0.21310000000000001</v>
      </c>
      <c r="J1572">
        <v>0.49759999999999999</v>
      </c>
    </row>
    <row r="1573" spans="1:10" x14ac:dyDescent="0.4">
      <c r="A1573">
        <v>13</v>
      </c>
      <c r="B1573">
        <v>0</v>
      </c>
      <c r="C1573">
        <v>0</v>
      </c>
      <c r="D1573">
        <v>0</v>
      </c>
      <c r="E1573">
        <v>1E-3</v>
      </c>
      <c r="F1573">
        <v>7.6E-3</v>
      </c>
      <c r="G1573">
        <v>3.0300000000000001E-2</v>
      </c>
      <c r="H1573">
        <v>7.5999999999999998E-2</v>
      </c>
      <c r="I1573">
        <v>0.1195</v>
      </c>
      <c r="J1573">
        <v>0.2394</v>
      </c>
    </row>
    <row r="1574" spans="1:10" x14ac:dyDescent="0.4">
      <c r="A1574">
        <v>14</v>
      </c>
      <c r="B1574">
        <v>0</v>
      </c>
      <c r="C1574">
        <v>0</v>
      </c>
      <c r="D1574">
        <v>0</v>
      </c>
      <c r="E1574">
        <v>4.0000000000000002E-4</v>
      </c>
      <c r="F1574">
        <v>3.3999999999999998E-3</v>
      </c>
      <c r="G1574">
        <v>1.35E-2</v>
      </c>
      <c r="H1574">
        <v>3.6799999999999999E-2</v>
      </c>
      <c r="I1574">
        <v>6.3700000000000007E-2</v>
      </c>
      <c r="J1574">
        <v>0.13689999999999999</v>
      </c>
    </row>
    <row r="1575" spans="1:10" x14ac:dyDescent="0.4">
      <c r="A1575" t="s">
        <v>29</v>
      </c>
      <c r="B1575">
        <v>0</v>
      </c>
      <c r="C1575">
        <v>0</v>
      </c>
      <c r="D1575">
        <v>0</v>
      </c>
      <c r="E1575">
        <v>2.9999999999999997E-4</v>
      </c>
      <c r="F1575">
        <v>2.8E-3</v>
      </c>
      <c r="G1575">
        <v>1.4500000000000001E-2</v>
      </c>
      <c r="H1575">
        <v>3.73E-2</v>
      </c>
      <c r="I1575">
        <v>6.4899999999999999E-2</v>
      </c>
      <c r="J1575">
        <v>0.1585</v>
      </c>
    </row>
    <row r="1577" spans="1:10" x14ac:dyDescent="0.4">
      <c r="A1577">
        <v>2053</v>
      </c>
    </row>
    <row r="1579" spans="1:10" x14ac:dyDescent="0.4">
      <c r="A1579" t="s">
        <v>0</v>
      </c>
      <c r="B1579" s="2">
        <v>0.01</v>
      </c>
      <c r="C1579" s="2">
        <v>0.05</v>
      </c>
      <c r="D1579" s="2">
        <v>0.1</v>
      </c>
      <c r="E1579" s="2">
        <v>0.25</v>
      </c>
      <c r="F1579" s="2">
        <v>0.5</v>
      </c>
      <c r="G1579" s="2">
        <v>0.75</v>
      </c>
      <c r="H1579" s="2">
        <v>0.9</v>
      </c>
      <c r="I1579" s="2">
        <v>0.95</v>
      </c>
      <c r="J1579" s="2">
        <v>0.99</v>
      </c>
    </row>
    <row r="1580" spans="1:10" x14ac:dyDescent="0.4">
      <c r="A1580">
        <v>1</v>
      </c>
      <c r="B1580">
        <v>68.471599999999995</v>
      </c>
      <c r="C1580">
        <v>72.27</v>
      </c>
      <c r="D1580">
        <v>79.886799999999994</v>
      </c>
      <c r="E1580">
        <v>106.4344</v>
      </c>
      <c r="F1580">
        <v>172.12370000000001</v>
      </c>
      <c r="G1580">
        <v>245.86009999999999</v>
      </c>
      <c r="H1580">
        <v>282.63670000000002</v>
      </c>
      <c r="I1580">
        <v>306.88810000000001</v>
      </c>
      <c r="J1580">
        <v>325.11430000000001</v>
      </c>
    </row>
    <row r="1581" spans="1:10" x14ac:dyDescent="0.4">
      <c r="A1581">
        <v>2</v>
      </c>
      <c r="B1581">
        <v>-1E-3</v>
      </c>
      <c r="C1581">
        <v>39.964599999999997</v>
      </c>
      <c r="D1581">
        <v>43.722299999999997</v>
      </c>
      <c r="E1581">
        <v>58.568300000000001</v>
      </c>
      <c r="F1581">
        <v>95.025499999999994</v>
      </c>
      <c r="G1581">
        <v>135.10290000000001</v>
      </c>
      <c r="H1581">
        <v>167.38919999999999</v>
      </c>
      <c r="I1581">
        <v>183.56440000000001</v>
      </c>
      <c r="J1581">
        <v>202.11969999999999</v>
      </c>
    </row>
    <row r="1582" spans="1:10" x14ac:dyDescent="0.4">
      <c r="A1582">
        <v>3</v>
      </c>
      <c r="B1582">
        <v>-1E-3</v>
      </c>
      <c r="C1582">
        <v>14.509600000000001</v>
      </c>
      <c r="D1582">
        <v>19.808900000000001</v>
      </c>
      <c r="E1582">
        <v>28.865400000000001</v>
      </c>
      <c r="F1582">
        <v>48.953200000000002</v>
      </c>
      <c r="G1582">
        <v>71.844499999999996</v>
      </c>
      <c r="H1582">
        <v>92.1678</v>
      </c>
      <c r="I1582">
        <v>99.7517</v>
      </c>
      <c r="J1582">
        <v>120.0099</v>
      </c>
    </row>
    <row r="1583" spans="1:10" x14ac:dyDescent="0.4">
      <c r="A1583">
        <v>4</v>
      </c>
      <c r="B1583">
        <v>-1E-3</v>
      </c>
      <c r="C1583">
        <v>2.6829999999999998</v>
      </c>
      <c r="D1583">
        <v>6.3377999999999997</v>
      </c>
      <c r="E1583">
        <v>11.1015</v>
      </c>
      <c r="F1583">
        <v>20.7624</v>
      </c>
      <c r="G1583">
        <v>32.628700000000002</v>
      </c>
      <c r="H1583">
        <v>46.192100000000003</v>
      </c>
      <c r="I1583">
        <v>53.210299999999997</v>
      </c>
      <c r="J1583">
        <v>64.382900000000006</v>
      </c>
    </row>
    <row r="1584" spans="1:10" x14ac:dyDescent="0.4">
      <c r="A1584">
        <v>5</v>
      </c>
      <c r="B1584">
        <v>1E-4</v>
      </c>
      <c r="C1584">
        <v>0.33929999999999999</v>
      </c>
      <c r="D1584">
        <v>1.3476999999999999</v>
      </c>
      <c r="E1584">
        <v>3.8791000000000002</v>
      </c>
      <c r="F1584">
        <v>8.3869000000000007</v>
      </c>
      <c r="G1584">
        <v>15.2182</v>
      </c>
      <c r="H1584">
        <v>22.7834</v>
      </c>
      <c r="I1584">
        <v>26.7607</v>
      </c>
      <c r="J1584">
        <v>32.822400000000002</v>
      </c>
    </row>
    <row r="1585" spans="1:10" x14ac:dyDescent="0.4">
      <c r="A1585">
        <v>6</v>
      </c>
      <c r="B1585">
        <v>0</v>
      </c>
      <c r="C1585">
        <v>3.9899999999999998E-2</v>
      </c>
      <c r="D1585">
        <v>0.27660000000000001</v>
      </c>
      <c r="E1585">
        <v>1.2104999999999999</v>
      </c>
      <c r="F1585">
        <v>3.3321000000000001</v>
      </c>
      <c r="G1585">
        <v>6.8559000000000001</v>
      </c>
      <c r="H1585">
        <v>10.9884</v>
      </c>
      <c r="I1585">
        <v>13.415900000000001</v>
      </c>
      <c r="J1585">
        <v>18.1005</v>
      </c>
    </row>
    <row r="1586" spans="1:10" x14ac:dyDescent="0.4">
      <c r="A1586">
        <v>7</v>
      </c>
      <c r="B1586">
        <v>0</v>
      </c>
      <c r="C1586">
        <v>5.7999999999999996E-3</v>
      </c>
      <c r="D1586">
        <v>5.3499999999999999E-2</v>
      </c>
      <c r="E1586">
        <v>0.40899999999999997</v>
      </c>
      <c r="F1586">
        <v>1.3448</v>
      </c>
      <c r="G1586">
        <v>3.1322999999999999</v>
      </c>
      <c r="H1586">
        <v>5.0872999999999999</v>
      </c>
      <c r="I1586">
        <v>6.4401000000000002</v>
      </c>
      <c r="J1586">
        <v>9.5239999999999991</v>
      </c>
    </row>
    <row r="1587" spans="1:10" x14ac:dyDescent="0.4">
      <c r="A1587">
        <v>8</v>
      </c>
      <c r="B1587">
        <v>0</v>
      </c>
      <c r="C1587">
        <v>1E-3</v>
      </c>
      <c r="D1587">
        <v>1.46E-2</v>
      </c>
      <c r="E1587">
        <v>0.15110000000000001</v>
      </c>
      <c r="F1587">
        <v>0.54969999999999997</v>
      </c>
      <c r="G1587">
        <v>1.2849999999999999</v>
      </c>
      <c r="H1587">
        <v>2.4346000000000001</v>
      </c>
      <c r="I1587">
        <v>3.3092999999999999</v>
      </c>
      <c r="J1587">
        <v>4.931</v>
      </c>
    </row>
    <row r="1588" spans="1:10" x14ac:dyDescent="0.4">
      <c r="A1588">
        <v>9</v>
      </c>
      <c r="B1588">
        <v>0</v>
      </c>
      <c r="C1588">
        <v>5.0000000000000001E-4</v>
      </c>
      <c r="D1588">
        <v>3.8E-3</v>
      </c>
      <c r="E1588">
        <v>4.6699999999999998E-2</v>
      </c>
      <c r="F1588">
        <v>0.23400000000000001</v>
      </c>
      <c r="G1588">
        <v>0.61360000000000003</v>
      </c>
      <c r="H1588">
        <v>1.1795</v>
      </c>
      <c r="I1588">
        <v>1.5933999999999999</v>
      </c>
      <c r="J1588">
        <v>3.2688000000000001</v>
      </c>
    </row>
    <row r="1589" spans="1:10" x14ac:dyDescent="0.4">
      <c r="A1589">
        <v>10</v>
      </c>
      <c r="B1589">
        <v>0</v>
      </c>
      <c r="C1589">
        <v>1E-4</v>
      </c>
      <c r="D1589">
        <v>1E-3</v>
      </c>
      <c r="E1589">
        <v>1.8100000000000002E-2</v>
      </c>
      <c r="F1589">
        <v>9.8000000000000004E-2</v>
      </c>
      <c r="G1589">
        <v>0.2944</v>
      </c>
      <c r="H1589">
        <v>0.57750000000000001</v>
      </c>
      <c r="I1589">
        <v>0.87039999999999995</v>
      </c>
      <c r="J1589">
        <v>1.4065000000000001</v>
      </c>
    </row>
    <row r="1590" spans="1:10" x14ac:dyDescent="0.4">
      <c r="A1590">
        <v>11</v>
      </c>
      <c r="B1590">
        <v>0</v>
      </c>
      <c r="C1590">
        <v>0</v>
      </c>
      <c r="D1590">
        <v>2.9999999999999997E-4</v>
      </c>
      <c r="E1590">
        <v>5.7000000000000002E-3</v>
      </c>
      <c r="F1590">
        <v>0.04</v>
      </c>
      <c r="G1590">
        <v>0.13700000000000001</v>
      </c>
      <c r="H1590">
        <v>0.28239999999999998</v>
      </c>
      <c r="I1590">
        <v>0.44600000000000001</v>
      </c>
      <c r="J1590">
        <v>0.72460000000000002</v>
      </c>
    </row>
    <row r="1591" spans="1:10" x14ac:dyDescent="0.4">
      <c r="A1591">
        <v>12</v>
      </c>
      <c r="B1591">
        <v>0</v>
      </c>
      <c r="C1591">
        <v>0</v>
      </c>
      <c r="D1591">
        <v>1E-4</v>
      </c>
      <c r="E1591">
        <v>2.3E-3</v>
      </c>
      <c r="F1591">
        <v>1.84E-2</v>
      </c>
      <c r="G1591">
        <v>6.4600000000000005E-2</v>
      </c>
      <c r="H1591">
        <v>0.13930000000000001</v>
      </c>
      <c r="I1591">
        <v>0.21249999999999999</v>
      </c>
      <c r="J1591">
        <v>0.38059999999999999</v>
      </c>
    </row>
    <row r="1592" spans="1:10" x14ac:dyDescent="0.4">
      <c r="A1592">
        <v>13</v>
      </c>
      <c r="B1592">
        <v>0</v>
      </c>
      <c r="C1592">
        <v>0</v>
      </c>
      <c r="D1592">
        <v>0</v>
      </c>
      <c r="E1592">
        <v>1E-3</v>
      </c>
      <c r="F1592">
        <v>7.3000000000000001E-3</v>
      </c>
      <c r="G1592">
        <v>3.27E-2</v>
      </c>
      <c r="H1592">
        <v>7.8799999999999995E-2</v>
      </c>
      <c r="I1592">
        <v>0.1087</v>
      </c>
      <c r="J1592">
        <v>0.26419999999999999</v>
      </c>
    </row>
    <row r="1593" spans="1:10" x14ac:dyDescent="0.4">
      <c r="A1593">
        <v>14</v>
      </c>
      <c r="B1593">
        <v>0</v>
      </c>
      <c r="C1593">
        <v>0</v>
      </c>
      <c r="D1593">
        <v>0</v>
      </c>
      <c r="E1593">
        <v>4.0000000000000002E-4</v>
      </c>
      <c r="F1593">
        <v>3.3999999999999998E-3</v>
      </c>
      <c r="G1593">
        <v>1.4500000000000001E-2</v>
      </c>
      <c r="H1593">
        <v>3.95E-2</v>
      </c>
      <c r="I1593">
        <v>6.2399999999999997E-2</v>
      </c>
      <c r="J1593">
        <v>0.1249</v>
      </c>
    </row>
    <row r="1594" spans="1:10" x14ac:dyDescent="0.4">
      <c r="A1594" t="s">
        <v>29</v>
      </c>
      <c r="B1594">
        <v>0</v>
      </c>
      <c r="C1594">
        <v>0</v>
      </c>
      <c r="D1594">
        <v>0</v>
      </c>
      <c r="E1594">
        <v>2.9999999999999997E-4</v>
      </c>
      <c r="F1594">
        <v>2.8999999999999998E-3</v>
      </c>
      <c r="G1594">
        <v>1.41E-2</v>
      </c>
      <c r="H1594">
        <v>3.7900000000000003E-2</v>
      </c>
      <c r="I1594">
        <v>5.9900000000000002E-2</v>
      </c>
      <c r="J1594">
        <v>0.16550000000000001</v>
      </c>
    </row>
    <row r="1596" spans="1:10" x14ac:dyDescent="0.4">
      <c r="A1596">
        <v>2054</v>
      </c>
    </row>
    <row r="1598" spans="1:10" x14ac:dyDescent="0.4">
      <c r="A1598" t="s">
        <v>0</v>
      </c>
      <c r="B1598" s="2">
        <v>0.01</v>
      </c>
      <c r="C1598" s="2">
        <v>0.05</v>
      </c>
      <c r="D1598" s="2">
        <v>0.1</v>
      </c>
      <c r="E1598" s="2">
        <v>0.25</v>
      </c>
      <c r="F1598" s="2">
        <v>0.5</v>
      </c>
      <c r="G1598" s="2">
        <v>0.75</v>
      </c>
      <c r="H1598" s="2">
        <v>0.9</v>
      </c>
      <c r="I1598" s="2">
        <v>0.95</v>
      </c>
      <c r="J1598" s="2">
        <v>0.99</v>
      </c>
    </row>
    <row r="1599" spans="1:10" x14ac:dyDescent="0.4">
      <c r="A1599">
        <v>1</v>
      </c>
      <c r="B1599">
        <v>68.5976</v>
      </c>
      <c r="C1599">
        <v>69.824600000000004</v>
      </c>
      <c r="D1599">
        <v>78.612099999999998</v>
      </c>
      <c r="E1599">
        <v>106.9195</v>
      </c>
      <c r="F1599">
        <v>169.53649999999999</v>
      </c>
      <c r="G1599">
        <v>245.51439999999999</v>
      </c>
      <c r="H1599">
        <v>282.44549999999998</v>
      </c>
      <c r="I1599">
        <v>306.1157</v>
      </c>
      <c r="J1599">
        <v>325.39409999999998</v>
      </c>
    </row>
    <row r="1600" spans="1:10" x14ac:dyDescent="0.4">
      <c r="A1600">
        <v>2</v>
      </c>
      <c r="B1600">
        <v>-1E-3</v>
      </c>
      <c r="C1600">
        <v>40.9529</v>
      </c>
      <c r="D1600">
        <v>45.584699999999998</v>
      </c>
      <c r="E1600">
        <v>60.363399999999999</v>
      </c>
      <c r="F1600">
        <v>100.08710000000001</v>
      </c>
      <c r="G1600">
        <v>142.7225</v>
      </c>
      <c r="H1600">
        <v>167.25040000000001</v>
      </c>
      <c r="I1600">
        <v>182.6677</v>
      </c>
      <c r="J1600">
        <v>202.71289999999999</v>
      </c>
    </row>
    <row r="1601" spans="1:10" x14ac:dyDescent="0.4">
      <c r="A1601">
        <v>3</v>
      </c>
      <c r="B1601">
        <v>-1E-3</v>
      </c>
      <c r="C1601">
        <v>14.2737</v>
      </c>
      <c r="D1601">
        <v>19.9849</v>
      </c>
      <c r="E1601">
        <v>27.996700000000001</v>
      </c>
      <c r="F1601">
        <v>45.788899999999998</v>
      </c>
      <c r="G1601">
        <v>70.745900000000006</v>
      </c>
      <c r="H1601">
        <v>90.767600000000002</v>
      </c>
      <c r="I1601">
        <v>101.5612</v>
      </c>
      <c r="J1601">
        <v>116.8203</v>
      </c>
    </row>
    <row r="1602" spans="1:10" x14ac:dyDescent="0.4">
      <c r="A1602">
        <v>4</v>
      </c>
      <c r="B1602">
        <v>-1E-3</v>
      </c>
      <c r="C1602">
        <v>2.6968999999999999</v>
      </c>
      <c r="D1602">
        <v>5.2944000000000004</v>
      </c>
      <c r="E1602">
        <v>11.218999999999999</v>
      </c>
      <c r="F1602">
        <v>20.937999999999999</v>
      </c>
      <c r="G1602">
        <v>34.371299999999998</v>
      </c>
      <c r="H1602">
        <v>46.676099999999998</v>
      </c>
      <c r="I1602">
        <v>52.134099999999997</v>
      </c>
      <c r="J1602">
        <v>64.863600000000005</v>
      </c>
    </row>
    <row r="1603" spans="1:10" x14ac:dyDescent="0.4">
      <c r="A1603">
        <v>5</v>
      </c>
      <c r="B1603">
        <v>-1E-3</v>
      </c>
      <c r="C1603">
        <v>0.31140000000000001</v>
      </c>
      <c r="D1603">
        <v>1.4601999999999999</v>
      </c>
      <c r="E1603">
        <v>3.7913999999999999</v>
      </c>
      <c r="F1603">
        <v>8.4941999999999993</v>
      </c>
      <c r="G1603">
        <v>15.210599999999999</v>
      </c>
      <c r="H1603">
        <v>22.599299999999999</v>
      </c>
      <c r="I1603">
        <v>26.901399999999999</v>
      </c>
      <c r="J1603">
        <v>32.529200000000003</v>
      </c>
    </row>
    <row r="1604" spans="1:10" x14ac:dyDescent="0.4">
      <c r="A1604">
        <v>6</v>
      </c>
      <c r="B1604">
        <v>0</v>
      </c>
      <c r="C1604">
        <v>3.9699999999999999E-2</v>
      </c>
      <c r="D1604">
        <v>0.27660000000000001</v>
      </c>
      <c r="E1604">
        <v>1.2244999999999999</v>
      </c>
      <c r="F1604">
        <v>3.3917000000000002</v>
      </c>
      <c r="G1604">
        <v>6.8186999999999998</v>
      </c>
      <c r="H1604">
        <v>10.77</v>
      </c>
      <c r="I1604">
        <v>13.195600000000001</v>
      </c>
      <c r="J1604">
        <v>18.2486</v>
      </c>
    </row>
    <row r="1605" spans="1:10" x14ac:dyDescent="0.4">
      <c r="A1605">
        <v>7</v>
      </c>
      <c r="B1605">
        <v>0</v>
      </c>
      <c r="C1605">
        <v>5.1000000000000004E-3</v>
      </c>
      <c r="D1605">
        <v>6.0699999999999997E-2</v>
      </c>
      <c r="E1605">
        <v>0.3957</v>
      </c>
      <c r="F1605">
        <v>1.3384</v>
      </c>
      <c r="G1605">
        <v>3.1377000000000002</v>
      </c>
      <c r="H1605">
        <v>5.2396000000000003</v>
      </c>
      <c r="I1605">
        <v>6.5156000000000001</v>
      </c>
      <c r="J1605">
        <v>9.4976000000000003</v>
      </c>
    </row>
    <row r="1606" spans="1:10" x14ac:dyDescent="0.4">
      <c r="A1606">
        <v>8</v>
      </c>
      <c r="B1606">
        <v>0</v>
      </c>
      <c r="C1606">
        <v>1E-3</v>
      </c>
      <c r="D1606">
        <v>1.21E-2</v>
      </c>
      <c r="E1606">
        <v>0.1331</v>
      </c>
      <c r="F1606">
        <v>0.56030000000000002</v>
      </c>
      <c r="G1606">
        <v>1.4145000000000001</v>
      </c>
      <c r="H1606">
        <v>2.4596</v>
      </c>
      <c r="I1606">
        <v>3.1871999999999998</v>
      </c>
      <c r="J1606">
        <v>4.9465000000000003</v>
      </c>
    </row>
    <row r="1607" spans="1:10" x14ac:dyDescent="0.4">
      <c r="A1607">
        <v>9</v>
      </c>
      <c r="B1607">
        <v>0</v>
      </c>
      <c r="C1607">
        <v>4.0000000000000002E-4</v>
      </c>
      <c r="D1607">
        <v>3.0000000000000001E-3</v>
      </c>
      <c r="E1607">
        <v>4.9599999999999998E-2</v>
      </c>
      <c r="F1607">
        <v>0.2268</v>
      </c>
      <c r="G1607">
        <v>0.6048</v>
      </c>
      <c r="H1607">
        <v>1.1499999999999999</v>
      </c>
      <c r="I1607">
        <v>1.6607000000000001</v>
      </c>
      <c r="J1607">
        <v>2.6082000000000001</v>
      </c>
    </row>
    <row r="1608" spans="1:10" x14ac:dyDescent="0.4">
      <c r="A1608">
        <v>10</v>
      </c>
      <c r="B1608">
        <v>0</v>
      </c>
      <c r="C1608">
        <v>1E-4</v>
      </c>
      <c r="D1608">
        <v>1E-3</v>
      </c>
      <c r="E1608">
        <v>1.7000000000000001E-2</v>
      </c>
      <c r="F1608">
        <v>9.8500000000000004E-2</v>
      </c>
      <c r="G1608">
        <v>0.28560000000000002</v>
      </c>
      <c r="H1608">
        <v>0.59430000000000005</v>
      </c>
      <c r="I1608">
        <v>0.82199999999999995</v>
      </c>
      <c r="J1608">
        <v>1.8182</v>
      </c>
    </row>
    <row r="1609" spans="1:10" x14ac:dyDescent="0.4">
      <c r="A1609">
        <v>11</v>
      </c>
      <c r="B1609">
        <v>0</v>
      </c>
      <c r="C1609">
        <v>0</v>
      </c>
      <c r="D1609">
        <v>2.9999999999999997E-4</v>
      </c>
      <c r="E1609">
        <v>6.0000000000000001E-3</v>
      </c>
      <c r="F1609">
        <v>4.0899999999999999E-2</v>
      </c>
      <c r="G1609">
        <v>0.13669999999999999</v>
      </c>
      <c r="H1609">
        <v>0.28870000000000001</v>
      </c>
      <c r="I1609">
        <v>0.44750000000000001</v>
      </c>
      <c r="J1609">
        <v>0.71150000000000002</v>
      </c>
    </row>
    <row r="1610" spans="1:10" x14ac:dyDescent="0.4">
      <c r="A1610">
        <v>12</v>
      </c>
      <c r="B1610">
        <v>0</v>
      </c>
      <c r="C1610">
        <v>0</v>
      </c>
      <c r="D1610">
        <v>1E-4</v>
      </c>
      <c r="E1610">
        <v>2.0999999999999999E-3</v>
      </c>
      <c r="F1610">
        <v>1.7299999999999999E-2</v>
      </c>
      <c r="G1610">
        <v>6.6100000000000006E-2</v>
      </c>
      <c r="H1610">
        <v>0.1419</v>
      </c>
      <c r="I1610">
        <v>0.23369999999999999</v>
      </c>
      <c r="J1610">
        <v>0.3639</v>
      </c>
    </row>
    <row r="1611" spans="1:10" x14ac:dyDescent="0.4">
      <c r="A1611">
        <v>13</v>
      </c>
      <c r="B1611">
        <v>0</v>
      </c>
      <c r="C1611">
        <v>0</v>
      </c>
      <c r="D1611">
        <v>0</v>
      </c>
      <c r="E1611">
        <v>1E-3</v>
      </c>
      <c r="F1611">
        <v>7.4999999999999997E-3</v>
      </c>
      <c r="G1611">
        <v>3.1899999999999998E-2</v>
      </c>
      <c r="H1611">
        <v>6.83E-2</v>
      </c>
      <c r="I1611">
        <v>0.11070000000000001</v>
      </c>
      <c r="J1611">
        <v>0.20069999999999999</v>
      </c>
    </row>
    <row r="1612" spans="1:10" x14ac:dyDescent="0.4">
      <c r="A1612">
        <v>14</v>
      </c>
      <c r="B1612">
        <v>0</v>
      </c>
      <c r="C1612">
        <v>0</v>
      </c>
      <c r="D1612">
        <v>0</v>
      </c>
      <c r="E1612">
        <v>4.0000000000000002E-4</v>
      </c>
      <c r="F1612">
        <v>3.0999999999999999E-3</v>
      </c>
      <c r="G1612">
        <v>1.54E-2</v>
      </c>
      <c r="H1612">
        <v>3.9100000000000003E-2</v>
      </c>
      <c r="I1612">
        <v>5.74E-2</v>
      </c>
      <c r="J1612">
        <v>0.1308</v>
      </c>
    </row>
    <row r="1613" spans="1:10" x14ac:dyDescent="0.4">
      <c r="A1613" t="s">
        <v>29</v>
      </c>
      <c r="B1613">
        <v>0</v>
      </c>
      <c r="C1613">
        <v>0</v>
      </c>
      <c r="D1613">
        <v>0</v>
      </c>
      <c r="E1613">
        <v>2.9999999999999997E-4</v>
      </c>
      <c r="F1613">
        <v>2.8999999999999998E-3</v>
      </c>
      <c r="G1613">
        <v>1.5100000000000001E-2</v>
      </c>
      <c r="H1613">
        <v>3.8399999999999997E-2</v>
      </c>
      <c r="I1613">
        <v>6.6900000000000001E-2</v>
      </c>
      <c r="J1613">
        <v>0.14149999999999999</v>
      </c>
    </row>
    <row r="1615" spans="1:10" x14ac:dyDescent="0.4">
      <c r="A1615">
        <v>2055</v>
      </c>
    </row>
    <row r="1617" spans="1:10" x14ac:dyDescent="0.4">
      <c r="A1617" t="s">
        <v>0</v>
      </c>
      <c r="B1617" s="2">
        <v>0.01</v>
      </c>
      <c r="C1617" s="2">
        <v>0.05</v>
      </c>
      <c r="D1617" s="2">
        <v>0.1</v>
      </c>
      <c r="E1617" s="2">
        <v>0.25</v>
      </c>
      <c r="F1617" s="2">
        <v>0.5</v>
      </c>
      <c r="G1617" s="2">
        <v>0.75</v>
      </c>
      <c r="H1617" s="2">
        <v>0.9</v>
      </c>
      <c r="I1617" s="2">
        <v>0.95</v>
      </c>
      <c r="J1617" s="2">
        <v>0.99</v>
      </c>
    </row>
    <row r="1618" spans="1:10" x14ac:dyDescent="0.4">
      <c r="A1618">
        <v>1</v>
      </c>
      <c r="B1618">
        <v>68.784000000000006</v>
      </c>
      <c r="C1618">
        <v>72.263300000000001</v>
      </c>
      <c r="D1618">
        <v>80.844800000000006</v>
      </c>
      <c r="E1618">
        <v>110.696</v>
      </c>
      <c r="F1618">
        <v>171.50810000000001</v>
      </c>
      <c r="G1618">
        <v>245.65010000000001</v>
      </c>
      <c r="H1618">
        <v>284.1198</v>
      </c>
      <c r="I1618">
        <v>307.0462</v>
      </c>
      <c r="J1618">
        <v>339.3288</v>
      </c>
    </row>
    <row r="1619" spans="1:10" x14ac:dyDescent="0.4">
      <c r="A1619">
        <v>2</v>
      </c>
      <c r="B1619">
        <v>-1E-3</v>
      </c>
      <c r="C1619">
        <v>39.544600000000003</v>
      </c>
      <c r="D1619">
        <v>43.728000000000002</v>
      </c>
      <c r="E1619">
        <v>61.319400000000002</v>
      </c>
      <c r="F1619">
        <v>99.809399999999997</v>
      </c>
      <c r="G1619">
        <v>143.11510000000001</v>
      </c>
      <c r="H1619">
        <v>169.2028</v>
      </c>
      <c r="I1619">
        <v>181.40379999999999</v>
      </c>
      <c r="J1619">
        <v>207.5438</v>
      </c>
    </row>
    <row r="1620" spans="1:10" x14ac:dyDescent="0.4">
      <c r="A1620">
        <v>3</v>
      </c>
      <c r="B1620">
        <v>-1E-3</v>
      </c>
      <c r="C1620">
        <v>13.4824</v>
      </c>
      <c r="D1620">
        <v>19.860499999999998</v>
      </c>
      <c r="E1620">
        <v>29.218</v>
      </c>
      <c r="F1620">
        <v>51.013100000000001</v>
      </c>
      <c r="G1620">
        <v>73.862700000000004</v>
      </c>
      <c r="H1620">
        <v>90.234099999999998</v>
      </c>
      <c r="I1620">
        <v>99.808199999999999</v>
      </c>
      <c r="J1620">
        <v>121.0104</v>
      </c>
    </row>
    <row r="1621" spans="1:10" x14ac:dyDescent="0.4">
      <c r="A1621">
        <v>4</v>
      </c>
      <c r="B1621">
        <v>-1E-3</v>
      </c>
      <c r="C1621">
        <v>2.4121999999999999</v>
      </c>
      <c r="D1621">
        <v>5.8156999999999996</v>
      </c>
      <c r="E1621">
        <v>10.821099999999999</v>
      </c>
      <c r="F1621">
        <v>19.3127</v>
      </c>
      <c r="G1621">
        <v>32.954599999999999</v>
      </c>
      <c r="H1621">
        <v>45.9938</v>
      </c>
      <c r="I1621">
        <v>53.3904</v>
      </c>
      <c r="J1621">
        <v>63.021299999999997</v>
      </c>
    </row>
    <row r="1622" spans="1:10" x14ac:dyDescent="0.4">
      <c r="A1622">
        <v>5</v>
      </c>
      <c r="B1622">
        <v>-1E-3</v>
      </c>
      <c r="C1622">
        <v>0.34510000000000002</v>
      </c>
      <c r="D1622">
        <v>1.1157999999999999</v>
      </c>
      <c r="E1622">
        <v>3.9742999999999999</v>
      </c>
      <c r="F1622">
        <v>8.4832999999999998</v>
      </c>
      <c r="G1622">
        <v>15.7666</v>
      </c>
      <c r="H1622">
        <v>22.826599999999999</v>
      </c>
      <c r="I1622">
        <v>26.201899999999998</v>
      </c>
      <c r="J1622">
        <v>33.685699999999997</v>
      </c>
    </row>
    <row r="1623" spans="1:10" x14ac:dyDescent="0.4">
      <c r="A1623">
        <v>6</v>
      </c>
      <c r="B1623">
        <v>-1E-3</v>
      </c>
      <c r="C1623">
        <v>3.2099999999999997E-2</v>
      </c>
      <c r="D1623">
        <v>0.2863</v>
      </c>
      <c r="E1623">
        <v>1.2305999999999999</v>
      </c>
      <c r="F1623">
        <v>3.3214000000000001</v>
      </c>
      <c r="G1623">
        <v>6.8719000000000001</v>
      </c>
      <c r="H1623">
        <v>10.6158</v>
      </c>
      <c r="I1623">
        <v>13.186</v>
      </c>
      <c r="J1623">
        <v>16.580300000000001</v>
      </c>
    </row>
    <row r="1624" spans="1:10" x14ac:dyDescent="0.4">
      <c r="A1624">
        <v>7</v>
      </c>
      <c r="B1624">
        <v>0</v>
      </c>
      <c r="C1624">
        <v>4.4000000000000003E-3</v>
      </c>
      <c r="D1624">
        <v>5.1799999999999999E-2</v>
      </c>
      <c r="E1624">
        <v>0.41510000000000002</v>
      </c>
      <c r="F1624">
        <v>1.3754</v>
      </c>
      <c r="G1624">
        <v>3.1206999999999998</v>
      </c>
      <c r="H1624">
        <v>4.9710000000000001</v>
      </c>
      <c r="I1624">
        <v>6.4192999999999998</v>
      </c>
      <c r="J1624">
        <v>9.6524000000000001</v>
      </c>
    </row>
    <row r="1625" spans="1:10" x14ac:dyDescent="0.4">
      <c r="A1625">
        <v>8</v>
      </c>
      <c r="B1625">
        <v>0</v>
      </c>
      <c r="C1625">
        <v>1E-3</v>
      </c>
      <c r="D1625">
        <v>1.1900000000000001E-2</v>
      </c>
      <c r="E1625">
        <v>0.1263</v>
      </c>
      <c r="F1625">
        <v>0.54849999999999999</v>
      </c>
      <c r="G1625">
        <v>1.3805000000000001</v>
      </c>
      <c r="H1625">
        <v>2.4868000000000001</v>
      </c>
      <c r="I1625">
        <v>3.3008000000000002</v>
      </c>
      <c r="J1625">
        <v>4.9622000000000002</v>
      </c>
    </row>
    <row r="1626" spans="1:10" x14ac:dyDescent="0.4">
      <c r="A1626">
        <v>9</v>
      </c>
      <c r="B1626">
        <v>0</v>
      </c>
      <c r="C1626">
        <v>2.9999999999999997E-4</v>
      </c>
      <c r="D1626">
        <v>2.8E-3</v>
      </c>
      <c r="E1626">
        <v>4.5499999999999999E-2</v>
      </c>
      <c r="F1626">
        <v>0.2296</v>
      </c>
      <c r="G1626">
        <v>0.65210000000000001</v>
      </c>
      <c r="H1626">
        <v>1.2285999999999999</v>
      </c>
      <c r="I1626">
        <v>1.6044</v>
      </c>
      <c r="J1626">
        <v>2.7042999999999999</v>
      </c>
    </row>
    <row r="1627" spans="1:10" x14ac:dyDescent="0.4">
      <c r="A1627">
        <v>10</v>
      </c>
      <c r="B1627">
        <v>0</v>
      </c>
      <c r="C1627">
        <v>1E-4</v>
      </c>
      <c r="D1627">
        <v>1E-3</v>
      </c>
      <c r="E1627">
        <v>1.9199999999999998E-2</v>
      </c>
      <c r="F1627">
        <v>9.64E-2</v>
      </c>
      <c r="G1627">
        <v>0.2833</v>
      </c>
      <c r="H1627">
        <v>0.57410000000000005</v>
      </c>
      <c r="I1627">
        <v>0.83560000000000001</v>
      </c>
      <c r="J1627">
        <v>1.4153</v>
      </c>
    </row>
    <row r="1628" spans="1:10" x14ac:dyDescent="0.4">
      <c r="A1628">
        <v>11</v>
      </c>
      <c r="B1628">
        <v>0</v>
      </c>
      <c r="C1628">
        <v>0</v>
      </c>
      <c r="D1628">
        <v>2.9999999999999997E-4</v>
      </c>
      <c r="E1628">
        <v>6.1000000000000004E-3</v>
      </c>
      <c r="F1628">
        <v>4.2900000000000001E-2</v>
      </c>
      <c r="G1628">
        <v>0.13400000000000001</v>
      </c>
      <c r="H1628">
        <v>0.28860000000000002</v>
      </c>
      <c r="I1628">
        <v>0.41120000000000001</v>
      </c>
      <c r="J1628">
        <v>0.8306</v>
      </c>
    </row>
    <row r="1629" spans="1:10" x14ac:dyDescent="0.4">
      <c r="A1629">
        <v>12</v>
      </c>
      <c r="B1629">
        <v>0</v>
      </c>
      <c r="C1629">
        <v>0</v>
      </c>
      <c r="D1629">
        <v>1E-4</v>
      </c>
      <c r="E1629">
        <v>2.0999999999999999E-3</v>
      </c>
      <c r="F1629">
        <v>1.84E-2</v>
      </c>
      <c r="G1629">
        <v>6.6299999999999998E-2</v>
      </c>
      <c r="H1629">
        <v>0.1474</v>
      </c>
      <c r="I1629">
        <v>0.2198</v>
      </c>
      <c r="J1629">
        <v>0.38400000000000001</v>
      </c>
    </row>
    <row r="1630" spans="1:10" x14ac:dyDescent="0.4">
      <c r="A1630">
        <v>13</v>
      </c>
      <c r="B1630">
        <v>0</v>
      </c>
      <c r="C1630">
        <v>0</v>
      </c>
      <c r="D1630">
        <v>0</v>
      </c>
      <c r="E1630">
        <v>8.0000000000000004E-4</v>
      </c>
      <c r="F1630">
        <v>7.4999999999999997E-3</v>
      </c>
      <c r="G1630">
        <v>3.1300000000000001E-2</v>
      </c>
      <c r="H1630">
        <v>7.4399999999999994E-2</v>
      </c>
      <c r="I1630">
        <v>0.1207</v>
      </c>
      <c r="J1630">
        <v>0.20599999999999999</v>
      </c>
    </row>
    <row r="1631" spans="1:10" x14ac:dyDescent="0.4">
      <c r="A1631">
        <v>14</v>
      </c>
      <c r="B1631">
        <v>0</v>
      </c>
      <c r="C1631">
        <v>0</v>
      </c>
      <c r="D1631">
        <v>0</v>
      </c>
      <c r="E1631">
        <v>4.0000000000000002E-4</v>
      </c>
      <c r="F1631">
        <v>3.3E-3</v>
      </c>
      <c r="G1631">
        <v>1.54E-2</v>
      </c>
      <c r="H1631">
        <v>3.5700000000000003E-2</v>
      </c>
      <c r="I1631">
        <v>5.7700000000000001E-2</v>
      </c>
      <c r="J1631">
        <v>0.1079</v>
      </c>
    </row>
    <row r="1632" spans="1:10" x14ac:dyDescent="0.4">
      <c r="A1632" t="s">
        <v>29</v>
      </c>
      <c r="B1632">
        <v>0</v>
      </c>
      <c r="C1632">
        <v>0</v>
      </c>
      <c r="D1632">
        <v>0</v>
      </c>
      <c r="E1632">
        <v>2.9999999999999997E-4</v>
      </c>
      <c r="F1632">
        <v>2.7000000000000001E-3</v>
      </c>
      <c r="G1632">
        <v>1.5299999999999999E-2</v>
      </c>
      <c r="H1632">
        <v>4.02E-2</v>
      </c>
      <c r="I1632">
        <v>6.1499999999999999E-2</v>
      </c>
      <c r="J1632">
        <v>0.1545</v>
      </c>
    </row>
    <row r="1634" spans="1:10" x14ac:dyDescent="0.4">
      <c r="A1634">
        <v>2056</v>
      </c>
    </row>
    <row r="1636" spans="1:10" x14ac:dyDescent="0.4">
      <c r="A1636" t="s">
        <v>0</v>
      </c>
      <c r="B1636" s="2">
        <v>0.01</v>
      </c>
      <c r="C1636" s="2">
        <v>0.05</v>
      </c>
      <c r="D1636" s="2">
        <v>0.1</v>
      </c>
      <c r="E1636" s="2">
        <v>0.25</v>
      </c>
      <c r="F1636" s="2">
        <v>0.5</v>
      </c>
      <c r="G1636" s="2">
        <v>0.75</v>
      </c>
      <c r="H1636" s="2">
        <v>0.9</v>
      </c>
      <c r="I1636" s="2">
        <v>0.95</v>
      </c>
      <c r="J1636" s="2">
        <v>0.99</v>
      </c>
    </row>
    <row r="1637" spans="1:10" x14ac:dyDescent="0.4">
      <c r="A1637">
        <v>1</v>
      </c>
      <c r="B1637">
        <v>68.646600000000007</v>
      </c>
      <c r="C1637">
        <v>71.204300000000003</v>
      </c>
      <c r="D1637">
        <v>79.979799999999997</v>
      </c>
      <c r="E1637">
        <v>102.27979999999999</v>
      </c>
      <c r="F1637">
        <v>167.29769999999999</v>
      </c>
      <c r="G1637">
        <v>233.1996</v>
      </c>
      <c r="H1637">
        <v>279.82220000000001</v>
      </c>
      <c r="I1637">
        <v>304.35129999999998</v>
      </c>
      <c r="J1637">
        <v>325.33019999999999</v>
      </c>
    </row>
    <row r="1638" spans="1:10" x14ac:dyDescent="0.4">
      <c r="A1638">
        <v>2</v>
      </c>
      <c r="B1638">
        <v>-1E-3</v>
      </c>
      <c r="C1638">
        <v>40.464599999999997</v>
      </c>
      <c r="D1638">
        <v>45.153799999999997</v>
      </c>
      <c r="E1638">
        <v>64.763999999999996</v>
      </c>
      <c r="F1638">
        <v>99.958399999999997</v>
      </c>
      <c r="G1638">
        <v>142.363</v>
      </c>
      <c r="H1638">
        <v>168.31979999999999</v>
      </c>
      <c r="I1638">
        <v>181.3913</v>
      </c>
      <c r="J1638">
        <v>204.9967</v>
      </c>
    </row>
    <row r="1639" spans="1:10" x14ac:dyDescent="0.4">
      <c r="A1639">
        <v>3</v>
      </c>
      <c r="B1639">
        <v>-1E-3</v>
      </c>
      <c r="C1639">
        <v>14.2302</v>
      </c>
      <c r="D1639">
        <v>20.129300000000001</v>
      </c>
      <c r="E1639">
        <v>28.854800000000001</v>
      </c>
      <c r="F1639">
        <v>50.619199999999999</v>
      </c>
      <c r="G1639">
        <v>74.698300000000003</v>
      </c>
      <c r="H1639">
        <v>93.936599999999999</v>
      </c>
      <c r="I1639">
        <v>101.899</v>
      </c>
      <c r="J1639">
        <v>119.7473</v>
      </c>
    </row>
    <row r="1640" spans="1:10" x14ac:dyDescent="0.4">
      <c r="A1640">
        <v>4</v>
      </c>
      <c r="B1640">
        <v>-1E-3</v>
      </c>
      <c r="C1640">
        <v>2.0764999999999998</v>
      </c>
      <c r="D1640">
        <v>5.5811999999999999</v>
      </c>
      <c r="E1640">
        <v>11.9581</v>
      </c>
      <c r="F1640">
        <v>21.9084</v>
      </c>
      <c r="G1640">
        <v>34.722700000000003</v>
      </c>
      <c r="H1640">
        <v>46.246200000000002</v>
      </c>
      <c r="I1640">
        <v>52.683599999999998</v>
      </c>
      <c r="J1640">
        <v>68.057900000000004</v>
      </c>
    </row>
    <row r="1641" spans="1:10" x14ac:dyDescent="0.4">
      <c r="A1641">
        <v>5</v>
      </c>
      <c r="B1641">
        <v>-1E-3</v>
      </c>
      <c r="C1641">
        <v>0.28870000000000001</v>
      </c>
      <c r="D1641">
        <v>1.2334000000000001</v>
      </c>
      <c r="E1641">
        <v>3.8946999999999998</v>
      </c>
      <c r="F1641">
        <v>8.2258999999999993</v>
      </c>
      <c r="G1641">
        <v>15.0032</v>
      </c>
      <c r="H1641">
        <v>22.491599999999998</v>
      </c>
      <c r="I1641">
        <v>26.584499999999998</v>
      </c>
      <c r="J1641">
        <v>33.418700000000001</v>
      </c>
    </row>
    <row r="1642" spans="1:10" x14ac:dyDescent="0.4">
      <c r="A1642">
        <v>6</v>
      </c>
      <c r="B1642">
        <v>-1E-3</v>
      </c>
      <c r="C1642">
        <v>3.9600000000000003E-2</v>
      </c>
      <c r="D1642">
        <v>0.23130000000000001</v>
      </c>
      <c r="E1642">
        <v>1.3285</v>
      </c>
      <c r="F1642">
        <v>3.5072000000000001</v>
      </c>
      <c r="G1642">
        <v>7.0204000000000004</v>
      </c>
      <c r="H1642">
        <v>11.1463</v>
      </c>
      <c r="I1642">
        <v>12.9559</v>
      </c>
      <c r="J1642">
        <v>18.034099999999999</v>
      </c>
    </row>
    <row r="1643" spans="1:10" x14ac:dyDescent="0.4">
      <c r="A1643">
        <v>7</v>
      </c>
      <c r="B1643">
        <v>-1E-3</v>
      </c>
      <c r="C1643">
        <v>4.5999999999999999E-3</v>
      </c>
      <c r="D1643">
        <v>4.5999999999999999E-2</v>
      </c>
      <c r="E1643">
        <v>0.43590000000000001</v>
      </c>
      <c r="F1643">
        <v>1.34</v>
      </c>
      <c r="G1643">
        <v>3.0958000000000001</v>
      </c>
      <c r="H1643">
        <v>5.0293000000000001</v>
      </c>
      <c r="I1643">
        <v>6.5884</v>
      </c>
      <c r="J1643">
        <v>8.6937999999999995</v>
      </c>
    </row>
    <row r="1644" spans="1:10" x14ac:dyDescent="0.4">
      <c r="A1644">
        <v>8</v>
      </c>
      <c r="B1644">
        <v>0</v>
      </c>
      <c r="C1644">
        <v>1E-3</v>
      </c>
      <c r="D1644">
        <v>1.15E-2</v>
      </c>
      <c r="E1644">
        <v>0.14530000000000001</v>
      </c>
      <c r="F1644">
        <v>0.56810000000000005</v>
      </c>
      <c r="G1644">
        <v>1.4121999999999999</v>
      </c>
      <c r="H1644">
        <v>2.3723000000000001</v>
      </c>
      <c r="I1644">
        <v>3.1549</v>
      </c>
      <c r="J1644">
        <v>4.9385000000000003</v>
      </c>
    </row>
    <row r="1645" spans="1:10" x14ac:dyDescent="0.4">
      <c r="A1645">
        <v>9</v>
      </c>
      <c r="B1645">
        <v>0</v>
      </c>
      <c r="C1645">
        <v>2.9999999999999997E-4</v>
      </c>
      <c r="D1645">
        <v>2.5000000000000001E-3</v>
      </c>
      <c r="E1645">
        <v>4.3900000000000002E-2</v>
      </c>
      <c r="F1645">
        <v>0.23100000000000001</v>
      </c>
      <c r="G1645">
        <v>0.65429999999999999</v>
      </c>
      <c r="H1645">
        <v>1.1807000000000001</v>
      </c>
      <c r="I1645">
        <v>1.5853999999999999</v>
      </c>
      <c r="J1645">
        <v>2.5628000000000002</v>
      </c>
    </row>
    <row r="1646" spans="1:10" x14ac:dyDescent="0.4">
      <c r="A1646">
        <v>10</v>
      </c>
      <c r="B1646">
        <v>0</v>
      </c>
      <c r="C1646">
        <v>1E-4</v>
      </c>
      <c r="D1646">
        <v>8.9999999999999998E-4</v>
      </c>
      <c r="E1646">
        <v>1.46E-2</v>
      </c>
      <c r="F1646">
        <v>0.1003</v>
      </c>
      <c r="G1646">
        <v>0.30299999999999999</v>
      </c>
      <c r="H1646">
        <v>0.61860000000000004</v>
      </c>
      <c r="I1646">
        <v>0.80500000000000005</v>
      </c>
      <c r="J1646">
        <v>1.4973000000000001</v>
      </c>
    </row>
    <row r="1647" spans="1:10" x14ac:dyDescent="0.4">
      <c r="A1647">
        <v>11</v>
      </c>
      <c r="B1647">
        <v>0</v>
      </c>
      <c r="C1647">
        <v>0</v>
      </c>
      <c r="D1647">
        <v>2.9999999999999997E-4</v>
      </c>
      <c r="E1647">
        <v>5.8999999999999999E-3</v>
      </c>
      <c r="F1647">
        <v>4.07E-2</v>
      </c>
      <c r="G1647">
        <v>0.1323</v>
      </c>
      <c r="H1647">
        <v>0.28570000000000001</v>
      </c>
      <c r="I1647">
        <v>0.3987</v>
      </c>
      <c r="J1647">
        <v>0.77029999999999998</v>
      </c>
    </row>
    <row r="1648" spans="1:10" x14ac:dyDescent="0.4">
      <c r="A1648">
        <v>12</v>
      </c>
      <c r="B1648">
        <v>0</v>
      </c>
      <c r="C1648">
        <v>0</v>
      </c>
      <c r="D1648">
        <v>1E-4</v>
      </c>
      <c r="E1648">
        <v>1.9E-3</v>
      </c>
      <c r="F1648">
        <v>1.9199999999999998E-2</v>
      </c>
      <c r="G1648">
        <v>6.1699999999999998E-2</v>
      </c>
      <c r="H1648">
        <v>0.14399999999999999</v>
      </c>
      <c r="I1648">
        <v>0.2059</v>
      </c>
      <c r="J1648">
        <v>0.47539999999999999</v>
      </c>
    </row>
    <row r="1649" spans="1:10" x14ac:dyDescent="0.4">
      <c r="A1649">
        <v>13</v>
      </c>
      <c r="B1649">
        <v>0</v>
      </c>
      <c r="C1649">
        <v>0</v>
      </c>
      <c r="D1649">
        <v>0</v>
      </c>
      <c r="E1649">
        <v>8.9999999999999998E-4</v>
      </c>
      <c r="F1649">
        <v>8.2000000000000007E-3</v>
      </c>
      <c r="G1649">
        <v>3.1199999999999999E-2</v>
      </c>
      <c r="H1649">
        <v>7.5999999999999998E-2</v>
      </c>
      <c r="I1649">
        <v>0.1129</v>
      </c>
      <c r="J1649">
        <v>0.2044</v>
      </c>
    </row>
    <row r="1650" spans="1:10" x14ac:dyDescent="0.4">
      <c r="A1650">
        <v>14</v>
      </c>
      <c r="B1650">
        <v>0</v>
      </c>
      <c r="C1650">
        <v>0</v>
      </c>
      <c r="D1650">
        <v>0</v>
      </c>
      <c r="E1650">
        <v>2.9999999999999997E-4</v>
      </c>
      <c r="F1650">
        <v>3.3E-3</v>
      </c>
      <c r="G1650">
        <v>1.46E-2</v>
      </c>
      <c r="H1650">
        <v>3.85E-2</v>
      </c>
      <c r="I1650">
        <v>0.06</v>
      </c>
      <c r="J1650">
        <v>0.1115</v>
      </c>
    </row>
    <row r="1651" spans="1:10" x14ac:dyDescent="0.4">
      <c r="A1651" t="s">
        <v>29</v>
      </c>
      <c r="B1651">
        <v>0</v>
      </c>
      <c r="C1651">
        <v>0</v>
      </c>
      <c r="D1651">
        <v>0</v>
      </c>
      <c r="E1651">
        <v>2.9999999999999997E-4</v>
      </c>
      <c r="F1651">
        <v>2.8E-3</v>
      </c>
      <c r="G1651">
        <v>1.52E-2</v>
      </c>
      <c r="H1651">
        <v>3.9199999999999999E-2</v>
      </c>
      <c r="I1651">
        <v>6.2799999999999995E-2</v>
      </c>
      <c r="J1651">
        <v>0.1163</v>
      </c>
    </row>
    <row r="1653" spans="1:10" x14ac:dyDescent="0.4">
      <c r="A1653">
        <v>2057</v>
      </c>
    </row>
    <row r="1655" spans="1:10" x14ac:dyDescent="0.4">
      <c r="A1655" t="s">
        <v>0</v>
      </c>
      <c r="B1655" s="2">
        <v>0.01</v>
      </c>
      <c r="C1655" s="2">
        <v>0.05</v>
      </c>
      <c r="D1655" s="2">
        <v>0.1</v>
      </c>
      <c r="E1655" s="2">
        <v>0.25</v>
      </c>
      <c r="F1655" s="2">
        <v>0.5</v>
      </c>
      <c r="G1655" s="2">
        <v>0.75</v>
      </c>
      <c r="H1655" s="2">
        <v>0.9</v>
      </c>
      <c r="I1655" s="2">
        <v>0.95</v>
      </c>
      <c r="J1655" s="2">
        <v>0.99</v>
      </c>
    </row>
    <row r="1656" spans="1:10" x14ac:dyDescent="0.4">
      <c r="A1656">
        <v>1</v>
      </c>
      <c r="B1656">
        <v>68.538600000000002</v>
      </c>
      <c r="C1656">
        <v>69.826400000000007</v>
      </c>
      <c r="D1656">
        <v>79.803100000000001</v>
      </c>
      <c r="E1656">
        <v>107.7522</v>
      </c>
      <c r="F1656">
        <v>170.04</v>
      </c>
      <c r="G1656">
        <v>233.77889999999999</v>
      </c>
      <c r="H1656">
        <v>280.3981</v>
      </c>
      <c r="I1656">
        <v>307.20190000000002</v>
      </c>
      <c r="J1656">
        <v>360.66129999999998</v>
      </c>
    </row>
    <row r="1657" spans="1:10" x14ac:dyDescent="0.4">
      <c r="A1657">
        <v>2</v>
      </c>
      <c r="B1657">
        <v>-1E-3</v>
      </c>
      <c r="C1657">
        <v>40.833799999999997</v>
      </c>
      <c r="D1657">
        <v>44.257300000000001</v>
      </c>
      <c r="E1657">
        <v>58.525399999999998</v>
      </c>
      <c r="F1657">
        <v>94.012500000000003</v>
      </c>
      <c r="G1657">
        <v>136.3578</v>
      </c>
      <c r="H1657">
        <v>166.41210000000001</v>
      </c>
      <c r="I1657">
        <v>178.68270000000001</v>
      </c>
      <c r="J1657">
        <v>198.5814</v>
      </c>
    </row>
    <row r="1658" spans="1:10" x14ac:dyDescent="0.4">
      <c r="A1658">
        <v>3</v>
      </c>
      <c r="B1658">
        <v>-1E-3</v>
      </c>
      <c r="C1658">
        <v>15.658200000000001</v>
      </c>
      <c r="D1658">
        <v>21.325099999999999</v>
      </c>
      <c r="E1658">
        <v>30.6831</v>
      </c>
      <c r="F1658">
        <v>50.803800000000003</v>
      </c>
      <c r="G1658">
        <v>74.240799999999993</v>
      </c>
      <c r="H1658">
        <v>92.477099999999993</v>
      </c>
      <c r="I1658">
        <v>101.2728</v>
      </c>
      <c r="J1658">
        <v>117.3603</v>
      </c>
    </row>
    <row r="1659" spans="1:10" x14ac:dyDescent="0.4">
      <c r="A1659">
        <v>4</v>
      </c>
      <c r="B1659">
        <v>-1E-3</v>
      </c>
      <c r="C1659">
        <v>3.2357999999999998</v>
      </c>
      <c r="D1659">
        <v>5.8331</v>
      </c>
      <c r="E1659">
        <v>11.616400000000001</v>
      </c>
      <c r="F1659">
        <v>21.5427</v>
      </c>
      <c r="G1659">
        <v>35.280099999999997</v>
      </c>
      <c r="H1659">
        <v>48.032600000000002</v>
      </c>
      <c r="I1659">
        <v>54.290700000000001</v>
      </c>
      <c r="J1659">
        <v>65.506500000000003</v>
      </c>
    </row>
    <row r="1660" spans="1:10" x14ac:dyDescent="0.4">
      <c r="A1660">
        <v>5</v>
      </c>
      <c r="B1660">
        <v>-1E-3</v>
      </c>
      <c r="C1660">
        <v>0.32369999999999999</v>
      </c>
      <c r="D1660">
        <v>1.3491</v>
      </c>
      <c r="E1660">
        <v>4.3421000000000003</v>
      </c>
      <c r="F1660">
        <v>8.9374000000000002</v>
      </c>
      <c r="G1660">
        <v>15.8323</v>
      </c>
      <c r="H1660">
        <v>22.761900000000001</v>
      </c>
      <c r="I1660">
        <v>26.549299999999999</v>
      </c>
      <c r="J1660">
        <v>39.437600000000003</v>
      </c>
    </row>
    <row r="1661" spans="1:10" x14ac:dyDescent="0.4">
      <c r="A1661">
        <v>6</v>
      </c>
      <c r="B1661">
        <v>-1E-3</v>
      </c>
      <c r="C1661">
        <v>3.5999999999999997E-2</v>
      </c>
      <c r="D1661">
        <v>0.2409</v>
      </c>
      <c r="E1661">
        <v>1.3669</v>
      </c>
      <c r="F1661">
        <v>3.3637999999999999</v>
      </c>
      <c r="G1661">
        <v>6.7154999999999996</v>
      </c>
      <c r="H1661">
        <v>10.9476</v>
      </c>
      <c r="I1661">
        <v>13.3361</v>
      </c>
      <c r="J1661">
        <v>18.345600000000001</v>
      </c>
    </row>
    <row r="1662" spans="1:10" x14ac:dyDescent="0.4">
      <c r="A1662">
        <v>7</v>
      </c>
      <c r="B1662">
        <v>-1E-3</v>
      </c>
      <c r="C1662">
        <v>4.5999999999999999E-3</v>
      </c>
      <c r="D1662">
        <v>6.1800000000000001E-2</v>
      </c>
      <c r="E1662">
        <v>0.45789999999999997</v>
      </c>
      <c r="F1662">
        <v>1.4244000000000001</v>
      </c>
      <c r="G1662">
        <v>3.1097999999999999</v>
      </c>
      <c r="H1662">
        <v>5.3532000000000002</v>
      </c>
      <c r="I1662">
        <v>6.4196999999999997</v>
      </c>
      <c r="J1662">
        <v>8.8165999999999993</v>
      </c>
    </row>
    <row r="1663" spans="1:10" x14ac:dyDescent="0.4">
      <c r="A1663">
        <v>8</v>
      </c>
      <c r="B1663">
        <v>-1E-3</v>
      </c>
      <c r="C1663">
        <v>1E-3</v>
      </c>
      <c r="D1663">
        <v>1.0800000000000001E-2</v>
      </c>
      <c r="E1663">
        <v>0.1416</v>
      </c>
      <c r="F1663">
        <v>0.56669999999999998</v>
      </c>
      <c r="G1663">
        <v>1.4216</v>
      </c>
      <c r="H1663">
        <v>2.5112000000000001</v>
      </c>
      <c r="I1663">
        <v>3.12</v>
      </c>
      <c r="J1663">
        <v>4.4908999999999999</v>
      </c>
    </row>
    <row r="1664" spans="1:10" x14ac:dyDescent="0.4">
      <c r="A1664">
        <v>9</v>
      </c>
      <c r="B1664">
        <v>0</v>
      </c>
      <c r="C1664">
        <v>2.9999999999999997E-4</v>
      </c>
      <c r="D1664">
        <v>2.8E-3</v>
      </c>
      <c r="E1664">
        <v>5.1700000000000003E-2</v>
      </c>
      <c r="F1664">
        <v>0.24179999999999999</v>
      </c>
      <c r="G1664">
        <v>0.63649999999999995</v>
      </c>
      <c r="H1664">
        <v>1.1766000000000001</v>
      </c>
      <c r="I1664">
        <v>1.603</v>
      </c>
      <c r="J1664">
        <v>2.4333999999999998</v>
      </c>
    </row>
    <row r="1665" spans="1:10" x14ac:dyDescent="0.4">
      <c r="A1665">
        <v>10</v>
      </c>
      <c r="B1665">
        <v>0</v>
      </c>
      <c r="C1665">
        <v>1E-4</v>
      </c>
      <c r="D1665">
        <v>1E-3</v>
      </c>
      <c r="E1665">
        <v>1.61E-2</v>
      </c>
      <c r="F1665">
        <v>0.1011</v>
      </c>
      <c r="G1665">
        <v>0.3044</v>
      </c>
      <c r="H1665">
        <v>0.59219999999999995</v>
      </c>
      <c r="I1665">
        <v>0.8165</v>
      </c>
      <c r="J1665">
        <v>1.3603000000000001</v>
      </c>
    </row>
    <row r="1666" spans="1:10" x14ac:dyDescent="0.4">
      <c r="A1666">
        <v>11</v>
      </c>
      <c r="B1666">
        <v>0</v>
      </c>
      <c r="C1666">
        <v>0</v>
      </c>
      <c r="D1666">
        <v>2.9999999999999997E-4</v>
      </c>
      <c r="E1666">
        <v>5.3E-3</v>
      </c>
      <c r="F1666">
        <v>4.2000000000000003E-2</v>
      </c>
      <c r="G1666">
        <v>0.14799999999999999</v>
      </c>
      <c r="H1666">
        <v>0.30780000000000002</v>
      </c>
      <c r="I1666">
        <v>0.41510000000000002</v>
      </c>
      <c r="J1666">
        <v>0.79769999999999996</v>
      </c>
    </row>
    <row r="1667" spans="1:10" x14ac:dyDescent="0.4">
      <c r="A1667">
        <v>12</v>
      </c>
      <c r="B1667">
        <v>0</v>
      </c>
      <c r="C1667">
        <v>0</v>
      </c>
      <c r="D1667">
        <v>1E-4</v>
      </c>
      <c r="E1667">
        <v>2.3999999999999998E-3</v>
      </c>
      <c r="F1667">
        <v>1.7899999999999999E-2</v>
      </c>
      <c r="G1667">
        <v>6.25E-2</v>
      </c>
      <c r="H1667">
        <v>0.1452</v>
      </c>
      <c r="I1667">
        <v>0.2021</v>
      </c>
      <c r="J1667">
        <v>0.4194</v>
      </c>
    </row>
    <row r="1668" spans="1:10" x14ac:dyDescent="0.4">
      <c r="A1668">
        <v>13</v>
      </c>
      <c r="B1668">
        <v>0</v>
      </c>
      <c r="C1668">
        <v>0</v>
      </c>
      <c r="D1668">
        <v>0</v>
      </c>
      <c r="E1668">
        <v>8.9999999999999998E-4</v>
      </c>
      <c r="F1668">
        <v>8.5000000000000006E-3</v>
      </c>
      <c r="G1668">
        <v>2.92E-2</v>
      </c>
      <c r="H1668">
        <v>7.0300000000000001E-2</v>
      </c>
      <c r="I1668">
        <v>0.10299999999999999</v>
      </c>
      <c r="J1668">
        <v>0.27889999999999998</v>
      </c>
    </row>
    <row r="1669" spans="1:10" x14ac:dyDescent="0.4">
      <c r="A1669">
        <v>14</v>
      </c>
      <c r="B1669">
        <v>0</v>
      </c>
      <c r="C1669">
        <v>0</v>
      </c>
      <c r="D1669">
        <v>0</v>
      </c>
      <c r="E1669">
        <v>2.9999999999999997E-4</v>
      </c>
      <c r="F1669">
        <v>3.5000000000000001E-3</v>
      </c>
      <c r="G1669">
        <v>1.46E-2</v>
      </c>
      <c r="H1669">
        <v>3.9300000000000002E-2</v>
      </c>
      <c r="I1669">
        <v>5.7599999999999998E-2</v>
      </c>
      <c r="J1669">
        <v>0.1177</v>
      </c>
    </row>
    <row r="1670" spans="1:10" x14ac:dyDescent="0.4">
      <c r="A1670" t="s">
        <v>29</v>
      </c>
      <c r="B1670">
        <v>0</v>
      </c>
      <c r="C1670">
        <v>0</v>
      </c>
      <c r="D1670">
        <v>0</v>
      </c>
      <c r="E1670">
        <v>2.9999999999999997E-4</v>
      </c>
      <c r="F1670">
        <v>2.8999999999999998E-3</v>
      </c>
      <c r="G1670">
        <v>1.47E-2</v>
      </c>
      <c r="H1670">
        <v>4.0099999999999997E-2</v>
      </c>
      <c r="I1670">
        <v>6.0699999999999997E-2</v>
      </c>
      <c r="J1670">
        <v>0.13039999999999999</v>
      </c>
    </row>
    <row r="1672" spans="1:10" x14ac:dyDescent="0.4">
      <c r="A1672">
        <v>2058</v>
      </c>
    </row>
    <row r="1674" spans="1:10" x14ac:dyDescent="0.4">
      <c r="A1674" t="s">
        <v>0</v>
      </c>
      <c r="B1674" s="2">
        <v>0.01</v>
      </c>
      <c r="C1674" s="2">
        <v>0.05</v>
      </c>
      <c r="D1674" s="2">
        <v>0.1</v>
      </c>
      <c r="E1674" s="2">
        <v>0.25</v>
      </c>
      <c r="F1674" s="2">
        <v>0.5</v>
      </c>
      <c r="G1674" s="2">
        <v>0.75</v>
      </c>
      <c r="H1674" s="2">
        <v>0.9</v>
      </c>
      <c r="I1674" s="2">
        <v>0.95</v>
      </c>
      <c r="J1674" s="2">
        <v>0.99</v>
      </c>
    </row>
    <row r="1675" spans="1:10" x14ac:dyDescent="0.4">
      <c r="A1675">
        <v>1</v>
      </c>
      <c r="B1675">
        <v>68.644999999999996</v>
      </c>
      <c r="C1675">
        <v>69.775700000000001</v>
      </c>
      <c r="D1675">
        <v>77.079400000000007</v>
      </c>
      <c r="E1675">
        <v>99.813000000000002</v>
      </c>
      <c r="F1675">
        <v>168.4385</v>
      </c>
      <c r="G1675">
        <v>236.8246</v>
      </c>
      <c r="H1675">
        <v>286.17230000000001</v>
      </c>
      <c r="I1675">
        <v>304.54860000000002</v>
      </c>
      <c r="J1675">
        <v>321.80450000000002</v>
      </c>
    </row>
    <row r="1676" spans="1:10" x14ac:dyDescent="0.4">
      <c r="A1676">
        <v>2</v>
      </c>
      <c r="B1676">
        <v>-1E-3</v>
      </c>
      <c r="C1676">
        <v>40.058599999999998</v>
      </c>
      <c r="D1676">
        <v>44.168900000000001</v>
      </c>
      <c r="E1676">
        <v>59.995899999999999</v>
      </c>
      <c r="F1676">
        <v>100.0698</v>
      </c>
      <c r="G1676">
        <v>134.9958</v>
      </c>
      <c r="H1676">
        <v>167.0736</v>
      </c>
      <c r="I1676">
        <v>180.87370000000001</v>
      </c>
      <c r="J1676">
        <v>211.7253</v>
      </c>
    </row>
    <row r="1677" spans="1:10" x14ac:dyDescent="0.4">
      <c r="A1677">
        <v>3</v>
      </c>
      <c r="B1677">
        <v>-1E-3</v>
      </c>
      <c r="C1677">
        <v>16.191400000000002</v>
      </c>
      <c r="D1677">
        <v>20.4331</v>
      </c>
      <c r="E1677">
        <v>27.825900000000001</v>
      </c>
      <c r="F1677">
        <v>45.886800000000001</v>
      </c>
      <c r="G1677">
        <v>69.017200000000003</v>
      </c>
      <c r="H1677">
        <v>90.033600000000007</v>
      </c>
      <c r="I1677">
        <v>97.596500000000006</v>
      </c>
      <c r="J1677">
        <v>111.7864</v>
      </c>
    </row>
    <row r="1678" spans="1:10" x14ac:dyDescent="0.4">
      <c r="A1678">
        <v>4</v>
      </c>
      <c r="B1678">
        <v>-1E-3</v>
      </c>
      <c r="C1678">
        <v>3.1474000000000002</v>
      </c>
      <c r="D1678">
        <v>7.1635</v>
      </c>
      <c r="E1678">
        <v>12.1264</v>
      </c>
      <c r="F1678">
        <v>21.831499999999998</v>
      </c>
      <c r="G1678">
        <v>34.988700000000001</v>
      </c>
      <c r="H1678">
        <v>47.435699999999997</v>
      </c>
      <c r="I1678">
        <v>52.982700000000001</v>
      </c>
      <c r="J1678">
        <v>64.630300000000005</v>
      </c>
    </row>
    <row r="1679" spans="1:10" x14ac:dyDescent="0.4">
      <c r="A1679">
        <v>5</v>
      </c>
      <c r="B1679">
        <v>-1E-3</v>
      </c>
      <c r="C1679">
        <v>0.44979999999999998</v>
      </c>
      <c r="D1679">
        <v>1.4725999999999999</v>
      </c>
      <c r="E1679">
        <v>4.2571000000000003</v>
      </c>
      <c r="F1679">
        <v>8.8054000000000006</v>
      </c>
      <c r="G1679">
        <v>16.049700000000001</v>
      </c>
      <c r="H1679">
        <v>23.4846</v>
      </c>
      <c r="I1679">
        <v>27.577200000000001</v>
      </c>
      <c r="J1679">
        <v>34.451700000000002</v>
      </c>
    </row>
    <row r="1680" spans="1:10" x14ac:dyDescent="0.4">
      <c r="A1680">
        <v>6</v>
      </c>
      <c r="B1680">
        <v>-1E-3</v>
      </c>
      <c r="C1680">
        <v>5.4300000000000001E-2</v>
      </c>
      <c r="D1680">
        <v>0.34429999999999999</v>
      </c>
      <c r="E1680">
        <v>1.3712</v>
      </c>
      <c r="F1680">
        <v>3.5478999999999998</v>
      </c>
      <c r="G1680">
        <v>7.2012999999999998</v>
      </c>
      <c r="H1680">
        <v>10.887</v>
      </c>
      <c r="I1680">
        <v>13.3948</v>
      </c>
      <c r="J1680">
        <v>20.194800000000001</v>
      </c>
    </row>
    <row r="1681" spans="1:10" x14ac:dyDescent="0.4">
      <c r="A1681">
        <v>7</v>
      </c>
      <c r="B1681">
        <v>-1E-3</v>
      </c>
      <c r="C1681">
        <v>6.7000000000000002E-3</v>
      </c>
      <c r="D1681">
        <v>5.8400000000000001E-2</v>
      </c>
      <c r="E1681">
        <v>0.46610000000000001</v>
      </c>
      <c r="F1681">
        <v>1.3805000000000001</v>
      </c>
      <c r="G1681">
        <v>2.9613999999999998</v>
      </c>
      <c r="H1681">
        <v>5.3071999999999999</v>
      </c>
      <c r="I1681">
        <v>6.5746000000000002</v>
      </c>
      <c r="J1681">
        <v>9.7149999999999999</v>
      </c>
    </row>
    <row r="1682" spans="1:10" x14ac:dyDescent="0.4">
      <c r="A1682">
        <v>8</v>
      </c>
      <c r="B1682">
        <v>-1E-3</v>
      </c>
      <c r="C1682">
        <v>1E-3</v>
      </c>
      <c r="D1682">
        <v>1.47E-2</v>
      </c>
      <c r="E1682">
        <v>0.15140000000000001</v>
      </c>
      <c r="F1682">
        <v>0.57720000000000005</v>
      </c>
      <c r="G1682">
        <v>1.4231</v>
      </c>
      <c r="H1682">
        <v>2.5421</v>
      </c>
      <c r="I1682">
        <v>3.2507000000000001</v>
      </c>
      <c r="J1682">
        <v>4.4757999999999996</v>
      </c>
    </row>
    <row r="1683" spans="1:10" x14ac:dyDescent="0.4">
      <c r="A1683">
        <v>9</v>
      </c>
      <c r="B1683">
        <v>-1E-3</v>
      </c>
      <c r="C1683">
        <v>4.0000000000000002E-4</v>
      </c>
      <c r="D1683">
        <v>3.0999999999999999E-3</v>
      </c>
      <c r="E1683">
        <v>5.1200000000000002E-2</v>
      </c>
      <c r="F1683">
        <v>0.24560000000000001</v>
      </c>
      <c r="G1683">
        <v>0.66039999999999999</v>
      </c>
      <c r="H1683">
        <v>1.2401</v>
      </c>
      <c r="I1683">
        <v>1.5184</v>
      </c>
      <c r="J1683">
        <v>2.4156</v>
      </c>
    </row>
    <row r="1684" spans="1:10" x14ac:dyDescent="0.4">
      <c r="A1684">
        <v>10</v>
      </c>
      <c r="B1684">
        <v>0</v>
      </c>
      <c r="C1684">
        <v>1E-4</v>
      </c>
      <c r="D1684">
        <v>1E-3</v>
      </c>
      <c r="E1684">
        <v>1.78E-2</v>
      </c>
      <c r="F1684">
        <v>0.1055</v>
      </c>
      <c r="G1684">
        <v>0.30070000000000002</v>
      </c>
      <c r="H1684">
        <v>0.57420000000000004</v>
      </c>
      <c r="I1684">
        <v>0.80210000000000004</v>
      </c>
      <c r="J1684">
        <v>1.3089999999999999</v>
      </c>
    </row>
    <row r="1685" spans="1:10" x14ac:dyDescent="0.4">
      <c r="A1685">
        <v>11</v>
      </c>
      <c r="B1685">
        <v>0</v>
      </c>
      <c r="C1685">
        <v>0</v>
      </c>
      <c r="D1685">
        <v>2.9999999999999997E-4</v>
      </c>
      <c r="E1685">
        <v>5.7000000000000002E-3</v>
      </c>
      <c r="F1685">
        <v>4.3099999999999999E-2</v>
      </c>
      <c r="G1685">
        <v>0.1363</v>
      </c>
      <c r="H1685">
        <v>0.2979</v>
      </c>
      <c r="I1685">
        <v>0.41139999999999999</v>
      </c>
      <c r="J1685">
        <v>0.72589999999999999</v>
      </c>
    </row>
    <row r="1686" spans="1:10" x14ac:dyDescent="0.4">
      <c r="A1686">
        <v>12</v>
      </c>
      <c r="B1686">
        <v>0</v>
      </c>
      <c r="C1686">
        <v>0</v>
      </c>
      <c r="D1686">
        <v>1E-4</v>
      </c>
      <c r="E1686">
        <v>2E-3</v>
      </c>
      <c r="F1686">
        <v>1.8100000000000002E-2</v>
      </c>
      <c r="G1686">
        <v>6.93E-2</v>
      </c>
      <c r="H1686">
        <v>0.1532</v>
      </c>
      <c r="I1686">
        <v>0.21790000000000001</v>
      </c>
      <c r="J1686">
        <v>0.42609999999999998</v>
      </c>
    </row>
    <row r="1687" spans="1:10" x14ac:dyDescent="0.4">
      <c r="A1687">
        <v>13</v>
      </c>
      <c r="B1687">
        <v>0</v>
      </c>
      <c r="C1687">
        <v>0</v>
      </c>
      <c r="D1687">
        <v>0</v>
      </c>
      <c r="E1687">
        <v>1E-3</v>
      </c>
      <c r="F1687">
        <v>8.0999999999999996E-3</v>
      </c>
      <c r="G1687">
        <v>3.0599999999999999E-2</v>
      </c>
      <c r="H1687">
        <v>7.3300000000000004E-2</v>
      </c>
      <c r="I1687">
        <v>0.1095</v>
      </c>
      <c r="J1687">
        <v>0.21959999999999999</v>
      </c>
    </row>
    <row r="1688" spans="1:10" x14ac:dyDescent="0.4">
      <c r="A1688">
        <v>14</v>
      </c>
      <c r="B1688">
        <v>0</v>
      </c>
      <c r="C1688">
        <v>0</v>
      </c>
      <c r="D1688">
        <v>0</v>
      </c>
      <c r="E1688">
        <v>2.9999999999999997E-4</v>
      </c>
      <c r="F1688">
        <v>3.7000000000000002E-3</v>
      </c>
      <c r="G1688">
        <v>1.46E-2</v>
      </c>
      <c r="H1688">
        <v>3.6400000000000002E-2</v>
      </c>
      <c r="I1688">
        <v>5.3699999999999998E-2</v>
      </c>
      <c r="J1688">
        <v>0.14360000000000001</v>
      </c>
    </row>
    <row r="1689" spans="1:10" x14ac:dyDescent="0.4">
      <c r="A1689" t="s">
        <v>29</v>
      </c>
      <c r="B1689">
        <v>0</v>
      </c>
      <c r="C1689">
        <v>0</v>
      </c>
      <c r="D1689">
        <v>0</v>
      </c>
      <c r="E1689">
        <v>2.9999999999999997E-4</v>
      </c>
      <c r="F1689">
        <v>3.0999999999999999E-3</v>
      </c>
      <c r="G1689">
        <v>1.4999999999999999E-2</v>
      </c>
      <c r="H1689">
        <v>3.8100000000000002E-2</v>
      </c>
      <c r="I1689">
        <v>6.4000000000000001E-2</v>
      </c>
      <c r="J1689">
        <v>0.12089999999999999</v>
      </c>
    </row>
    <row r="1691" spans="1:10" x14ac:dyDescent="0.4">
      <c r="A1691">
        <v>2059</v>
      </c>
    </row>
    <row r="1693" spans="1:10" x14ac:dyDescent="0.4">
      <c r="A1693" t="s">
        <v>0</v>
      </c>
      <c r="B1693" s="2">
        <v>0.01</v>
      </c>
      <c r="C1693" s="2">
        <v>0.05</v>
      </c>
      <c r="D1693" s="2">
        <v>0.1</v>
      </c>
      <c r="E1693" s="2">
        <v>0.25</v>
      </c>
      <c r="F1693" s="2">
        <v>0.5</v>
      </c>
      <c r="G1693" s="2">
        <v>0.75</v>
      </c>
      <c r="H1693" s="2">
        <v>0.9</v>
      </c>
      <c r="I1693" s="2">
        <v>0.95</v>
      </c>
      <c r="J1693" s="2">
        <v>0.99</v>
      </c>
    </row>
    <row r="1694" spans="1:10" x14ac:dyDescent="0.4">
      <c r="A1694">
        <v>1</v>
      </c>
      <c r="B1694">
        <v>68.684100000000001</v>
      </c>
      <c r="C1694">
        <v>74.620900000000006</v>
      </c>
      <c r="D1694">
        <v>79.553899999999999</v>
      </c>
      <c r="E1694">
        <v>103.3877</v>
      </c>
      <c r="F1694">
        <v>167.93770000000001</v>
      </c>
      <c r="G1694">
        <v>234.78579999999999</v>
      </c>
      <c r="H1694">
        <v>271</v>
      </c>
      <c r="I1694">
        <v>296.89819999999997</v>
      </c>
      <c r="J1694">
        <v>322.48989999999998</v>
      </c>
    </row>
    <row r="1695" spans="1:10" x14ac:dyDescent="0.4">
      <c r="A1695">
        <v>2</v>
      </c>
      <c r="B1695">
        <v>-1E-3</v>
      </c>
      <c r="C1695">
        <v>39.587699999999998</v>
      </c>
      <c r="D1695">
        <v>43.2104</v>
      </c>
      <c r="E1695">
        <v>57.100299999999997</v>
      </c>
      <c r="F1695">
        <v>97.830100000000002</v>
      </c>
      <c r="G1695">
        <v>137.93510000000001</v>
      </c>
      <c r="H1695">
        <v>170.53149999999999</v>
      </c>
      <c r="I1695">
        <v>181.8724</v>
      </c>
      <c r="J1695">
        <v>198.19810000000001</v>
      </c>
    </row>
    <row r="1696" spans="1:10" x14ac:dyDescent="0.4">
      <c r="A1696">
        <v>3</v>
      </c>
      <c r="B1696">
        <v>-1E-3</v>
      </c>
      <c r="C1696">
        <v>15.649100000000001</v>
      </c>
      <c r="D1696">
        <v>20.084099999999999</v>
      </c>
      <c r="E1696">
        <v>29.296199999999999</v>
      </c>
      <c r="F1696">
        <v>50.399900000000002</v>
      </c>
      <c r="G1696">
        <v>70.575599999999994</v>
      </c>
      <c r="H1696">
        <v>91.8172</v>
      </c>
      <c r="I1696">
        <v>102.0074</v>
      </c>
      <c r="J1696">
        <v>123.89190000000001</v>
      </c>
    </row>
    <row r="1697" spans="1:10" x14ac:dyDescent="0.4">
      <c r="A1697">
        <v>4</v>
      </c>
      <c r="B1697">
        <v>-1E-3</v>
      </c>
      <c r="C1697">
        <v>3.2096</v>
      </c>
      <c r="D1697">
        <v>5.9240000000000004</v>
      </c>
      <c r="E1697">
        <v>11.0237</v>
      </c>
      <c r="F1697">
        <v>19.842700000000001</v>
      </c>
      <c r="G1697">
        <v>32.5349</v>
      </c>
      <c r="H1697">
        <v>45.388199999999998</v>
      </c>
      <c r="I1697">
        <v>51.006700000000002</v>
      </c>
      <c r="J1697">
        <v>62.347799999999999</v>
      </c>
    </row>
    <row r="1698" spans="1:10" x14ac:dyDescent="0.4">
      <c r="A1698">
        <v>5</v>
      </c>
      <c r="B1698">
        <v>-1E-3</v>
      </c>
      <c r="C1698">
        <v>0.39960000000000001</v>
      </c>
      <c r="D1698">
        <v>1.7854000000000001</v>
      </c>
      <c r="E1698">
        <v>4.2868000000000004</v>
      </c>
      <c r="F1698">
        <v>8.8571000000000009</v>
      </c>
      <c r="G1698">
        <v>15.644</v>
      </c>
      <c r="H1698">
        <v>23.081</v>
      </c>
      <c r="I1698">
        <v>26.758700000000001</v>
      </c>
      <c r="J1698">
        <v>34.525300000000001</v>
      </c>
    </row>
    <row r="1699" spans="1:10" x14ac:dyDescent="0.4">
      <c r="A1699">
        <v>6</v>
      </c>
      <c r="B1699">
        <v>-1E-3</v>
      </c>
      <c r="C1699">
        <v>4.9200000000000001E-2</v>
      </c>
      <c r="D1699">
        <v>0.36099999999999999</v>
      </c>
      <c r="E1699">
        <v>1.4021999999999999</v>
      </c>
      <c r="F1699">
        <v>3.4704999999999999</v>
      </c>
      <c r="G1699">
        <v>7.3220999999999998</v>
      </c>
      <c r="H1699">
        <v>11.1092</v>
      </c>
      <c r="I1699">
        <v>13.4496</v>
      </c>
      <c r="J1699">
        <v>18.8416</v>
      </c>
    </row>
    <row r="1700" spans="1:10" x14ac:dyDescent="0.4">
      <c r="A1700">
        <v>7</v>
      </c>
      <c r="B1700">
        <v>-1E-3</v>
      </c>
      <c r="C1700">
        <v>7.7999999999999996E-3</v>
      </c>
      <c r="D1700">
        <v>6.88E-2</v>
      </c>
      <c r="E1700">
        <v>0.46910000000000002</v>
      </c>
      <c r="F1700">
        <v>1.4711000000000001</v>
      </c>
      <c r="G1700">
        <v>3.1852</v>
      </c>
      <c r="H1700">
        <v>5.2404999999999999</v>
      </c>
      <c r="I1700">
        <v>6.6059000000000001</v>
      </c>
      <c r="J1700">
        <v>9.8757000000000001</v>
      </c>
    </row>
    <row r="1701" spans="1:10" x14ac:dyDescent="0.4">
      <c r="A1701">
        <v>8</v>
      </c>
      <c r="B1701">
        <v>-1E-3</v>
      </c>
      <c r="C1701">
        <v>1E-3</v>
      </c>
      <c r="D1701">
        <v>1.2800000000000001E-2</v>
      </c>
      <c r="E1701">
        <v>0.15409999999999999</v>
      </c>
      <c r="F1701">
        <v>0.55320000000000003</v>
      </c>
      <c r="G1701">
        <v>1.3817999999999999</v>
      </c>
      <c r="H1701">
        <v>2.577</v>
      </c>
      <c r="I1701">
        <v>3.4018000000000002</v>
      </c>
      <c r="J1701">
        <v>5.2129000000000003</v>
      </c>
    </row>
    <row r="1702" spans="1:10" x14ac:dyDescent="0.4">
      <c r="A1702">
        <v>9</v>
      </c>
      <c r="B1702">
        <v>-1E-3</v>
      </c>
      <c r="C1702">
        <v>2.0000000000000001E-4</v>
      </c>
      <c r="D1702">
        <v>2.8999999999999998E-3</v>
      </c>
      <c r="E1702">
        <v>5.7700000000000001E-2</v>
      </c>
      <c r="F1702">
        <v>0.2455</v>
      </c>
      <c r="G1702">
        <v>0.6845</v>
      </c>
      <c r="H1702">
        <v>1.2407999999999999</v>
      </c>
      <c r="I1702">
        <v>1.6380999999999999</v>
      </c>
      <c r="J1702">
        <v>2.4537</v>
      </c>
    </row>
    <row r="1703" spans="1:10" x14ac:dyDescent="0.4">
      <c r="A1703">
        <v>10</v>
      </c>
      <c r="B1703">
        <v>-1E-3</v>
      </c>
      <c r="C1703">
        <v>1E-4</v>
      </c>
      <c r="D1703">
        <v>8.9999999999999998E-4</v>
      </c>
      <c r="E1703">
        <v>1.6799999999999999E-2</v>
      </c>
      <c r="F1703">
        <v>0.10639999999999999</v>
      </c>
      <c r="G1703">
        <v>0.30359999999999998</v>
      </c>
      <c r="H1703">
        <v>0.60409999999999997</v>
      </c>
      <c r="I1703">
        <v>0.7903</v>
      </c>
      <c r="J1703">
        <v>1.2657</v>
      </c>
    </row>
    <row r="1704" spans="1:10" x14ac:dyDescent="0.4">
      <c r="A1704">
        <v>11</v>
      </c>
      <c r="B1704">
        <v>0</v>
      </c>
      <c r="C1704">
        <v>0</v>
      </c>
      <c r="D1704">
        <v>2.9999999999999997E-4</v>
      </c>
      <c r="E1704">
        <v>6.6E-3</v>
      </c>
      <c r="F1704">
        <v>4.3299999999999998E-2</v>
      </c>
      <c r="G1704">
        <v>0.1396</v>
      </c>
      <c r="H1704">
        <v>0.28670000000000001</v>
      </c>
      <c r="I1704">
        <v>0.41670000000000001</v>
      </c>
      <c r="J1704">
        <v>0.69010000000000005</v>
      </c>
    </row>
    <row r="1705" spans="1:10" x14ac:dyDescent="0.4">
      <c r="A1705">
        <v>12</v>
      </c>
      <c r="B1705">
        <v>0</v>
      </c>
      <c r="C1705">
        <v>0</v>
      </c>
      <c r="D1705">
        <v>1E-4</v>
      </c>
      <c r="E1705">
        <v>2.2000000000000001E-3</v>
      </c>
      <c r="F1705">
        <v>1.8800000000000001E-2</v>
      </c>
      <c r="G1705">
        <v>6.5000000000000002E-2</v>
      </c>
      <c r="H1705">
        <v>0.15129999999999999</v>
      </c>
      <c r="I1705">
        <v>0.22420000000000001</v>
      </c>
      <c r="J1705">
        <v>0.36930000000000002</v>
      </c>
    </row>
    <row r="1706" spans="1:10" x14ac:dyDescent="0.4">
      <c r="A1706">
        <v>13</v>
      </c>
      <c r="B1706">
        <v>0</v>
      </c>
      <c r="C1706">
        <v>0</v>
      </c>
      <c r="D1706">
        <v>0</v>
      </c>
      <c r="E1706">
        <v>8.0000000000000004E-4</v>
      </c>
      <c r="F1706">
        <v>8.3000000000000001E-3</v>
      </c>
      <c r="G1706">
        <v>3.2199999999999999E-2</v>
      </c>
      <c r="H1706">
        <v>7.6200000000000004E-2</v>
      </c>
      <c r="I1706">
        <v>0.1145</v>
      </c>
      <c r="J1706">
        <v>0.21990000000000001</v>
      </c>
    </row>
    <row r="1707" spans="1:10" x14ac:dyDescent="0.4">
      <c r="A1707">
        <v>14</v>
      </c>
      <c r="B1707">
        <v>0</v>
      </c>
      <c r="C1707">
        <v>0</v>
      </c>
      <c r="D1707">
        <v>0</v>
      </c>
      <c r="E1707">
        <v>4.0000000000000002E-4</v>
      </c>
      <c r="F1707">
        <v>3.5999999999999999E-3</v>
      </c>
      <c r="G1707">
        <v>1.4800000000000001E-2</v>
      </c>
      <c r="H1707">
        <v>3.5900000000000001E-2</v>
      </c>
      <c r="I1707">
        <v>5.5899999999999998E-2</v>
      </c>
      <c r="J1707">
        <v>0.1227</v>
      </c>
    </row>
    <row r="1708" spans="1:10" x14ac:dyDescent="0.4">
      <c r="A1708" t="s">
        <v>29</v>
      </c>
      <c r="B1708">
        <v>0</v>
      </c>
      <c r="C1708">
        <v>0</v>
      </c>
      <c r="D1708">
        <v>0</v>
      </c>
      <c r="E1708">
        <v>2.9999999999999997E-4</v>
      </c>
      <c r="F1708">
        <v>3.5000000000000001E-3</v>
      </c>
      <c r="G1708">
        <v>1.4500000000000001E-2</v>
      </c>
      <c r="H1708">
        <v>3.7499999999999999E-2</v>
      </c>
      <c r="I1708">
        <v>5.8099999999999999E-2</v>
      </c>
      <c r="J1708">
        <v>0.14879999999999999</v>
      </c>
    </row>
    <row r="1710" spans="1:10" x14ac:dyDescent="0.4">
      <c r="A1710">
        <v>2060</v>
      </c>
    </row>
    <row r="1712" spans="1:10" x14ac:dyDescent="0.4">
      <c r="A1712" t="s">
        <v>0</v>
      </c>
      <c r="B1712" s="2">
        <v>0.01</v>
      </c>
      <c r="C1712" s="2">
        <v>0.05</v>
      </c>
      <c r="D1712" s="2">
        <v>0.1</v>
      </c>
      <c r="E1712" s="2">
        <v>0.25</v>
      </c>
      <c r="F1712" s="2">
        <v>0.5</v>
      </c>
      <c r="G1712" s="2">
        <v>0.75</v>
      </c>
      <c r="H1712" s="2">
        <v>0.9</v>
      </c>
      <c r="I1712" s="2">
        <v>0.95</v>
      </c>
      <c r="J1712" s="2">
        <v>0.99</v>
      </c>
    </row>
    <row r="1713" spans="1:10" x14ac:dyDescent="0.4">
      <c r="A1713">
        <v>1</v>
      </c>
      <c r="B1713">
        <v>68.572199999999995</v>
      </c>
      <c r="C1713">
        <v>70.146900000000002</v>
      </c>
      <c r="D1713">
        <v>78.827500000000001</v>
      </c>
      <c r="E1713">
        <v>104.0402</v>
      </c>
      <c r="F1713">
        <v>168.0967</v>
      </c>
      <c r="G1713">
        <v>236.8235</v>
      </c>
      <c r="H1713">
        <v>287.69040000000001</v>
      </c>
      <c r="I1713">
        <v>310.61309999999997</v>
      </c>
      <c r="J1713">
        <v>339.87849999999997</v>
      </c>
    </row>
    <row r="1714" spans="1:10" x14ac:dyDescent="0.4">
      <c r="A1714">
        <v>2</v>
      </c>
      <c r="B1714">
        <v>-1E-3</v>
      </c>
      <c r="C1714">
        <v>39.922199999999997</v>
      </c>
      <c r="D1714">
        <v>44.7181</v>
      </c>
      <c r="E1714">
        <v>59.198599999999999</v>
      </c>
      <c r="F1714">
        <v>96.034099999999995</v>
      </c>
      <c r="G1714">
        <v>134.41220000000001</v>
      </c>
      <c r="H1714">
        <v>162.84379999999999</v>
      </c>
      <c r="I1714">
        <v>176.5521</v>
      </c>
      <c r="J1714">
        <v>194.1481</v>
      </c>
    </row>
    <row r="1715" spans="1:10" x14ac:dyDescent="0.4">
      <c r="A1715">
        <v>3</v>
      </c>
      <c r="B1715">
        <v>-1E-3</v>
      </c>
      <c r="C1715">
        <v>12.8507</v>
      </c>
      <c r="D1715">
        <v>19.636399999999998</v>
      </c>
      <c r="E1715">
        <v>27.519500000000001</v>
      </c>
      <c r="F1715">
        <v>48.707000000000001</v>
      </c>
      <c r="G1715">
        <v>71.887100000000004</v>
      </c>
      <c r="H1715">
        <v>91.927300000000002</v>
      </c>
      <c r="I1715">
        <v>101.0249</v>
      </c>
      <c r="J1715">
        <v>117.0796</v>
      </c>
    </row>
    <row r="1716" spans="1:10" x14ac:dyDescent="0.4">
      <c r="A1716">
        <v>4</v>
      </c>
      <c r="B1716">
        <v>-1E-3</v>
      </c>
      <c r="C1716">
        <v>2.4091</v>
      </c>
      <c r="D1716">
        <v>6.2633999999999999</v>
      </c>
      <c r="E1716">
        <v>11.3215</v>
      </c>
      <c r="F1716">
        <v>21.786100000000001</v>
      </c>
      <c r="G1716">
        <v>33.878</v>
      </c>
      <c r="H1716">
        <v>46.283099999999997</v>
      </c>
      <c r="I1716">
        <v>53.441000000000003</v>
      </c>
      <c r="J1716">
        <v>68.94</v>
      </c>
    </row>
    <row r="1717" spans="1:10" x14ac:dyDescent="0.4">
      <c r="A1717">
        <v>5</v>
      </c>
      <c r="B1717">
        <v>-1E-3</v>
      </c>
      <c r="C1717">
        <v>0.41399999999999998</v>
      </c>
      <c r="D1717">
        <v>1.3635999999999999</v>
      </c>
      <c r="E1717">
        <v>3.9624000000000001</v>
      </c>
      <c r="F1717">
        <v>8.2311999999999994</v>
      </c>
      <c r="G1717">
        <v>14.892200000000001</v>
      </c>
      <c r="H1717">
        <v>22.166899999999998</v>
      </c>
      <c r="I1717">
        <v>26.052800000000001</v>
      </c>
      <c r="J1717">
        <v>33.276499999999999</v>
      </c>
    </row>
    <row r="1718" spans="1:10" x14ac:dyDescent="0.4">
      <c r="A1718">
        <v>6</v>
      </c>
      <c r="B1718">
        <v>-1E-3</v>
      </c>
      <c r="C1718">
        <v>4.4900000000000002E-2</v>
      </c>
      <c r="D1718">
        <v>0.36609999999999998</v>
      </c>
      <c r="E1718">
        <v>1.464</v>
      </c>
      <c r="F1718">
        <v>3.5503</v>
      </c>
      <c r="G1718">
        <v>7.0195999999999996</v>
      </c>
      <c r="H1718">
        <v>10.9093</v>
      </c>
      <c r="I1718">
        <v>13.4217</v>
      </c>
      <c r="J1718">
        <v>19.160699999999999</v>
      </c>
    </row>
    <row r="1719" spans="1:10" x14ac:dyDescent="0.4">
      <c r="A1719">
        <v>7</v>
      </c>
      <c r="B1719">
        <v>-1E-3</v>
      </c>
      <c r="C1719">
        <v>5.4999999999999997E-3</v>
      </c>
      <c r="D1719">
        <v>7.1499999999999994E-2</v>
      </c>
      <c r="E1719">
        <v>0.43180000000000002</v>
      </c>
      <c r="F1719">
        <v>1.4491000000000001</v>
      </c>
      <c r="G1719">
        <v>3.19</v>
      </c>
      <c r="H1719">
        <v>5.3354999999999997</v>
      </c>
      <c r="I1719">
        <v>6.5618999999999996</v>
      </c>
      <c r="J1719">
        <v>9.9285999999999994</v>
      </c>
    </row>
    <row r="1720" spans="1:10" x14ac:dyDescent="0.4">
      <c r="A1720">
        <v>8</v>
      </c>
      <c r="B1720">
        <v>-1E-3</v>
      </c>
      <c r="C1720">
        <v>1E-3</v>
      </c>
      <c r="D1720">
        <v>1.3299999999999999E-2</v>
      </c>
      <c r="E1720">
        <v>0.1694</v>
      </c>
      <c r="F1720">
        <v>0.61329999999999996</v>
      </c>
      <c r="G1720">
        <v>1.4562999999999999</v>
      </c>
      <c r="H1720">
        <v>2.5234999999999999</v>
      </c>
      <c r="I1720">
        <v>3.1836000000000002</v>
      </c>
      <c r="J1720">
        <v>5.8314000000000004</v>
      </c>
    </row>
    <row r="1721" spans="1:10" x14ac:dyDescent="0.4">
      <c r="A1721">
        <v>9</v>
      </c>
      <c r="B1721">
        <v>-1E-3</v>
      </c>
      <c r="C1721">
        <v>2.9999999999999997E-4</v>
      </c>
      <c r="D1721">
        <v>3.0999999999999999E-3</v>
      </c>
      <c r="E1721">
        <v>5.3800000000000001E-2</v>
      </c>
      <c r="F1721">
        <v>0.2268</v>
      </c>
      <c r="G1721">
        <v>0.63949999999999996</v>
      </c>
      <c r="H1721">
        <v>1.2303999999999999</v>
      </c>
      <c r="I1721">
        <v>1.7089000000000001</v>
      </c>
      <c r="J1721">
        <v>2.7924000000000002</v>
      </c>
    </row>
    <row r="1722" spans="1:10" x14ac:dyDescent="0.4">
      <c r="A1722">
        <v>10</v>
      </c>
      <c r="B1722">
        <v>-1E-3</v>
      </c>
      <c r="C1722">
        <v>0</v>
      </c>
      <c r="D1722">
        <v>1E-3</v>
      </c>
      <c r="E1722">
        <v>1.8499999999999999E-2</v>
      </c>
      <c r="F1722">
        <v>0.10290000000000001</v>
      </c>
      <c r="G1722">
        <v>0.32229999999999998</v>
      </c>
      <c r="H1722">
        <v>0.61550000000000005</v>
      </c>
      <c r="I1722">
        <v>0.82520000000000004</v>
      </c>
      <c r="J1722">
        <v>1.2868999999999999</v>
      </c>
    </row>
    <row r="1723" spans="1:10" x14ac:dyDescent="0.4">
      <c r="A1723">
        <v>11</v>
      </c>
      <c r="B1723">
        <v>-1E-3</v>
      </c>
      <c r="C1723">
        <v>0</v>
      </c>
      <c r="D1723">
        <v>2.0000000000000001E-4</v>
      </c>
      <c r="E1723">
        <v>6.1999999999999998E-3</v>
      </c>
      <c r="F1723">
        <v>4.5600000000000002E-2</v>
      </c>
      <c r="G1723">
        <v>0.14449999999999999</v>
      </c>
      <c r="H1723">
        <v>0.31030000000000002</v>
      </c>
      <c r="I1723">
        <v>0.38369999999999999</v>
      </c>
      <c r="J1723">
        <v>0.67149999999999999</v>
      </c>
    </row>
    <row r="1724" spans="1:10" x14ac:dyDescent="0.4">
      <c r="A1724">
        <v>12</v>
      </c>
      <c r="B1724">
        <v>0</v>
      </c>
      <c r="C1724">
        <v>0</v>
      </c>
      <c r="D1724">
        <v>1E-4</v>
      </c>
      <c r="E1724">
        <v>2.3E-3</v>
      </c>
      <c r="F1724">
        <v>1.84E-2</v>
      </c>
      <c r="G1724">
        <v>6.7000000000000004E-2</v>
      </c>
      <c r="H1724">
        <v>0.1467</v>
      </c>
      <c r="I1724">
        <v>0.21329999999999999</v>
      </c>
      <c r="J1724">
        <v>0.36520000000000002</v>
      </c>
    </row>
    <row r="1725" spans="1:10" x14ac:dyDescent="0.4">
      <c r="A1725">
        <v>13</v>
      </c>
      <c r="B1725">
        <v>0</v>
      </c>
      <c r="C1725">
        <v>0</v>
      </c>
      <c r="D1725">
        <v>0</v>
      </c>
      <c r="E1725">
        <v>8.9999999999999998E-4</v>
      </c>
      <c r="F1725">
        <v>7.7000000000000002E-3</v>
      </c>
      <c r="G1725">
        <v>3.15E-2</v>
      </c>
      <c r="H1725">
        <v>7.7200000000000005E-2</v>
      </c>
      <c r="I1725">
        <v>0.1197</v>
      </c>
      <c r="J1725">
        <v>0.20530000000000001</v>
      </c>
    </row>
    <row r="1726" spans="1:10" x14ac:dyDescent="0.4">
      <c r="A1726">
        <v>14</v>
      </c>
      <c r="B1726">
        <v>0</v>
      </c>
      <c r="C1726">
        <v>0</v>
      </c>
      <c r="D1726">
        <v>0</v>
      </c>
      <c r="E1726">
        <v>2.9999999999999997E-4</v>
      </c>
      <c r="F1726">
        <v>3.3999999999999998E-3</v>
      </c>
      <c r="G1726">
        <v>1.5900000000000001E-2</v>
      </c>
      <c r="H1726">
        <v>3.9199999999999999E-2</v>
      </c>
      <c r="I1726">
        <v>6.1100000000000002E-2</v>
      </c>
      <c r="J1726">
        <v>0.1147</v>
      </c>
    </row>
    <row r="1727" spans="1:10" x14ac:dyDescent="0.4">
      <c r="A1727" t="s">
        <v>29</v>
      </c>
      <c r="B1727">
        <v>0</v>
      </c>
      <c r="C1727">
        <v>0</v>
      </c>
      <c r="D1727">
        <v>0</v>
      </c>
      <c r="E1727">
        <v>2.9999999999999997E-4</v>
      </c>
      <c r="F1727">
        <v>3.3999999999999998E-3</v>
      </c>
      <c r="G1727">
        <v>1.4999999999999999E-2</v>
      </c>
      <c r="H1727">
        <v>3.8399999999999997E-2</v>
      </c>
      <c r="I1727">
        <v>6.0100000000000001E-2</v>
      </c>
      <c r="J1727">
        <v>0.13289999999999999</v>
      </c>
    </row>
    <row r="1729" spans="1:10" x14ac:dyDescent="0.4">
      <c r="A1729">
        <v>2061</v>
      </c>
    </row>
    <row r="1731" spans="1:10" x14ac:dyDescent="0.4">
      <c r="A1731" t="s">
        <v>0</v>
      </c>
      <c r="B1731" s="2">
        <v>0.01</v>
      </c>
      <c r="C1731" s="2">
        <v>0.05</v>
      </c>
      <c r="D1731" s="2">
        <v>0.1</v>
      </c>
      <c r="E1731" s="2">
        <v>0.25</v>
      </c>
      <c r="F1731" s="2">
        <v>0.5</v>
      </c>
      <c r="G1731" s="2">
        <v>0.75</v>
      </c>
      <c r="H1731" s="2">
        <v>0.9</v>
      </c>
      <c r="I1731" s="2">
        <v>0.95</v>
      </c>
      <c r="J1731" s="2">
        <v>0.99</v>
      </c>
    </row>
    <row r="1732" spans="1:10" x14ac:dyDescent="0.4">
      <c r="A1732">
        <v>1</v>
      </c>
      <c r="B1732">
        <v>68.615300000000005</v>
      </c>
      <c r="C1732">
        <v>70.035300000000007</v>
      </c>
      <c r="D1732">
        <v>77.091300000000004</v>
      </c>
      <c r="E1732">
        <v>100.2938</v>
      </c>
      <c r="F1732">
        <v>167.66900000000001</v>
      </c>
      <c r="G1732">
        <v>231.59739999999999</v>
      </c>
      <c r="H1732">
        <v>277.6182</v>
      </c>
      <c r="I1732">
        <v>305.38229999999999</v>
      </c>
      <c r="J1732">
        <v>334.52339999999998</v>
      </c>
    </row>
    <row r="1733" spans="1:10" x14ac:dyDescent="0.4">
      <c r="A1733">
        <v>2</v>
      </c>
      <c r="B1733">
        <v>-1E-3</v>
      </c>
      <c r="C1733">
        <v>39.575699999999998</v>
      </c>
      <c r="D1733">
        <v>43.371899999999997</v>
      </c>
      <c r="E1733">
        <v>58.705500000000001</v>
      </c>
      <c r="F1733">
        <v>96.37</v>
      </c>
      <c r="G1733">
        <v>138.57919999999999</v>
      </c>
      <c r="H1733">
        <v>171.81870000000001</v>
      </c>
      <c r="I1733">
        <v>185.97130000000001</v>
      </c>
      <c r="J1733">
        <v>216.17859999999999</v>
      </c>
    </row>
    <row r="1734" spans="1:10" x14ac:dyDescent="0.4">
      <c r="A1734">
        <v>3</v>
      </c>
      <c r="B1734">
        <v>-1E-3</v>
      </c>
      <c r="C1734">
        <v>12.0327</v>
      </c>
      <c r="D1734">
        <v>19.494800000000001</v>
      </c>
      <c r="E1734">
        <v>28.617899999999999</v>
      </c>
      <c r="F1734">
        <v>47.4741</v>
      </c>
      <c r="G1734">
        <v>68.9375</v>
      </c>
      <c r="H1734">
        <v>88.858699999999999</v>
      </c>
      <c r="I1734">
        <v>97.302800000000005</v>
      </c>
      <c r="J1734">
        <v>112.6317</v>
      </c>
    </row>
    <row r="1735" spans="1:10" x14ac:dyDescent="0.4">
      <c r="A1735">
        <v>4</v>
      </c>
      <c r="B1735">
        <v>-1E-3</v>
      </c>
      <c r="C1735">
        <v>1.7125999999999999</v>
      </c>
      <c r="D1735">
        <v>5.1673</v>
      </c>
      <c r="E1735">
        <v>10.9267</v>
      </c>
      <c r="F1735">
        <v>20.435300000000002</v>
      </c>
      <c r="G1735">
        <v>33.999899999999997</v>
      </c>
      <c r="H1735">
        <v>45.891199999999998</v>
      </c>
      <c r="I1735">
        <v>52.754800000000003</v>
      </c>
      <c r="J1735">
        <v>65.044300000000007</v>
      </c>
    </row>
    <row r="1736" spans="1:10" x14ac:dyDescent="0.4">
      <c r="A1736">
        <v>5</v>
      </c>
      <c r="B1736">
        <v>-1E-3</v>
      </c>
      <c r="C1736">
        <v>0.2026</v>
      </c>
      <c r="D1736">
        <v>1.3150999999999999</v>
      </c>
      <c r="E1736">
        <v>3.9817999999999998</v>
      </c>
      <c r="F1736">
        <v>8.7139000000000006</v>
      </c>
      <c r="G1736">
        <v>15.395799999999999</v>
      </c>
      <c r="H1736">
        <v>22.8903</v>
      </c>
      <c r="I1736">
        <v>26.8508</v>
      </c>
      <c r="J1736">
        <v>36.284300000000002</v>
      </c>
    </row>
    <row r="1737" spans="1:10" x14ac:dyDescent="0.4">
      <c r="A1737">
        <v>6</v>
      </c>
      <c r="B1737">
        <v>-1E-3</v>
      </c>
      <c r="C1737">
        <v>3.0099999999999998E-2</v>
      </c>
      <c r="D1737">
        <v>0.28210000000000002</v>
      </c>
      <c r="E1737">
        <v>1.3686</v>
      </c>
      <c r="F1737">
        <v>3.3959000000000001</v>
      </c>
      <c r="G1737">
        <v>6.5281000000000002</v>
      </c>
      <c r="H1737">
        <v>10.681800000000001</v>
      </c>
      <c r="I1737">
        <v>12.6662</v>
      </c>
      <c r="J1737">
        <v>17.606200000000001</v>
      </c>
    </row>
    <row r="1738" spans="1:10" x14ac:dyDescent="0.4">
      <c r="A1738">
        <v>7</v>
      </c>
      <c r="B1738">
        <v>-1E-3</v>
      </c>
      <c r="C1738">
        <v>3.0999999999999999E-3</v>
      </c>
      <c r="D1738">
        <v>6.4000000000000001E-2</v>
      </c>
      <c r="E1738">
        <v>0.50349999999999995</v>
      </c>
      <c r="F1738">
        <v>1.4335</v>
      </c>
      <c r="G1738">
        <v>3.1393</v>
      </c>
      <c r="H1738">
        <v>5.1395999999999997</v>
      </c>
      <c r="I1738">
        <v>6.7126000000000001</v>
      </c>
      <c r="J1738">
        <v>10.079800000000001</v>
      </c>
    </row>
    <row r="1739" spans="1:10" x14ac:dyDescent="0.4">
      <c r="A1739">
        <v>8</v>
      </c>
      <c r="B1739">
        <v>-1E-3</v>
      </c>
      <c r="C1739">
        <v>8.9999999999999998E-4</v>
      </c>
      <c r="D1739">
        <v>1.2500000000000001E-2</v>
      </c>
      <c r="E1739">
        <v>0.14199999999999999</v>
      </c>
      <c r="F1739">
        <v>0.5746</v>
      </c>
      <c r="G1739">
        <v>1.4372</v>
      </c>
      <c r="H1739">
        <v>2.5577999999999999</v>
      </c>
      <c r="I1739">
        <v>3.2296</v>
      </c>
      <c r="J1739">
        <v>5.6677999999999997</v>
      </c>
    </row>
    <row r="1740" spans="1:10" x14ac:dyDescent="0.4">
      <c r="A1740">
        <v>9</v>
      </c>
      <c r="B1740">
        <v>-1E-3</v>
      </c>
      <c r="C1740">
        <v>2.9999999999999997E-4</v>
      </c>
      <c r="D1740">
        <v>2.3999999999999998E-3</v>
      </c>
      <c r="E1740">
        <v>5.4399999999999997E-2</v>
      </c>
      <c r="F1740">
        <v>0.24790000000000001</v>
      </c>
      <c r="G1740">
        <v>0.64549999999999996</v>
      </c>
      <c r="H1740">
        <v>1.2311000000000001</v>
      </c>
      <c r="I1740">
        <v>1.6311</v>
      </c>
      <c r="J1740">
        <v>3.2698999999999998</v>
      </c>
    </row>
    <row r="1741" spans="1:10" x14ac:dyDescent="0.4">
      <c r="A1741">
        <v>10</v>
      </c>
      <c r="B1741">
        <v>-1E-3</v>
      </c>
      <c r="C1741">
        <v>1E-4</v>
      </c>
      <c r="D1741">
        <v>8.0000000000000004E-4</v>
      </c>
      <c r="E1741">
        <v>1.8100000000000002E-2</v>
      </c>
      <c r="F1741">
        <v>9.5600000000000004E-2</v>
      </c>
      <c r="G1741">
        <v>0.2999</v>
      </c>
      <c r="H1741">
        <v>0.59970000000000001</v>
      </c>
      <c r="I1741">
        <v>0.86050000000000004</v>
      </c>
      <c r="J1741">
        <v>1.5395000000000001</v>
      </c>
    </row>
    <row r="1742" spans="1:10" x14ac:dyDescent="0.4">
      <c r="A1742">
        <v>11</v>
      </c>
      <c r="B1742">
        <v>-1E-3</v>
      </c>
      <c r="C1742">
        <v>0</v>
      </c>
      <c r="D1742">
        <v>2.0000000000000001E-4</v>
      </c>
      <c r="E1742">
        <v>6.6E-3</v>
      </c>
      <c r="F1742">
        <v>4.19E-2</v>
      </c>
      <c r="G1742">
        <v>0.1477</v>
      </c>
      <c r="H1742">
        <v>0.30730000000000002</v>
      </c>
      <c r="I1742">
        <v>0.41099999999999998</v>
      </c>
      <c r="J1742">
        <v>0.70940000000000003</v>
      </c>
    </row>
    <row r="1743" spans="1:10" x14ac:dyDescent="0.4">
      <c r="A1743">
        <v>12</v>
      </c>
      <c r="B1743">
        <v>-1E-3</v>
      </c>
      <c r="C1743">
        <v>0</v>
      </c>
      <c r="D1743">
        <v>1E-4</v>
      </c>
      <c r="E1743">
        <v>2.3999999999999998E-3</v>
      </c>
      <c r="F1743">
        <v>1.8800000000000001E-2</v>
      </c>
      <c r="G1743">
        <v>6.8699999999999997E-2</v>
      </c>
      <c r="H1743">
        <v>0.1527</v>
      </c>
      <c r="I1743">
        <v>0.2072</v>
      </c>
      <c r="J1743">
        <v>0.35239999999999999</v>
      </c>
    </row>
    <row r="1744" spans="1:10" x14ac:dyDescent="0.4">
      <c r="A1744">
        <v>13</v>
      </c>
      <c r="B1744">
        <v>0</v>
      </c>
      <c r="C1744">
        <v>0</v>
      </c>
      <c r="D1744">
        <v>0</v>
      </c>
      <c r="E1744">
        <v>1E-3</v>
      </c>
      <c r="F1744">
        <v>7.7999999999999996E-3</v>
      </c>
      <c r="G1744">
        <v>3.1300000000000001E-2</v>
      </c>
      <c r="H1744">
        <v>7.3899999999999993E-2</v>
      </c>
      <c r="I1744">
        <v>0.10299999999999999</v>
      </c>
      <c r="J1744">
        <v>0.20080000000000001</v>
      </c>
    </row>
    <row r="1745" spans="1:10" x14ac:dyDescent="0.4">
      <c r="A1745">
        <v>14</v>
      </c>
      <c r="B1745">
        <v>0</v>
      </c>
      <c r="C1745">
        <v>0</v>
      </c>
      <c r="D1745">
        <v>0</v>
      </c>
      <c r="E1745">
        <v>4.0000000000000002E-4</v>
      </c>
      <c r="F1745">
        <v>3.3999999999999998E-3</v>
      </c>
      <c r="G1745">
        <v>1.4500000000000001E-2</v>
      </c>
      <c r="H1745">
        <v>3.7400000000000003E-2</v>
      </c>
      <c r="I1745">
        <v>6.2399999999999997E-2</v>
      </c>
      <c r="J1745">
        <v>0.11260000000000001</v>
      </c>
    </row>
    <row r="1746" spans="1:10" x14ac:dyDescent="0.4">
      <c r="A1746" t="s">
        <v>29</v>
      </c>
      <c r="B1746">
        <v>0</v>
      </c>
      <c r="C1746">
        <v>0</v>
      </c>
      <c r="D1746">
        <v>0</v>
      </c>
      <c r="E1746">
        <v>2.9999999999999997E-4</v>
      </c>
      <c r="F1746">
        <v>3.0999999999999999E-3</v>
      </c>
      <c r="G1746">
        <v>1.54E-2</v>
      </c>
      <c r="H1746">
        <v>3.7900000000000003E-2</v>
      </c>
      <c r="I1746">
        <v>6.1800000000000001E-2</v>
      </c>
      <c r="J1746">
        <v>0.13420000000000001</v>
      </c>
    </row>
    <row r="1748" spans="1:10" x14ac:dyDescent="0.4">
      <c r="A1748">
        <v>2062</v>
      </c>
    </row>
    <row r="1750" spans="1:10" x14ac:dyDescent="0.4">
      <c r="A1750" t="s">
        <v>0</v>
      </c>
      <c r="B1750" s="2">
        <v>0.01</v>
      </c>
      <c r="C1750" s="2">
        <v>0.05</v>
      </c>
      <c r="D1750" s="2">
        <v>0.1</v>
      </c>
      <c r="E1750" s="2">
        <v>0.25</v>
      </c>
      <c r="F1750" s="2">
        <v>0.5</v>
      </c>
      <c r="G1750" s="2">
        <v>0.75</v>
      </c>
      <c r="H1750" s="2">
        <v>0.9</v>
      </c>
      <c r="I1750" s="2">
        <v>0.95</v>
      </c>
      <c r="J1750" s="2">
        <v>0.99</v>
      </c>
    </row>
    <row r="1751" spans="1:10" x14ac:dyDescent="0.4">
      <c r="A1751">
        <v>1</v>
      </c>
      <c r="B1751">
        <v>68.564700000000002</v>
      </c>
      <c r="C1751">
        <v>69.547600000000003</v>
      </c>
      <c r="D1751">
        <v>75.879000000000005</v>
      </c>
      <c r="E1751">
        <v>102.78360000000001</v>
      </c>
      <c r="F1751">
        <v>168.4297</v>
      </c>
      <c r="G1751">
        <v>239.00790000000001</v>
      </c>
      <c r="H1751">
        <v>283.5693</v>
      </c>
      <c r="I1751">
        <v>302.58949999999999</v>
      </c>
      <c r="J1751">
        <v>341.71769999999998</v>
      </c>
    </row>
    <row r="1752" spans="1:10" x14ac:dyDescent="0.4">
      <c r="A1752">
        <v>2</v>
      </c>
      <c r="B1752">
        <v>-1E-3</v>
      </c>
      <c r="C1752">
        <v>39.621699999999997</v>
      </c>
      <c r="D1752">
        <v>43.650799999999997</v>
      </c>
      <c r="E1752">
        <v>56.955300000000001</v>
      </c>
      <c r="F1752">
        <v>94.4983</v>
      </c>
      <c r="G1752">
        <v>133.4923</v>
      </c>
      <c r="H1752">
        <v>164.1996</v>
      </c>
      <c r="I1752">
        <v>181.7099</v>
      </c>
      <c r="J1752">
        <v>202.11109999999999</v>
      </c>
    </row>
    <row r="1753" spans="1:10" x14ac:dyDescent="0.4">
      <c r="A1753">
        <v>3</v>
      </c>
      <c r="B1753">
        <v>-1E-3</v>
      </c>
      <c r="C1753">
        <v>11.517300000000001</v>
      </c>
      <c r="D1753">
        <v>18.919499999999999</v>
      </c>
      <c r="E1753">
        <v>28.646100000000001</v>
      </c>
      <c r="F1753">
        <v>46.488700000000001</v>
      </c>
      <c r="G1753">
        <v>71.492199999999997</v>
      </c>
      <c r="H1753">
        <v>94.346000000000004</v>
      </c>
      <c r="I1753">
        <v>103.06140000000001</v>
      </c>
      <c r="J1753">
        <v>123.9332</v>
      </c>
    </row>
    <row r="1754" spans="1:10" x14ac:dyDescent="0.4">
      <c r="A1754">
        <v>4</v>
      </c>
      <c r="B1754">
        <v>-1E-3</v>
      </c>
      <c r="C1754">
        <v>1.6224000000000001</v>
      </c>
      <c r="D1754">
        <v>4.8979999999999997</v>
      </c>
      <c r="E1754">
        <v>11.269600000000001</v>
      </c>
      <c r="F1754">
        <v>20.412800000000001</v>
      </c>
      <c r="G1754">
        <v>32.823700000000002</v>
      </c>
      <c r="H1754">
        <v>44.627200000000002</v>
      </c>
      <c r="I1754">
        <v>50.366100000000003</v>
      </c>
      <c r="J1754">
        <v>62.7072</v>
      </c>
    </row>
    <row r="1755" spans="1:10" x14ac:dyDescent="0.4">
      <c r="A1755">
        <v>5</v>
      </c>
      <c r="B1755">
        <v>-1E-3</v>
      </c>
      <c r="C1755">
        <v>0.15759999999999999</v>
      </c>
      <c r="D1755">
        <v>0.83860000000000001</v>
      </c>
      <c r="E1755">
        <v>3.8672</v>
      </c>
      <c r="F1755">
        <v>8.5585000000000004</v>
      </c>
      <c r="G1755">
        <v>14.9434</v>
      </c>
      <c r="H1755">
        <v>22.161300000000001</v>
      </c>
      <c r="I1755">
        <v>27.106000000000002</v>
      </c>
      <c r="J1755">
        <v>37.2605</v>
      </c>
    </row>
    <row r="1756" spans="1:10" x14ac:dyDescent="0.4">
      <c r="A1756">
        <v>6</v>
      </c>
      <c r="B1756">
        <v>-1E-3</v>
      </c>
      <c r="C1756">
        <v>1.6400000000000001E-2</v>
      </c>
      <c r="D1756">
        <v>0.2102</v>
      </c>
      <c r="E1756">
        <v>1.2442</v>
      </c>
      <c r="F1756">
        <v>3.4712999999999998</v>
      </c>
      <c r="G1756">
        <v>7.0063000000000004</v>
      </c>
      <c r="H1756">
        <v>10.808299999999999</v>
      </c>
      <c r="I1756">
        <v>13.519299999999999</v>
      </c>
      <c r="J1756">
        <v>20.761099999999999</v>
      </c>
    </row>
    <row r="1757" spans="1:10" x14ac:dyDescent="0.4">
      <c r="A1757">
        <v>7</v>
      </c>
      <c r="B1757">
        <v>-1E-3</v>
      </c>
      <c r="C1757">
        <v>1.4E-3</v>
      </c>
      <c r="D1757">
        <v>4.4600000000000001E-2</v>
      </c>
      <c r="E1757">
        <v>0.44450000000000001</v>
      </c>
      <c r="F1757">
        <v>1.3542000000000001</v>
      </c>
      <c r="G1757">
        <v>2.8822000000000001</v>
      </c>
      <c r="H1757">
        <v>5.0442</v>
      </c>
      <c r="I1757">
        <v>6.3196000000000003</v>
      </c>
      <c r="J1757">
        <v>9.8872</v>
      </c>
    </row>
    <row r="1758" spans="1:10" x14ac:dyDescent="0.4">
      <c r="A1758">
        <v>8</v>
      </c>
      <c r="B1758">
        <v>-1E-3</v>
      </c>
      <c r="C1758">
        <v>5.0000000000000001E-4</v>
      </c>
      <c r="D1758">
        <v>1.3100000000000001E-2</v>
      </c>
      <c r="E1758">
        <v>0.16539999999999999</v>
      </c>
      <c r="F1758">
        <v>0.57479999999999998</v>
      </c>
      <c r="G1758">
        <v>1.4450000000000001</v>
      </c>
      <c r="H1758">
        <v>2.4666999999999999</v>
      </c>
      <c r="I1758">
        <v>3.3973</v>
      </c>
      <c r="J1758">
        <v>5.2343999999999999</v>
      </c>
    </row>
    <row r="1759" spans="1:10" x14ac:dyDescent="0.4">
      <c r="A1759">
        <v>9</v>
      </c>
      <c r="B1759">
        <v>-1E-3</v>
      </c>
      <c r="C1759">
        <v>1E-4</v>
      </c>
      <c r="D1759">
        <v>2.8999999999999998E-3</v>
      </c>
      <c r="E1759">
        <v>4.8599999999999997E-2</v>
      </c>
      <c r="F1759">
        <v>0.23949999999999999</v>
      </c>
      <c r="G1759">
        <v>0.67679999999999996</v>
      </c>
      <c r="H1759">
        <v>1.2202999999999999</v>
      </c>
      <c r="I1759">
        <v>1.6482000000000001</v>
      </c>
      <c r="J1759">
        <v>3.1042000000000001</v>
      </c>
    </row>
    <row r="1760" spans="1:10" x14ac:dyDescent="0.4">
      <c r="A1760">
        <v>10</v>
      </c>
      <c r="B1760">
        <v>-1E-3</v>
      </c>
      <c r="C1760">
        <v>0</v>
      </c>
      <c r="D1760">
        <v>1E-3</v>
      </c>
      <c r="E1760">
        <v>1.7999999999999999E-2</v>
      </c>
      <c r="F1760">
        <v>0.10349999999999999</v>
      </c>
      <c r="G1760">
        <v>0.30919999999999997</v>
      </c>
      <c r="H1760">
        <v>0.61380000000000001</v>
      </c>
      <c r="I1760">
        <v>0.8175</v>
      </c>
      <c r="J1760">
        <v>1.5817000000000001</v>
      </c>
    </row>
    <row r="1761" spans="1:10" x14ac:dyDescent="0.4">
      <c r="A1761">
        <v>11</v>
      </c>
      <c r="B1761">
        <v>-1E-3</v>
      </c>
      <c r="C1761">
        <v>0</v>
      </c>
      <c r="D1761">
        <v>2.0000000000000001E-4</v>
      </c>
      <c r="E1761">
        <v>6.1999999999999998E-3</v>
      </c>
      <c r="F1761">
        <v>3.95E-2</v>
      </c>
      <c r="G1761">
        <v>0.1424</v>
      </c>
      <c r="H1761">
        <v>0.30270000000000002</v>
      </c>
      <c r="I1761">
        <v>0.45119999999999999</v>
      </c>
      <c r="J1761">
        <v>0.79749999999999999</v>
      </c>
    </row>
    <row r="1762" spans="1:10" x14ac:dyDescent="0.4">
      <c r="A1762">
        <v>12</v>
      </c>
      <c r="B1762">
        <v>-1E-3</v>
      </c>
      <c r="C1762">
        <v>0</v>
      </c>
      <c r="D1762">
        <v>1E-4</v>
      </c>
      <c r="E1762">
        <v>2.3E-3</v>
      </c>
      <c r="F1762">
        <v>1.8100000000000002E-2</v>
      </c>
      <c r="G1762">
        <v>6.6299999999999998E-2</v>
      </c>
      <c r="H1762">
        <v>0.1497</v>
      </c>
      <c r="I1762">
        <v>0.21</v>
      </c>
      <c r="J1762">
        <v>0.3957</v>
      </c>
    </row>
    <row r="1763" spans="1:10" x14ac:dyDescent="0.4">
      <c r="A1763">
        <v>13</v>
      </c>
      <c r="B1763">
        <v>-1E-3</v>
      </c>
      <c r="C1763">
        <v>0</v>
      </c>
      <c r="D1763">
        <v>0</v>
      </c>
      <c r="E1763">
        <v>1E-3</v>
      </c>
      <c r="F1763">
        <v>8.3999999999999995E-3</v>
      </c>
      <c r="G1763">
        <v>3.2099999999999997E-2</v>
      </c>
      <c r="H1763">
        <v>7.4700000000000003E-2</v>
      </c>
      <c r="I1763">
        <v>0.1084</v>
      </c>
      <c r="J1763">
        <v>0.1963</v>
      </c>
    </row>
    <row r="1764" spans="1:10" x14ac:dyDescent="0.4">
      <c r="A1764">
        <v>14</v>
      </c>
      <c r="B1764">
        <v>0</v>
      </c>
      <c r="C1764">
        <v>0</v>
      </c>
      <c r="D1764">
        <v>0</v>
      </c>
      <c r="E1764">
        <v>2.9999999999999997E-4</v>
      </c>
      <c r="F1764">
        <v>3.5000000000000001E-3</v>
      </c>
      <c r="G1764">
        <v>1.49E-2</v>
      </c>
      <c r="H1764">
        <v>3.7199999999999997E-2</v>
      </c>
      <c r="I1764">
        <v>5.2900000000000003E-2</v>
      </c>
      <c r="J1764">
        <v>0.1089</v>
      </c>
    </row>
    <row r="1765" spans="1:10" x14ac:dyDescent="0.4">
      <c r="A1765" t="s">
        <v>29</v>
      </c>
      <c r="B1765">
        <v>0</v>
      </c>
      <c r="C1765">
        <v>0</v>
      </c>
      <c r="D1765">
        <v>0</v>
      </c>
      <c r="E1765">
        <v>2.9999999999999997E-4</v>
      </c>
      <c r="F1765">
        <v>3.3E-3</v>
      </c>
      <c r="G1765">
        <v>1.55E-2</v>
      </c>
      <c r="H1765">
        <v>3.8899999999999997E-2</v>
      </c>
      <c r="I1765">
        <v>6.1199999999999997E-2</v>
      </c>
      <c r="J1765">
        <v>0.1358</v>
      </c>
    </row>
    <row r="1767" spans="1:10" x14ac:dyDescent="0.4">
      <c r="A1767">
        <v>2063</v>
      </c>
    </row>
    <row r="1769" spans="1:10" x14ac:dyDescent="0.4">
      <c r="A1769" t="s">
        <v>0</v>
      </c>
      <c r="B1769" s="2">
        <v>0.01</v>
      </c>
      <c r="C1769" s="2">
        <v>0.05</v>
      </c>
      <c r="D1769" s="2">
        <v>0.1</v>
      </c>
      <c r="E1769" s="2">
        <v>0.25</v>
      </c>
      <c r="F1769" s="2">
        <v>0.5</v>
      </c>
      <c r="G1769" s="2">
        <v>0.75</v>
      </c>
      <c r="H1769" s="2">
        <v>0.9</v>
      </c>
      <c r="I1769" s="2">
        <v>0.95</v>
      </c>
      <c r="J1769" s="2">
        <v>0.99</v>
      </c>
    </row>
    <row r="1770" spans="1:10" x14ac:dyDescent="0.4">
      <c r="A1770">
        <v>1</v>
      </c>
      <c r="B1770">
        <v>68.636600000000001</v>
      </c>
      <c r="C1770">
        <v>69.561499999999995</v>
      </c>
      <c r="D1770">
        <v>76.975800000000007</v>
      </c>
      <c r="E1770">
        <v>98.920100000000005</v>
      </c>
      <c r="F1770">
        <v>167.63669999999999</v>
      </c>
      <c r="G1770">
        <v>232.12379999999999</v>
      </c>
      <c r="H1770">
        <v>283.6035</v>
      </c>
      <c r="I1770">
        <v>309.9776</v>
      </c>
      <c r="J1770">
        <v>406.8605</v>
      </c>
    </row>
    <row r="1771" spans="1:10" x14ac:dyDescent="0.4">
      <c r="A1771">
        <v>2</v>
      </c>
      <c r="B1771">
        <v>-1E-3</v>
      </c>
      <c r="C1771">
        <v>38.699199999999998</v>
      </c>
      <c r="D1771">
        <v>43.178199999999997</v>
      </c>
      <c r="E1771">
        <v>57.645299999999999</v>
      </c>
      <c r="F1771">
        <v>96.360799999999998</v>
      </c>
      <c r="G1771">
        <v>140.04830000000001</v>
      </c>
      <c r="H1771">
        <v>167.94239999999999</v>
      </c>
      <c r="I1771">
        <v>180.5917</v>
      </c>
      <c r="J1771">
        <v>205.2569</v>
      </c>
    </row>
    <row r="1772" spans="1:10" x14ac:dyDescent="0.4">
      <c r="A1772">
        <v>3</v>
      </c>
      <c r="B1772">
        <v>-1E-3</v>
      </c>
      <c r="C1772">
        <v>11.263299999999999</v>
      </c>
      <c r="D1772">
        <v>19.3276</v>
      </c>
      <c r="E1772">
        <v>26.3582</v>
      </c>
      <c r="F1772">
        <v>45.669600000000003</v>
      </c>
      <c r="G1772">
        <v>66.801000000000002</v>
      </c>
      <c r="H1772">
        <v>89.002600000000001</v>
      </c>
      <c r="I1772">
        <v>98.6434</v>
      </c>
      <c r="J1772">
        <v>119.2405</v>
      </c>
    </row>
    <row r="1773" spans="1:10" x14ac:dyDescent="0.4">
      <c r="A1773">
        <v>4</v>
      </c>
      <c r="B1773">
        <v>-1E-3</v>
      </c>
      <c r="C1773">
        <v>1.3712</v>
      </c>
      <c r="D1773">
        <v>5.2624000000000004</v>
      </c>
      <c r="E1773">
        <v>10.811999999999999</v>
      </c>
      <c r="F1773">
        <v>19.506599999999999</v>
      </c>
      <c r="G1773">
        <v>33.040300000000002</v>
      </c>
      <c r="H1773">
        <v>47.434199999999997</v>
      </c>
      <c r="I1773">
        <v>55.010899999999999</v>
      </c>
      <c r="J1773">
        <v>69.415300000000002</v>
      </c>
    </row>
    <row r="1774" spans="1:10" x14ac:dyDescent="0.4">
      <c r="A1774">
        <v>5</v>
      </c>
      <c r="B1774">
        <v>-1E-3</v>
      </c>
      <c r="C1774">
        <v>9.8100000000000007E-2</v>
      </c>
      <c r="D1774">
        <v>0.9708</v>
      </c>
      <c r="E1774">
        <v>4.0858999999999996</v>
      </c>
      <c r="F1774">
        <v>8.1176999999999992</v>
      </c>
      <c r="G1774">
        <v>14.969900000000001</v>
      </c>
      <c r="H1774">
        <v>21.5626</v>
      </c>
      <c r="I1774">
        <v>25.0669</v>
      </c>
      <c r="J1774">
        <v>34.534199999999998</v>
      </c>
    </row>
    <row r="1775" spans="1:10" x14ac:dyDescent="0.4">
      <c r="A1775">
        <v>6</v>
      </c>
      <c r="B1775">
        <v>-1E-3</v>
      </c>
      <c r="C1775">
        <v>9.9000000000000008E-3</v>
      </c>
      <c r="D1775">
        <v>0.17380000000000001</v>
      </c>
      <c r="E1775">
        <v>1.3352999999999999</v>
      </c>
      <c r="F1775">
        <v>3.4912999999999998</v>
      </c>
      <c r="G1775">
        <v>6.4039999999999999</v>
      </c>
      <c r="H1775">
        <v>10.3371</v>
      </c>
      <c r="I1775">
        <v>13.022399999999999</v>
      </c>
      <c r="J1775">
        <v>20.124199999999998</v>
      </c>
    </row>
    <row r="1776" spans="1:10" x14ac:dyDescent="0.4">
      <c r="A1776">
        <v>7</v>
      </c>
      <c r="B1776">
        <v>-1E-3</v>
      </c>
      <c r="C1776">
        <v>1E-3</v>
      </c>
      <c r="D1776">
        <v>3.6900000000000002E-2</v>
      </c>
      <c r="E1776">
        <v>0.41539999999999999</v>
      </c>
      <c r="F1776">
        <v>1.3386</v>
      </c>
      <c r="G1776">
        <v>3.1621000000000001</v>
      </c>
      <c r="H1776">
        <v>5.2434000000000003</v>
      </c>
      <c r="I1776">
        <v>6.9191000000000003</v>
      </c>
      <c r="J1776">
        <v>10.714</v>
      </c>
    </row>
    <row r="1777" spans="1:10" x14ac:dyDescent="0.4">
      <c r="A1777">
        <v>8</v>
      </c>
      <c r="B1777">
        <v>-1E-3</v>
      </c>
      <c r="C1777">
        <v>4.0000000000000002E-4</v>
      </c>
      <c r="D1777">
        <v>7.3000000000000001E-3</v>
      </c>
      <c r="E1777">
        <v>0.1469</v>
      </c>
      <c r="F1777">
        <v>0.55269999999999997</v>
      </c>
      <c r="G1777">
        <v>1.2778</v>
      </c>
      <c r="H1777">
        <v>2.3994</v>
      </c>
      <c r="I1777">
        <v>3.0693999999999999</v>
      </c>
      <c r="J1777">
        <v>5.1776999999999997</v>
      </c>
    </row>
    <row r="1778" spans="1:10" x14ac:dyDescent="0.4">
      <c r="A1778">
        <v>9</v>
      </c>
      <c r="B1778">
        <v>-1E-3</v>
      </c>
      <c r="C1778">
        <v>0</v>
      </c>
      <c r="D1778">
        <v>2E-3</v>
      </c>
      <c r="E1778">
        <v>5.8599999999999999E-2</v>
      </c>
      <c r="F1778">
        <v>0.23139999999999999</v>
      </c>
      <c r="G1778">
        <v>0.66120000000000001</v>
      </c>
      <c r="H1778">
        <v>1.2302</v>
      </c>
      <c r="I1778">
        <v>1.7052</v>
      </c>
      <c r="J1778">
        <v>2.5653999999999999</v>
      </c>
    </row>
    <row r="1779" spans="1:10" x14ac:dyDescent="0.4">
      <c r="A1779">
        <v>10</v>
      </c>
      <c r="B1779">
        <v>-1E-3</v>
      </c>
      <c r="C1779">
        <v>0</v>
      </c>
      <c r="D1779">
        <v>8.9999999999999998E-4</v>
      </c>
      <c r="E1779">
        <v>1.6199999999999999E-2</v>
      </c>
      <c r="F1779">
        <v>0.1045</v>
      </c>
      <c r="G1779">
        <v>0.3095</v>
      </c>
      <c r="H1779">
        <v>0.58530000000000004</v>
      </c>
      <c r="I1779">
        <v>0.85460000000000003</v>
      </c>
      <c r="J1779">
        <v>1.6714</v>
      </c>
    </row>
    <row r="1780" spans="1:10" x14ac:dyDescent="0.4">
      <c r="A1780">
        <v>11</v>
      </c>
      <c r="B1780">
        <v>-1E-3</v>
      </c>
      <c r="C1780">
        <v>0</v>
      </c>
      <c r="D1780">
        <v>2.9999999999999997E-4</v>
      </c>
      <c r="E1780">
        <v>6.0000000000000001E-3</v>
      </c>
      <c r="F1780">
        <v>4.3099999999999999E-2</v>
      </c>
      <c r="G1780">
        <v>0.14960000000000001</v>
      </c>
      <c r="H1780">
        <v>0.3009</v>
      </c>
      <c r="I1780">
        <v>0.42459999999999998</v>
      </c>
      <c r="J1780">
        <v>0.86450000000000005</v>
      </c>
    </row>
    <row r="1781" spans="1:10" x14ac:dyDescent="0.4">
      <c r="A1781">
        <v>12</v>
      </c>
      <c r="B1781">
        <v>-1E-3</v>
      </c>
      <c r="C1781">
        <v>0</v>
      </c>
      <c r="D1781">
        <v>1E-4</v>
      </c>
      <c r="E1781">
        <v>2.2000000000000001E-3</v>
      </c>
      <c r="F1781">
        <v>1.7399999999999999E-2</v>
      </c>
      <c r="G1781">
        <v>6.8199999999999997E-2</v>
      </c>
      <c r="H1781">
        <v>0.14610000000000001</v>
      </c>
      <c r="I1781">
        <v>0.21990000000000001</v>
      </c>
      <c r="J1781">
        <v>0.40810000000000002</v>
      </c>
    </row>
    <row r="1782" spans="1:10" x14ac:dyDescent="0.4">
      <c r="A1782">
        <v>13</v>
      </c>
      <c r="B1782">
        <v>-1E-3</v>
      </c>
      <c r="C1782">
        <v>0</v>
      </c>
      <c r="D1782">
        <v>0</v>
      </c>
      <c r="E1782">
        <v>1E-3</v>
      </c>
      <c r="F1782">
        <v>8.0000000000000002E-3</v>
      </c>
      <c r="G1782">
        <v>3.2500000000000001E-2</v>
      </c>
      <c r="H1782">
        <v>7.6100000000000001E-2</v>
      </c>
      <c r="I1782">
        <v>0.10920000000000001</v>
      </c>
      <c r="J1782">
        <v>0.21379999999999999</v>
      </c>
    </row>
    <row r="1783" spans="1:10" x14ac:dyDescent="0.4">
      <c r="A1783">
        <v>14</v>
      </c>
      <c r="B1783">
        <v>-1E-3</v>
      </c>
      <c r="C1783">
        <v>0</v>
      </c>
      <c r="D1783">
        <v>0</v>
      </c>
      <c r="E1783">
        <v>4.0000000000000002E-4</v>
      </c>
      <c r="F1783">
        <v>3.5000000000000001E-3</v>
      </c>
      <c r="G1783">
        <v>1.5299999999999999E-2</v>
      </c>
      <c r="H1783">
        <v>3.6600000000000001E-2</v>
      </c>
      <c r="I1783">
        <v>5.7099999999999998E-2</v>
      </c>
      <c r="J1783">
        <v>0.1071</v>
      </c>
    </row>
    <row r="1784" spans="1:10" x14ac:dyDescent="0.4">
      <c r="A1784" t="s">
        <v>29</v>
      </c>
      <c r="B1784">
        <v>0</v>
      </c>
      <c r="C1784">
        <v>0</v>
      </c>
      <c r="D1784">
        <v>0</v>
      </c>
      <c r="E1784">
        <v>2.9999999999999997E-4</v>
      </c>
      <c r="F1784">
        <v>3.3E-3</v>
      </c>
      <c r="G1784">
        <v>1.55E-2</v>
      </c>
      <c r="H1784">
        <v>3.6200000000000003E-2</v>
      </c>
      <c r="I1784">
        <v>5.9700000000000003E-2</v>
      </c>
      <c r="J1784">
        <v>0.1231</v>
      </c>
    </row>
    <row r="1786" spans="1:10" x14ac:dyDescent="0.4">
      <c r="A1786">
        <v>2064</v>
      </c>
    </row>
    <row r="1788" spans="1:10" x14ac:dyDescent="0.4">
      <c r="A1788" t="s">
        <v>0</v>
      </c>
      <c r="B1788" s="2">
        <v>0.01</v>
      </c>
      <c r="C1788" s="2">
        <v>0.05</v>
      </c>
      <c r="D1788" s="2">
        <v>0.1</v>
      </c>
      <c r="E1788" s="2">
        <v>0.25</v>
      </c>
      <c r="F1788" s="2">
        <v>0.5</v>
      </c>
      <c r="G1788" s="2">
        <v>0.75</v>
      </c>
      <c r="H1788" s="2">
        <v>0.9</v>
      </c>
      <c r="I1788" s="2">
        <v>0.95</v>
      </c>
      <c r="J1788" s="2">
        <v>0.99</v>
      </c>
    </row>
    <row r="1789" spans="1:10" x14ac:dyDescent="0.4">
      <c r="A1789">
        <v>1</v>
      </c>
      <c r="B1789">
        <v>68.653300000000002</v>
      </c>
      <c r="C1789">
        <v>70.780699999999996</v>
      </c>
      <c r="D1789">
        <v>77.986500000000007</v>
      </c>
      <c r="E1789">
        <v>103.44540000000001</v>
      </c>
      <c r="F1789">
        <v>167.6489</v>
      </c>
      <c r="G1789">
        <v>235.10579999999999</v>
      </c>
      <c r="H1789">
        <v>280.03870000000001</v>
      </c>
      <c r="I1789">
        <v>305.70710000000003</v>
      </c>
      <c r="J1789">
        <v>323.01389999999998</v>
      </c>
    </row>
    <row r="1790" spans="1:10" x14ac:dyDescent="0.4">
      <c r="A1790">
        <v>2</v>
      </c>
      <c r="B1790">
        <v>-1E-3</v>
      </c>
      <c r="C1790">
        <v>39.243699999999997</v>
      </c>
      <c r="D1790">
        <v>42.570399999999999</v>
      </c>
      <c r="E1790">
        <v>56.044400000000003</v>
      </c>
      <c r="F1790">
        <v>94.323700000000002</v>
      </c>
      <c r="G1790">
        <v>133.25630000000001</v>
      </c>
      <c r="H1790">
        <v>167.83070000000001</v>
      </c>
      <c r="I1790">
        <v>184.9872</v>
      </c>
      <c r="J1790">
        <v>239.66040000000001</v>
      </c>
    </row>
    <row r="1791" spans="1:10" x14ac:dyDescent="0.4">
      <c r="A1791">
        <v>3</v>
      </c>
      <c r="B1791">
        <v>-1E-3</v>
      </c>
      <c r="C1791">
        <v>12.7332</v>
      </c>
      <c r="D1791">
        <v>18.552499999999998</v>
      </c>
      <c r="E1791">
        <v>26.1265</v>
      </c>
      <c r="F1791">
        <v>48.490200000000002</v>
      </c>
      <c r="G1791">
        <v>72.131100000000004</v>
      </c>
      <c r="H1791">
        <v>89.713099999999997</v>
      </c>
      <c r="I1791">
        <v>99.580399999999997</v>
      </c>
      <c r="J1791">
        <v>119.85250000000001</v>
      </c>
    </row>
    <row r="1792" spans="1:10" x14ac:dyDescent="0.4">
      <c r="A1792">
        <v>4</v>
      </c>
      <c r="B1792">
        <v>-1E-3</v>
      </c>
      <c r="C1792">
        <v>1.1923999999999999</v>
      </c>
      <c r="D1792">
        <v>5.3476999999999997</v>
      </c>
      <c r="E1792">
        <v>10.752000000000001</v>
      </c>
      <c r="F1792">
        <v>19.364999999999998</v>
      </c>
      <c r="G1792">
        <v>31.824999999999999</v>
      </c>
      <c r="H1792">
        <v>44.312399999999997</v>
      </c>
      <c r="I1792">
        <v>49.286200000000001</v>
      </c>
      <c r="J1792">
        <v>65.857900000000001</v>
      </c>
    </row>
    <row r="1793" spans="1:10" x14ac:dyDescent="0.4">
      <c r="A1793">
        <v>5</v>
      </c>
      <c r="B1793">
        <v>-1E-3</v>
      </c>
      <c r="C1793">
        <v>0.1066</v>
      </c>
      <c r="D1793">
        <v>1.1104000000000001</v>
      </c>
      <c r="E1793">
        <v>3.6798000000000002</v>
      </c>
      <c r="F1793">
        <v>7.8331</v>
      </c>
      <c r="G1793">
        <v>14.991199999999999</v>
      </c>
      <c r="H1793">
        <v>22.985499999999998</v>
      </c>
      <c r="I1793">
        <v>27.608699999999999</v>
      </c>
      <c r="J1793">
        <v>38.019599999999997</v>
      </c>
    </row>
    <row r="1794" spans="1:10" x14ac:dyDescent="0.4">
      <c r="A1794">
        <v>6</v>
      </c>
      <c r="B1794">
        <v>-1E-3</v>
      </c>
      <c r="C1794">
        <v>7.4000000000000003E-3</v>
      </c>
      <c r="D1794">
        <v>0.19600000000000001</v>
      </c>
      <c r="E1794">
        <v>1.3275999999999999</v>
      </c>
      <c r="F1794">
        <v>3.2136</v>
      </c>
      <c r="G1794">
        <v>6.4863999999999997</v>
      </c>
      <c r="H1794">
        <v>10.231400000000001</v>
      </c>
      <c r="I1794">
        <v>12.268000000000001</v>
      </c>
      <c r="J1794">
        <v>18.7836</v>
      </c>
    </row>
    <row r="1795" spans="1:10" x14ac:dyDescent="0.4">
      <c r="A1795">
        <v>7</v>
      </c>
      <c r="B1795">
        <v>-1E-3</v>
      </c>
      <c r="C1795">
        <v>1E-3</v>
      </c>
      <c r="D1795">
        <v>3.5700000000000003E-2</v>
      </c>
      <c r="E1795">
        <v>0.44159999999999999</v>
      </c>
      <c r="F1795">
        <v>1.3248</v>
      </c>
      <c r="G1795">
        <v>2.7008000000000001</v>
      </c>
      <c r="H1795">
        <v>4.9322999999999997</v>
      </c>
      <c r="I1795">
        <v>6.4286000000000003</v>
      </c>
      <c r="J1795">
        <v>10.999000000000001</v>
      </c>
    </row>
    <row r="1796" spans="1:10" x14ac:dyDescent="0.4">
      <c r="A1796">
        <v>8</v>
      </c>
      <c r="B1796">
        <v>-1E-3</v>
      </c>
      <c r="C1796">
        <v>6.9999999999999999E-4</v>
      </c>
      <c r="D1796">
        <v>7.1000000000000004E-3</v>
      </c>
      <c r="E1796">
        <v>0.14249999999999999</v>
      </c>
      <c r="F1796">
        <v>0.55179999999999996</v>
      </c>
      <c r="G1796">
        <v>1.3772</v>
      </c>
      <c r="H1796">
        <v>2.5350999999999999</v>
      </c>
      <c r="I1796">
        <v>3.5223</v>
      </c>
      <c r="J1796">
        <v>5.8719000000000001</v>
      </c>
    </row>
    <row r="1797" spans="1:10" x14ac:dyDescent="0.4">
      <c r="A1797">
        <v>9</v>
      </c>
      <c r="B1797">
        <v>-1E-3</v>
      </c>
      <c r="C1797">
        <v>1E-4</v>
      </c>
      <c r="D1797">
        <v>1.6999999999999999E-3</v>
      </c>
      <c r="E1797">
        <v>4.9399999999999999E-2</v>
      </c>
      <c r="F1797">
        <v>0.2238</v>
      </c>
      <c r="G1797">
        <v>0.57279999999999998</v>
      </c>
      <c r="H1797">
        <v>1.1516999999999999</v>
      </c>
      <c r="I1797">
        <v>1.5293000000000001</v>
      </c>
      <c r="J1797">
        <v>2.7553000000000001</v>
      </c>
    </row>
    <row r="1798" spans="1:10" x14ac:dyDescent="0.4">
      <c r="A1798">
        <v>10</v>
      </c>
      <c r="B1798">
        <v>-1E-3</v>
      </c>
      <c r="C1798">
        <v>0</v>
      </c>
      <c r="D1798">
        <v>5.9999999999999995E-4</v>
      </c>
      <c r="E1798">
        <v>2.1899999999999999E-2</v>
      </c>
      <c r="F1798">
        <v>9.7199999999999995E-2</v>
      </c>
      <c r="G1798">
        <v>0.30320000000000003</v>
      </c>
      <c r="H1798">
        <v>0.60609999999999997</v>
      </c>
      <c r="I1798">
        <v>0.875</v>
      </c>
      <c r="J1798">
        <v>1.3552</v>
      </c>
    </row>
    <row r="1799" spans="1:10" x14ac:dyDescent="0.4">
      <c r="A1799">
        <v>11</v>
      </c>
      <c r="B1799">
        <v>-1E-3</v>
      </c>
      <c r="C1799">
        <v>0</v>
      </c>
      <c r="D1799">
        <v>2.9999999999999997E-4</v>
      </c>
      <c r="E1799">
        <v>6.0000000000000001E-3</v>
      </c>
      <c r="F1799">
        <v>4.5100000000000001E-2</v>
      </c>
      <c r="G1799">
        <v>0.1452</v>
      </c>
      <c r="H1799">
        <v>0.29499999999999998</v>
      </c>
      <c r="I1799">
        <v>0.44400000000000001</v>
      </c>
      <c r="J1799">
        <v>0.85650000000000004</v>
      </c>
    </row>
    <row r="1800" spans="1:10" x14ac:dyDescent="0.4">
      <c r="A1800">
        <v>12</v>
      </c>
      <c r="B1800">
        <v>-1E-3</v>
      </c>
      <c r="C1800">
        <v>0</v>
      </c>
      <c r="D1800">
        <v>1E-4</v>
      </c>
      <c r="E1800">
        <v>2.0999999999999999E-3</v>
      </c>
      <c r="F1800">
        <v>1.8599999999999998E-2</v>
      </c>
      <c r="G1800">
        <v>7.1099999999999997E-2</v>
      </c>
      <c r="H1800">
        <v>0.15079999999999999</v>
      </c>
      <c r="I1800">
        <v>0.22339999999999999</v>
      </c>
      <c r="J1800">
        <v>0.47770000000000001</v>
      </c>
    </row>
    <row r="1801" spans="1:10" x14ac:dyDescent="0.4">
      <c r="A1801">
        <v>13</v>
      </c>
      <c r="B1801">
        <v>-1E-3</v>
      </c>
      <c r="C1801">
        <v>0</v>
      </c>
      <c r="D1801">
        <v>0</v>
      </c>
      <c r="E1801">
        <v>1E-3</v>
      </c>
      <c r="F1801">
        <v>7.7000000000000002E-3</v>
      </c>
      <c r="G1801">
        <v>3.0800000000000001E-2</v>
      </c>
      <c r="H1801">
        <v>7.5800000000000006E-2</v>
      </c>
      <c r="I1801">
        <v>0.1129</v>
      </c>
      <c r="J1801">
        <v>0.22020000000000001</v>
      </c>
    </row>
    <row r="1802" spans="1:10" x14ac:dyDescent="0.4">
      <c r="A1802">
        <v>14</v>
      </c>
      <c r="B1802">
        <v>-1E-3</v>
      </c>
      <c r="C1802">
        <v>0</v>
      </c>
      <c r="D1802">
        <v>0</v>
      </c>
      <c r="E1802">
        <v>4.0000000000000002E-4</v>
      </c>
      <c r="F1802">
        <v>3.3999999999999998E-3</v>
      </c>
      <c r="G1802">
        <v>1.52E-2</v>
      </c>
      <c r="H1802">
        <v>3.6299999999999999E-2</v>
      </c>
      <c r="I1802">
        <v>5.8099999999999999E-2</v>
      </c>
      <c r="J1802">
        <v>0.1192</v>
      </c>
    </row>
    <row r="1803" spans="1:10" x14ac:dyDescent="0.4">
      <c r="A1803" t="s">
        <v>29</v>
      </c>
      <c r="B1803">
        <v>0</v>
      </c>
      <c r="C1803">
        <v>0</v>
      </c>
      <c r="D1803">
        <v>0</v>
      </c>
      <c r="E1803">
        <v>2.9999999999999997E-4</v>
      </c>
      <c r="F1803">
        <v>3.2000000000000002E-3</v>
      </c>
      <c r="G1803">
        <v>1.47E-2</v>
      </c>
      <c r="H1803">
        <v>3.7900000000000003E-2</v>
      </c>
      <c r="I1803">
        <v>6.2300000000000001E-2</v>
      </c>
      <c r="J1803">
        <v>0.1087</v>
      </c>
    </row>
    <row r="1805" spans="1:10" x14ac:dyDescent="0.4">
      <c r="A1805">
        <v>2065</v>
      </c>
    </row>
    <row r="1807" spans="1:10" x14ac:dyDescent="0.4">
      <c r="A1807" t="s">
        <v>0</v>
      </c>
      <c r="B1807" s="2">
        <v>0.01</v>
      </c>
      <c r="C1807" s="2">
        <v>0.05</v>
      </c>
      <c r="D1807" s="2">
        <v>0.1</v>
      </c>
      <c r="E1807" s="2">
        <v>0.25</v>
      </c>
      <c r="F1807" s="2">
        <v>0.5</v>
      </c>
      <c r="G1807" s="2">
        <v>0.75</v>
      </c>
      <c r="H1807" s="2">
        <v>0.9</v>
      </c>
      <c r="I1807" s="2">
        <v>0.95</v>
      </c>
      <c r="J1807" s="2">
        <v>0.99</v>
      </c>
    </row>
    <row r="1808" spans="1:10" x14ac:dyDescent="0.4">
      <c r="A1808">
        <v>1</v>
      </c>
      <c r="B1808">
        <v>68.508799999999994</v>
      </c>
      <c r="C1808">
        <v>72.238299999999995</v>
      </c>
      <c r="D1808">
        <v>80.538600000000002</v>
      </c>
      <c r="E1808">
        <v>107.70820000000001</v>
      </c>
      <c r="F1808">
        <v>168.5368</v>
      </c>
      <c r="G1808">
        <v>236.7835</v>
      </c>
      <c r="H1808">
        <v>281.64780000000002</v>
      </c>
      <c r="I1808">
        <v>303.01519999999999</v>
      </c>
      <c r="J1808">
        <v>324.16579999999999</v>
      </c>
    </row>
    <row r="1809" spans="1:10" x14ac:dyDescent="0.4">
      <c r="A1809">
        <v>2</v>
      </c>
      <c r="B1809">
        <v>-1E-3</v>
      </c>
      <c r="C1809">
        <v>38.159399999999998</v>
      </c>
      <c r="D1809">
        <v>42.940399999999997</v>
      </c>
      <c r="E1809">
        <v>57.039299999999997</v>
      </c>
      <c r="F1809">
        <v>95.971599999999995</v>
      </c>
      <c r="G1809">
        <v>136.8272</v>
      </c>
      <c r="H1809">
        <v>165.4067</v>
      </c>
      <c r="I1809">
        <v>179.0668</v>
      </c>
      <c r="J1809">
        <v>199.60839999999999</v>
      </c>
    </row>
    <row r="1810" spans="1:10" x14ac:dyDescent="0.4">
      <c r="A1810">
        <v>3</v>
      </c>
      <c r="B1810">
        <v>-1E-3</v>
      </c>
      <c r="C1810">
        <v>13.6334</v>
      </c>
      <c r="D1810">
        <v>18.885000000000002</v>
      </c>
      <c r="E1810">
        <v>26.061299999999999</v>
      </c>
      <c r="F1810">
        <v>45.734099999999998</v>
      </c>
      <c r="G1810">
        <v>67.991900000000001</v>
      </c>
      <c r="H1810">
        <v>90.846500000000006</v>
      </c>
      <c r="I1810">
        <v>102.9879</v>
      </c>
      <c r="J1810">
        <v>132.1601</v>
      </c>
    </row>
    <row r="1811" spans="1:10" x14ac:dyDescent="0.4">
      <c r="A1811">
        <v>4</v>
      </c>
      <c r="B1811">
        <v>-1E-3</v>
      </c>
      <c r="C1811">
        <v>1.7136</v>
      </c>
      <c r="D1811">
        <v>4.8456999999999999</v>
      </c>
      <c r="E1811">
        <v>10.099399999999999</v>
      </c>
      <c r="F1811">
        <v>20.764399999999998</v>
      </c>
      <c r="G1811">
        <v>33.867800000000003</v>
      </c>
      <c r="H1811">
        <v>44.478400000000001</v>
      </c>
      <c r="I1811">
        <v>51.775300000000001</v>
      </c>
      <c r="J1811">
        <v>64.513300000000001</v>
      </c>
    </row>
    <row r="1812" spans="1:10" x14ac:dyDescent="0.4">
      <c r="A1812">
        <v>5</v>
      </c>
      <c r="B1812">
        <v>-1E-3</v>
      </c>
      <c r="C1812">
        <v>9.01E-2</v>
      </c>
      <c r="D1812">
        <v>1.1828000000000001</v>
      </c>
      <c r="E1812">
        <v>3.6029</v>
      </c>
      <c r="F1812">
        <v>7.6143000000000001</v>
      </c>
      <c r="G1812">
        <v>14.450200000000001</v>
      </c>
      <c r="H1812">
        <v>21.331199999999999</v>
      </c>
      <c r="I1812">
        <v>24.983799999999999</v>
      </c>
      <c r="J1812">
        <v>34.344799999999999</v>
      </c>
    </row>
    <row r="1813" spans="1:10" x14ac:dyDescent="0.4">
      <c r="A1813">
        <v>6</v>
      </c>
      <c r="B1813">
        <v>-1E-3</v>
      </c>
      <c r="C1813">
        <v>5.4000000000000003E-3</v>
      </c>
      <c r="D1813">
        <v>0.2626</v>
      </c>
      <c r="E1813">
        <v>1.1627000000000001</v>
      </c>
      <c r="F1813">
        <v>3.0575000000000001</v>
      </c>
      <c r="G1813">
        <v>6.6314000000000002</v>
      </c>
      <c r="H1813">
        <v>10.9147</v>
      </c>
      <c r="I1813">
        <v>13.8238</v>
      </c>
      <c r="J1813">
        <v>19.022300000000001</v>
      </c>
    </row>
    <row r="1814" spans="1:10" x14ac:dyDescent="0.4">
      <c r="A1814">
        <v>7</v>
      </c>
      <c r="B1814">
        <v>-1E-3</v>
      </c>
      <c r="C1814">
        <v>1E-3</v>
      </c>
      <c r="D1814">
        <v>4.6600000000000003E-2</v>
      </c>
      <c r="E1814">
        <v>0.4138</v>
      </c>
      <c r="F1814">
        <v>1.2963</v>
      </c>
      <c r="G1814">
        <v>2.8380999999999998</v>
      </c>
      <c r="H1814">
        <v>4.7868000000000004</v>
      </c>
      <c r="I1814">
        <v>6.1696</v>
      </c>
      <c r="J1814">
        <v>9.9940999999999995</v>
      </c>
    </row>
    <row r="1815" spans="1:10" x14ac:dyDescent="0.4">
      <c r="A1815">
        <v>8</v>
      </c>
      <c r="B1815">
        <v>-1E-3</v>
      </c>
      <c r="C1815">
        <v>4.0000000000000002E-4</v>
      </c>
      <c r="D1815">
        <v>8.0000000000000002E-3</v>
      </c>
      <c r="E1815">
        <v>0.14410000000000001</v>
      </c>
      <c r="F1815">
        <v>0.53659999999999997</v>
      </c>
      <c r="G1815">
        <v>1.2559</v>
      </c>
      <c r="H1815">
        <v>2.331</v>
      </c>
      <c r="I1815">
        <v>3.1913999999999998</v>
      </c>
      <c r="J1815">
        <v>6.0663</v>
      </c>
    </row>
    <row r="1816" spans="1:10" x14ac:dyDescent="0.4">
      <c r="A1816">
        <v>9</v>
      </c>
      <c r="B1816">
        <v>-1E-3</v>
      </c>
      <c r="C1816">
        <v>1E-4</v>
      </c>
      <c r="D1816">
        <v>1.8E-3</v>
      </c>
      <c r="E1816">
        <v>4.3499999999999997E-2</v>
      </c>
      <c r="F1816">
        <v>0.23069999999999999</v>
      </c>
      <c r="G1816">
        <v>0.64100000000000001</v>
      </c>
      <c r="H1816">
        <v>1.1951000000000001</v>
      </c>
      <c r="I1816">
        <v>1.7456</v>
      </c>
      <c r="J1816">
        <v>3.2639999999999998</v>
      </c>
    </row>
    <row r="1817" spans="1:10" x14ac:dyDescent="0.4">
      <c r="A1817">
        <v>10</v>
      </c>
      <c r="B1817">
        <v>-1E-3</v>
      </c>
      <c r="C1817">
        <v>0</v>
      </c>
      <c r="D1817">
        <v>6.9999999999999999E-4</v>
      </c>
      <c r="E1817">
        <v>1.6899999999999998E-2</v>
      </c>
      <c r="F1817">
        <v>9.0999999999999998E-2</v>
      </c>
      <c r="G1817">
        <v>0.26700000000000002</v>
      </c>
      <c r="H1817">
        <v>0.55249999999999999</v>
      </c>
      <c r="I1817">
        <v>0.77639999999999998</v>
      </c>
      <c r="J1817">
        <v>1.5996999999999999</v>
      </c>
    </row>
    <row r="1818" spans="1:10" x14ac:dyDescent="0.4">
      <c r="A1818">
        <v>11</v>
      </c>
      <c r="B1818">
        <v>-1E-3</v>
      </c>
      <c r="C1818">
        <v>0</v>
      </c>
      <c r="D1818">
        <v>2.0000000000000001E-4</v>
      </c>
      <c r="E1818">
        <v>7.1999999999999998E-3</v>
      </c>
      <c r="F1818">
        <v>4.2900000000000001E-2</v>
      </c>
      <c r="G1818">
        <v>0.1419</v>
      </c>
      <c r="H1818">
        <v>0.30620000000000003</v>
      </c>
      <c r="I1818">
        <v>0.43330000000000002</v>
      </c>
      <c r="J1818">
        <v>0.67710000000000004</v>
      </c>
    </row>
    <row r="1819" spans="1:10" x14ac:dyDescent="0.4">
      <c r="A1819">
        <v>12</v>
      </c>
      <c r="B1819">
        <v>-1E-3</v>
      </c>
      <c r="C1819">
        <v>0</v>
      </c>
      <c r="D1819">
        <v>1E-4</v>
      </c>
      <c r="E1819">
        <v>2E-3</v>
      </c>
      <c r="F1819">
        <v>1.8599999999999998E-2</v>
      </c>
      <c r="G1819">
        <v>6.7100000000000007E-2</v>
      </c>
      <c r="H1819">
        <v>0.13869999999999999</v>
      </c>
      <c r="I1819">
        <v>0.22689999999999999</v>
      </c>
      <c r="J1819">
        <v>0.45850000000000002</v>
      </c>
    </row>
    <row r="1820" spans="1:10" x14ac:dyDescent="0.4">
      <c r="A1820">
        <v>13</v>
      </c>
      <c r="B1820">
        <v>-1E-3</v>
      </c>
      <c r="C1820">
        <v>0</v>
      </c>
      <c r="D1820">
        <v>0</v>
      </c>
      <c r="E1820">
        <v>1E-3</v>
      </c>
      <c r="F1820">
        <v>8.5000000000000006E-3</v>
      </c>
      <c r="G1820">
        <v>3.3399999999999999E-2</v>
      </c>
      <c r="H1820">
        <v>7.4999999999999997E-2</v>
      </c>
      <c r="I1820">
        <v>0.1181</v>
      </c>
      <c r="J1820">
        <v>0.25900000000000001</v>
      </c>
    </row>
    <row r="1821" spans="1:10" x14ac:dyDescent="0.4">
      <c r="A1821">
        <v>14</v>
      </c>
      <c r="B1821">
        <v>-1E-3</v>
      </c>
      <c r="C1821">
        <v>0</v>
      </c>
      <c r="D1821">
        <v>0</v>
      </c>
      <c r="E1821">
        <v>4.0000000000000002E-4</v>
      </c>
      <c r="F1821">
        <v>3.2000000000000002E-3</v>
      </c>
      <c r="G1821">
        <v>1.4500000000000001E-2</v>
      </c>
      <c r="H1821">
        <v>3.7999999999999999E-2</v>
      </c>
      <c r="I1821">
        <v>6.0100000000000001E-2</v>
      </c>
      <c r="J1821">
        <v>0.1142</v>
      </c>
    </row>
    <row r="1822" spans="1:10" x14ac:dyDescent="0.4">
      <c r="A1822" t="s">
        <v>29</v>
      </c>
      <c r="B1822">
        <v>0</v>
      </c>
      <c r="C1822">
        <v>0</v>
      </c>
      <c r="D1822">
        <v>0</v>
      </c>
      <c r="E1822">
        <v>4.0000000000000002E-4</v>
      </c>
      <c r="F1822">
        <v>3.0999999999999999E-3</v>
      </c>
      <c r="G1822">
        <v>1.52E-2</v>
      </c>
      <c r="H1822">
        <v>3.5099999999999999E-2</v>
      </c>
      <c r="I1822">
        <v>6.3299999999999995E-2</v>
      </c>
      <c r="J1822">
        <v>0.12609999999999999</v>
      </c>
    </row>
    <row r="1824" spans="1:10" x14ac:dyDescent="0.4">
      <c r="A1824">
        <v>2066</v>
      </c>
    </row>
    <row r="1826" spans="1:10" x14ac:dyDescent="0.4">
      <c r="A1826" t="s">
        <v>0</v>
      </c>
      <c r="B1826" s="2">
        <v>0.01</v>
      </c>
      <c r="C1826" s="2">
        <v>0.05</v>
      </c>
      <c r="D1826" s="2">
        <v>0.1</v>
      </c>
      <c r="E1826" s="2">
        <v>0.25</v>
      </c>
      <c r="F1826" s="2">
        <v>0.5</v>
      </c>
      <c r="G1826" s="2">
        <v>0.75</v>
      </c>
      <c r="H1826" s="2">
        <v>0.9</v>
      </c>
      <c r="I1826" s="2">
        <v>0.95</v>
      </c>
      <c r="J1826" s="2">
        <v>0.99</v>
      </c>
    </row>
    <row r="1827" spans="1:10" x14ac:dyDescent="0.4">
      <c r="A1827">
        <v>1</v>
      </c>
      <c r="B1827">
        <v>68.867599999999996</v>
      </c>
      <c r="C1827">
        <v>71.225499999999997</v>
      </c>
      <c r="D1827">
        <v>78.201800000000006</v>
      </c>
      <c r="E1827">
        <v>103.8903</v>
      </c>
      <c r="F1827">
        <v>168.6403</v>
      </c>
      <c r="G1827">
        <v>233.80600000000001</v>
      </c>
      <c r="H1827">
        <v>277.0942</v>
      </c>
      <c r="I1827">
        <v>303.42880000000002</v>
      </c>
      <c r="J1827">
        <v>358.44130000000001</v>
      </c>
    </row>
    <row r="1828" spans="1:10" x14ac:dyDescent="0.4">
      <c r="A1828">
        <v>2</v>
      </c>
      <c r="B1828">
        <v>-1E-3</v>
      </c>
      <c r="C1828">
        <v>38.909300000000002</v>
      </c>
      <c r="D1828">
        <v>44.647500000000001</v>
      </c>
      <c r="E1828">
        <v>60.6235</v>
      </c>
      <c r="F1828">
        <v>97.312399999999997</v>
      </c>
      <c r="G1828">
        <v>137.2704</v>
      </c>
      <c r="H1828">
        <v>165.1549</v>
      </c>
      <c r="I1828">
        <v>179.0958</v>
      </c>
      <c r="J1828">
        <v>203.87110000000001</v>
      </c>
    </row>
    <row r="1829" spans="1:10" x14ac:dyDescent="0.4">
      <c r="A1829">
        <v>3</v>
      </c>
      <c r="B1829">
        <v>-1E-3</v>
      </c>
      <c r="C1829">
        <v>11.4648</v>
      </c>
      <c r="D1829">
        <v>19.142600000000002</v>
      </c>
      <c r="E1829">
        <v>27.2606</v>
      </c>
      <c r="F1829">
        <v>46.874200000000002</v>
      </c>
      <c r="G1829">
        <v>69.369600000000005</v>
      </c>
      <c r="H1829">
        <v>89.477599999999995</v>
      </c>
      <c r="I1829">
        <v>98.894599999999997</v>
      </c>
      <c r="J1829">
        <v>118.858</v>
      </c>
    </row>
    <row r="1830" spans="1:10" x14ac:dyDescent="0.4">
      <c r="A1830">
        <v>4</v>
      </c>
      <c r="B1830">
        <v>-1E-3</v>
      </c>
      <c r="C1830">
        <v>2.1265999999999998</v>
      </c>
      <c r="D1830">
        <v>4.9922000000000004</v>
      </c>
      <c r="E1830">
        <v>10.2781</v>
      </c>
      <c r="F1830">
        <v>19.020099999999999</v>
      </c>
      <c r="G1830">
        <v>31.445599999999999</v>
      </c>
      <c r="H1830">
        <v>45.115600000000001</v>
      </c>
      <c r="I1830">
        <v>53.8416</v>
      </c>
      <c r="J1830">
        <v>71.721800000000002</v>
      </c>
    </row>
    <row r="1831" spans="1:10" x14ac:dyDescent="0.4">
      <c r="A1831">
        <v>5</v>
      </c>
      <c r="B1831">
        <v>-1E-3</v>
      </c>
      <c r="C1831">
        <v>0.16639999999999999</v>
      </c>
      <c r="D1831">
        <v>0.98529999999999995</v>
      </c>
      <c r="E1831">
        <v>3.4773000000000001</v>
      </c>
      <c r="F1831">
        <v>8.3262</v>
      </c>
      <c r="G1831">
        <v>15.348699999999999</v>
      </c>
      <c r="H1831">
        <v>21.910799999999998</v>
      </c>
      <c r="I1831">
        <v>26.194299999999998</v>
      </c>
      <c r="J1831">
        <v>33.468699999999998</v>
      </c>
    </row>
    <row r="1832" spans="1:10" x14ac:dyDescent="0.4">
      <c r="A1832">
        <v>6</v>
      </c>
      <c r="B1832">
        <v>-1E-3</v>
      </c>
      <c r="C1832">
        <v>7.3000000000000001E-3</v>
      </c>
      <c r="D1832">
        <v>0.24879999999999999</v>
      </c>
      <c r="E1832">
        <v>1.1267</v>
      </c>
      <c r="F1832">
        <v>3.0621</v>
      </c>
      <c r="G1832">
        <v>6.1779999999999999</v>
      </c>
      <c r="H1832">
        <v>9.9155999999999995</v>
      </c>
      <c r="I1832">
        <v>12.405200000000001</v>
      </c>
      <c r="J1832">
        <v>17.582699999999999</v>
      </c>
    </row>
    <row r="1833" spans="1:10" x14ac:dyDescent="0.4">
      <c r="A1833">
        <v>7</v>
      </c>
      <c r="B1833">
        <v>-1E-3</v>
      </c>
      <c r="C1833">
        <v>1E-3</v>
      </c>
      <c r="D1833">
        <v>5.2999999999999999E-2</v>
      </c>
      <c r="E1833">
        <v>0.32640000000000002</v>
      </c>
      <c r="F1833">
        <v>1.2048000000000001</v>
      </c>
      <c r="G1833">
        <v>2.8992</v>
      </c>
      <c r="H1833">
        <v>5.0442</v>
      </c>
      <c r="I1833">
        <v>6.8281000000000001</v>
      </c>
      <c r="J1833">
        <v>10.0337</v>
      </c>
    </row>
    <row r="1834" spans="1:10" x14ac:dyDescent="0.4">
      <c r="A1834">
        <v>8</v>
      </c>
      <c r="B1834">
        <v>-1E-3</v>
      </c>
      <c r="C1834">
        <v>2.0000000000000001E-4</v>
      </c>
      <c r="D1834">
        <v>1.01E-2</v>
      </c>
      <c r="E1834">
        <v>0.1245</v>
      </c>
      <c r="F1834">
        <v>0.51900000000000002</v>
      </c>
      <c r="G1834">
        <v>1.2494000000000001</v>
      </c>
      <c r="H1834">
        <v>2.2909999999999999</v>
      </c>
      <c r="I1834">
        <v>3.1675</v>
      </c>
      <c r="J1834">
        <v>5.0174000000000003</v>
      </c>
    </row>
    <row r="1835" spans="1:10" x14ac:dyDescent="0.4">
      <c r="A1835">
        <v>9</v>
      </c>
      <c r="B1835">
        <v>-1E-3</v>
      </c>
      <c r="C1835">
        <v>1E-4</v>
      </c>
      <c r="D1835">
        <v>2.0999999999999999E-3</v>
      </c>
      <c r="E1835">
        <v>4.1000000000000002E-2</v>
      </c>
      <c r="F1835">
        <v>0.2185</v>
      </c>
      <c r="G1835">
        <v>0.57779999999999998</v>
      </c>
      <c r="H1835">
        <v>1.1113</v>
      </c>
      <c r="I1835">
        <v>1.5741000000000001</v>
      </c>
      <c r="J1835">
        <v>3.302</v>
      </c>
    </row>
    <row r="1836" spans="1:10" x14ac:dyDescent="0.4">
      <c r="A1836">
        <v>10</v>
      </c>
      <c r="B1836">
        <v>-1E-3</v>
      </c>
      <c r="C1836">
        <v>0</v>
      </c>
      <c r="D1836">
        <v>8.9999999999999998E-4</v>
      </c>
      <c r="E1836">
        <v>1.38E-2</v>
      </c>
      <c r="F1836">
        <v>9.3399999999999997E-2</v>
      </c>
      <c r="G1836">
        <v>0.30719999999999997</v>
      </c>
      <c r="H1836">
        <v>0.5867</v>
      </c>
      <c r="I1836">
        <v>0.87029999999999996</v>
      </c>
      <c r="J1836">
        <v>1.7057</v>
      </c>
    </row>
    <row r="1837" spans="1:10" x14ac:dyDescent="0.4">
      <c r="A1837">
        <v>11</v>
      </c>
      <c r="B1837">
        <v>-1E-3</v>
      </c>
      <c r="C1837">
        <v>0</v>
      </c>
      <c r="D1837">
        <v>2.0000000000000001E-4</v>
      </c>
      <c r="E1837">
        <v>5.5999999999999999E-3</v>
      </c>
      <c r="F1837">
        <v>3.8399999999999997E-2</v>
      </c>
      <c r="G1837">
        <v>0.1231</v>
      </c>
      <c r="H1837">
        <v>0.2767</v>
      </c>
      <c r="I1837">
        <v>0.3926</v>
      </c>
      <c r="J1837">
        <v>0.88400000000000001</v>
      </c>
    </row>
    <row r="1838" spans="1:10" x14ac:dyDescent="0.4">
      <c r="A1838">
        <v>12</v>
      </c>
      <c r="B1838">
        <v>-1E-3</v>
      </c>
      <c r="C1838">
        <v>0</v>
      </c>
      <c r="D1838">
        <v>1E-4</v>
      </c>
      <c r="E1838">
        <v>2.5000000000000001E-3</v>
      </c>
      <c r="F1838">
        <v>1.8499999999999999E-2</v>
      </c>
      <c r="G1838">
        <v>6.5100000000000005E-2</v>
      </c>
      <c r="H1838">
        <v>0.14829999999999999</v>
      </c>
      <c r="I1838">
        <v>0.20949999999999999</v>
      </c>
      <c r="J1838">
        <v>0.35770000000000002</v>
      </c>
    </row>
    <row r="1839" spans="1:10" x14ac:dyDescent="0.4">
      <c r="A1839">
        <v>13</v>
      </c>
      <c r="B1839">
        <v>-1E-3</v>
      </c>
      <c r="C1839">
        <v>0</v>
      </c>
      <c r="D1839">
        <v>0</v>
      </c>
      <c r="E1839">
        <v>8.0000000000000004E-4</v>
      </c>
      <c r="F1839">
        <v>8.0999999999999996E-3</v>
      </c>
      <c r="G1839">
        <v>3.1899999999999998E-2</v>
      </c>
      <c r="H1839">
        <v>7.1999999999999995E-2</v>
      </c>
      <c r="I1839">
        <v>0.11509999999999999</v>
      </c>
      <c r="J1839">
        <v>0.24299999999999999</v>
      </c>
    </row>
    <row r="1840" spans="1:10" x14ac:dyDescent="0.4">
      <c r="A1840">
        <v>14</v>
      </c>
      <c r="B1840">
        <v>-1E-3</v>
      </c>
      <c r="C1840">
        <v>0</v>
      </c>
      <c r="D1840">
        <v>0</v>
      </c>
      <c r="E1840">
        <v>2.9999999999999997E-4</v>
      </c>
      <c r="F1840">
        <v>3.5000000000000001E-3</v>
      </c>
      <c r="G1840">
        <v>1.55E-2</v>
      </c>
      <c r="H1840">
        <v>3.6600000000000001E-2</v>
      </c>
      <c r="I1840">
        <v>6.1100000000000002E-2</v>
      </c>
      <c r="J1840">
        <v>0.13469999999999999</v>
      </c>
    </row>
    <row r="1841" spans="1:10" x14ac:dyDescent="0.4">
      <c r="A1841" t="s">
        <v>29</v>
      </c>
      <c r="B1841">
        <v>0</v>
      </c>
      <c r="C1841">
        <v>0</v>
      </c>
      <c r="D1841">
        <v>0</v>
      </c>
      <c r="E1841">
        <v>2.9999999999999997E-4</v>
      </c>
      <c r="F1841">
        <v>2.8999999999999998E-3</v>
      </c>
      <c r="G1841">
        <v>1.4500000000000001E-2</v>
      </c>
      <c r="H1841">
        <v>3.6799999999999999E-2</v>
      </c>
      <c r="I1841">
        <v>6.2399999999999997E-2</v>
      </c>
      <c r="J1841">
        <v>0.1318</v>
      </c>
    </row>
    <row r="1843" spans="1:10" x14ac:dyDescent="0.4">
      <c r="A1843">
        <v>2067</v>
      </c>
    </row>
    <row r="1845" spans="1:10" x14ac:dyDescent="0.4">
      <c r="A1845" t="s">
        <v>0</v>
      </c>
      <c r="B1845" s="2">
        <v>0.01</v>
      </c>
      <c r="C1845" s="2">
        <v>0.05</v>
      </c>
      <c r="D1845" s="2">
        <v>0.1</v>
      </c>
      <c r="E1845" s="2">
        <v>0.25</v>
      </c>
      <c r="F1845" s="2">
        <v>0.5</v>
      </c>
      <c r="G1845" s="2">
        <v>0.75</v>
      </c>
      <c r="H1845" s="2">
        <v>0.9</v>
      </c>
      <c r="I1845" s="2">
        <v>0.95</v>
      </c>
      <c r="J1845" s="2">
        <v>0.99</v>
      </c>
    </row>
    <row r="1846" spans="1:10" x14ac:dyDescent="0.4">
      <c r="A1846">
        <v>1</v>
      </c>
      <c r="B1846">
        <v>68.701300000000003</v>
      </c>
      <c r="C1846">
        <v>70.913799999999995</v>
      </c>
      <c r="D1846">
        <v>79.861999999999995</v>
      </c>
      <c r="E1846">
        <v>105.3524</v>
      </c>
      <c r="F1846">
        <v>168.6482</v>
      </c>
      <c r="G1846">
        <v>235.69970000000001</v>
      </c>
      <c r="H1846">
        <v>278.54309999999998</v>
      </c>
      <c r="I1846">
        <v>304.09199999999998</v>
      </c>
      <c r="J1846">
        <v>322.0745</v>
      </c>
    </row>
    <row r="1847" spans="1:10" x14ac:dyDescent="0.4">
      <c r="A1847">
        <v>2</v>
      </c>
      <c r="B1847">
        <v>-1E-3</v>
      </c>
      <c r="C1847">
        <v>37.809699999999999</v>
      </c>
      <c r="D1847">
        <v>43.033099999999997</v>
      </c>
      <c r="E1847">
        <v>58.614100000000001</v>
      </c>
      <c r="F1847">
        <v>96.751400000000004</v>
      </c>
      <c r="G1847">
        <v>135.6174</v>
      </c>
      <c r="H1847">
        <v>165.20079999999999</v>
      </c>
      <c r="I1847">
        <v>174.15969999999999</v>
      </c>
      <c r="J1847">
        <v>217.11349999999999</v>
      </c>
    </row>
    <row r="1848" spans="1:10" x14ac:dyDescent="0.4">
      <c r="A1848">
        <v>3</v>
      </c>
      <c r="B1848">
        <v>-1E-3</v>
      </c>
      <c r="C1848">
        <v>13.234400000000001</v>
      </c>
      <c r="D1848">
        <v>19.5367</v>
      </c>
      <c r="E1848">
        <v>28.752500000000001</v>
      </c>
      <c r="F1848">
        <v>47.521700000000003</v>
      </c>
      <c r="G1848">
        <v>70.045599999999993</v>
      </c>
      <c r="H1848">
        <v>90.023899999999998</v>
      </c>
      <c r="I1848">
        <v>99.976500000000001</v>
      </c>
      <c r="J1848">
        <v>117.395</v>
      </c>
    </row>
    <row r="1849" spans="1:10" x14ac:dyDescent="0.4">
      <c r="A1849">
        <v>4</v>
      </c>
      <c r="B1849">
        <v>-1E-3</v>
      </c>
      <c r="C1849">
        <v>1.5395000000000001</v>
      </c>
      <c r="D1849">
        <v>5.3571</v>
      </c>
      <c r="E1849">
        <v>10.2707</v>
      </c>
      <c r="F1849">
        <v>19.799900000000001</v>
      </c>
      <c r="G1849">
        <v>32.404800000000002</v>
      </c>
      <c r="H1849">
        <v>44.6233</v>
      </c>
      <c r="I1849">
        <v>50.872999999999998</v>
      </c>
      <c r="J1849">
        <v>63.318800000000003</v>
      </c>
    </row>
    <row r="1850" spans="1:10" x14ac:dyDescent="0.4">
      <c r="A1850">
        <v>5</v>
      </c>
      <c r="B1850">
        <v>-1E-3</v>
      </c>
      <c r="C1850">
        <v>0.21060000000000001</v>
      </c>
      <c r="D1850">
        <v>1.1286</v>
      </c>
      <c r="E1850">
        <v>3.4394</v>
      </c>
      <c r="F1850">
        <v>7.5776000000000003</v>
      </c>
      <c r="G1850">
        <v>14.1214</v>
      </c>
      <c r="H1850">
        <v>21.630600000000001</v>
      </c>
      <c r="I1850">
        <v>27.2347</v>
      </c>
      <c r="J1850">
        <v>38.378900000000002</v>
      </c>
    </row>
    <row r="1851" spans="1:10" x14ac:dyDescent="0.4">
      <c r="A1851">
        <v>6</v>
      </c>
      <c r="B1851">
        <v>-1E-3</v>
      </c>
      <c r="C1851">
        <v>2.1100000000000001E-2</v>
      </c>
      <c r="D1851">
        <v>0.21920000000000001</v>
      </c>
      <c r="E1851">
        <v>1.0314000000000001</v>
      </c>
      <c r="F1851">
        <v>3.2965</v>
      </c>
      <c r="G1851">
        <v>6.6749000000000001</v>
      </c>
      <c r="H1851">
        <v>10.1099</v>
      </c>
      <c r="I1851">
        <v>12.841699999999999</v>
      </c>
      <c r="J1851">
        <v>18.086099999999998</v>
      </c>
    </row>
    <row r="1852" spans="1:10" x14ac:dyDescent="0.4">
      <c r="A1852">
        <v>7</v>
      </c>
      <c r="B1852">
        <v>-1E-3</v>
      </c>
      <c r="C1852">
        <v>1E-3</v>
      </c>
      <c r="D1852">
        <v>4.7699999999999999E-2</v>
      </c>
      <c r="E1852">
        <v>0.3548</v>
      </c>
      <c r="F1852">
        <v>1.23</v>
      </c>
      <c r="G1852">
        <v>2.6918000000000002</v>
      </c>
      <c r="H1852">
        <v>4.7869999999999999</v>
      </c>
      <c r="I1852">
        <v>6.1022999999999996</v>
      </c>
      <c r="J1852">
        <v>9.3909000000000002</v>
      </c>
    </row>
    <row r="1853" spans="1:10" x14ac:dyDescent="0.4">
      <c r="A1853">
        <v>8</v>
      </c>
      <c r="B1853">
        <v>-1E-3</v>
      </c>
      <c r="C1853">
        <v>5.9999999999999995E-4</v>
      </c>
      <c r="D1853">
        <v>9.9000000000000008E-3</v>
      </c>
      <c r="E1853">
        <v>0.1111</v>
      </c>
      <c r="F1853">
        <v>0.48909999999999998</v>
      </c>
      <c r="G1853">
        <v>1.2941</v>
      </c>
      <c r="H1853">
        <v>2.5030000000000001</v>
      </c>
      <c r="I1853">
        <v>3.3285999999999998</v>
      </c>
      <c r="J1853">
        <v>4.8621999999999996</v>
      </c>
    </row>
    <row r="1854" spans="1:10" x14ac:dyDescent="0.4">
      <c r="A1854">
        <v>9</v>
      </c>
      <c r="B1854">
        <v>-1E-3</v>
      </c>
      <c r="C1854">
        <v>0</v>
      </c>
      <c r="D1854">
        <v>2E-3</v>
      </c>
      <c r="E1854">
        <v>3.9600000000000003E-2</v>
      </c>
      <c r="F1854">
        <v>0.21279999999999999</v>
      </c>
      <c r="G1854">
        <v>0.56910000000000005</v>
      </c>
      <c r="H1854">
        <v>1.0827</v>
      </c>
      <c r="I1854">
        <v>1.5656000000000001</v>
      </c>
      <c r="J1854">
        <v>2.5590999999999999</v>
      </c>
    </row>
    <row r="1855" spans="1:10" x14ac:dyDescent="0.4">
      <c r="A1855">
        <v>10</v>
      </c>
      <c r="B1855">
        <v>-1E-3</v>
      </c>
      <c r="C1855">
        <v>0</v>
      </c>
      <c r="D1855">
        <v>6.9999999999999999E-4</v>
      </c>
      <c r="E1855">
        <v>1.3899999999999999E-2</v>
      </c>
      <c r="F1855">
        <v>9.0700000000000003E-2</v>
      </c>
      <c r="G1855">
        <v>0.26440000000000002</v>
      </c>
      <c r="H1855">
        <v>0.53380000000000005</v>
      </c>
      <c r="I1855">
        <v>0.82140000000000002</v>
      </c>
      <c r="J1855">
        <v>1.794</v>
      </c>
    </row>
    <row r="1856" spans="1:10" x14ac:dyDescent="0.4">
      <c r="A1856">
        <v>11</v>
      </c>
      <c r="B1856">
        <v>-1E-3</v>
      </c>
      <c r="C1856">
        <v>0</v>
      </c>
      <c r="D1856">
        <v>2.9999999999999997E-4</v>
      </c>
      <c r="E1856">
        <v>4.8999999999999998E-3</v>
      </c>
      <c r="F1856">
        <v>3.8800000000000001E-2</v>
      </c>
      <c r="G1856">
        <v>0.14249999999999999</v>
      </c>
      <c r="H1856">
        <v>0.28570000000000001</v>
      </c>
      <c r="I1856">
        <v>0.44640000000000002</v>
      </c>
      <c r="J1856">
        <v>0.92079999999999995</v>
      </c>
    </row>
    <row r="1857" spans="1:10" x14ac:dyDescent="0.4">
      <c r="A1857">
        <v>12</v>
      </c>
      <c r="B1857">
        <v>-1E-3</v>
      </c>
      <c r="C1857">
        <v>0</v>
      </c>
      <c r="D1857">
        <v>1E-4</v>
      </c>
      <c r="E1857">
        <v>1.6999999999999999E-3</v>
      </c>
      <c r="F1857">
        <v>1.6400000000000001E-2</v>
      </c>
      <c r="G1857">
        <v>5.7700000000000001E-2</v>
      </c>
      <c r="H1857">
        <v>0.13250000000000001</v>
      </c>
      <c r="I1857">
        <v>0.21110000000000001</v>
      </c>
      <c r="J1857">
        <v>0.43419999999999997</v>
      </c>
    </row>
    <row r="1858" spans="1:10" x14ac:dyDescent="0.4">
      <c r="A1858">
        <v>13</v>
      </c>
      <c r="B1858">
        <v>-1E-3</v>
      </c>
      <c r="C1858">
        <v>0</v>
      </c>
      <c r="D1858">
        <v>0</v>
      </c>
      <c r="E1858">
        <v>1E-3</v>
      </c>
      <c r="F1858">
        <v>7.7999999999999996E-3</v>
      </c>
      <c r="G1858">
        <v>0.03</v>
      </c>
      <c r="H1858">
        <v>7.4200000000000002E-2</v>
      </c>
      <c r="I1858">
        <v>0.1101</v>
      </c>
      <c r="J1858">
        <v>0.1961</v>
      </c>
    </row>
    <row r="1859" spans="1:10" x14ac:dyDescent="0.4">
      <c r="A1859">
        <v>14</v>
      </c>
      <c r="B1859">
        <v>-1E-3</v>
      </c>
      <c r="C1859">
        <v>0</v>
      </c>
      <c r="D1859">
        <v>0</v>
      </c>
      <c r="E1859">
        <v>2.9999999999999997E-4</v>
      </c>
      <c r="F1859">
        <v>3.3999999999999998E-3</v>
      </c>
      <c r="G1859">
        <v>1.5299999999999999E-2</v>
      </c>
      <c r="H1859">
        <v>3.5700000000000003E-2</v>
      </c>
      <c r="I1859">
        <v>5.4399999999999997E-2</v>
      </c>
      <c r="J1859">
        <v>0.13059999999999999</v>
      </c>
    </row>
    <row r="1860" spans="1:10" x14ac:dyDescent="0.4">
      <c r="A1860" t="s">
        <v>29</v>
      </c>
      <c r="B1860">
        <v>0</v>
      </c>
      <c r="C1860">
        <v>0</v>
      </c>
      <c r="D1860">
        <v>0</v>
      </c>
      <c r="E1860">
        <v>2.9999999999999997E-4</v>
      </c>
      <c r="F1860">
        <v>3.0000000000000001E-3</v>
      </c>
      <c r="G1860">
        <v>1.4E-2</v>
      </c>
      <c r="H1860">
        <v>3.7900000000000003E-2</v>
      </c>
      <c r="I1860">
        <v>6.1499999999999999E-2</v>
      </c>
      <c r="J1860">
        <v>0.12889999999999999</v>
      </c>
    </row>
    <row r="1862" spans="1:10" x14ac:dyDescent="0.4">
      <c r="A1862">
        <v>2068</v>
      </c>
    </row>
    <row r="1864" spans="1:10" x14ac:dyDescent="0.4">
      <c r="A1864" t="s">
        <v>0</v>
      </c>
      <c r="B1864" s="2">
        <v>0.01</v>
      </c>
      <c r="C1864" s="2">
        <v>0.05</v>
      </c>
      <c r="D1864" s="2">
        <v>0.1</v>
      </c>
      <c r="E1864" s="2">
        <v>0.25</v>
      </c>
      <c r="F1864" s="2">
        <v>0.5</v>
      </c>
      <c r="G1864" s="2">
        <v>0.75</v>
      </c>
      <c r="H1864" s="2">
        <v>0.9</v>
      </c>
      <c r="I1864" s="2">
        <v>0.95</v>
      </c>
      <c r="J1864" s="2">
        <v>0.99</v>
      </c>
    </row>
    <row r="1865" spans="1:10" x14ac:dyDescent="0.4">
      <c r="A1865">
        <v>1</v>
      </c>
      <c r="B1865">
        <v>68.614099999999993</v>
      </c>
      <c r="C1865">
        <v>69.673400000000001</v>
      </c>
      <c r="D1865">
        <v>77.242500000000007</v>
      </c>
      <c r="E1865">
        <v>101.7324</v>
      </c>
      <c r="F1865">
        <v>169.27889999999999</v>
      </c>
      <c r="G1865">
        <v>236.8964</v>
      </c>
      <c r="H1865">
        <v>284.67989999999998</v>
      </c>
      <c r="I1865">
        <v>310.56599999999997</v>
      </c>
      <c r="J1865">
        <v>324.83229999999998</v>
      </c>
    </row>
    <row r="1866" spans="1:10" x14ac:dyDescent="0.4">
      <c r="A1866">
        <v>2</v>
      </c>
      <c r="B1866">
        <v>-1E-3</v>
      </c>
      <c r="C1866">
        <v>39.481699999999996</v>
      </c>
      <c r="D1866">
        <v>43.084099999999999</v>
      </c>
      <c r="E1866">
        <v>59.113799999999998</v>
      </c>
      <c r="F1866">
        <v>97.493600000000001</v>
      </c>
      <c r="G1866">
        <v>138.80520000000001</v>
      </c>
      <c r="H1866">
        <v>167.34</v>
      </c>
      <c r="I1866">
        <v>178.85079999999999</v>
      </c>
      <c r="J1866">
        <v>198.6019</v>
      </c>
    </row>
    <row r="1867" spans="1:10" x14ac:dyDescent="0.4">
      <c r="A1867">
        <v>3</v>
      </c>
      <c r="B1867">
        <v>-1E-3</v>
      </c>
      <c r="C1867">
        <v>11.134</v>
      </c>
      <c r="D1867">
        <v>18.777999999999999</v>
      </c>
      <c r="E1867">
        <v>27.403600000000001</v>
      </c>
      <c r="F1867">
        <v>47.2637</v>
      </c>
      <c r="G1867">
        <v>68.591899999999995</v>
      </c>
      <c r="H1867">
        <v>89.090299999999999</v>
      </c>
      <c r="I1867">
        <v>99.289500000000004</v>
      </c>
      <c r="J1867">
        <v>127.62820000000001</v>
      </c>
    </row>
    <row r="1868" spans="1:10" x14ac:dyDescent="0.4">
      <c r="A1868">
        <v>4</v>
      </c>
      <c r="B1868">
        <v>-1E-3</v>
      </c>
      <c r="C1868">
        <v>1.7243999999999999</v>
      </c>
      <c r="D1868">
        <v>5.1989999999999998</v>
      </c>
      <c r="E1868">
        <v>11.3299</v>
      </c>
      <c r="F1868">
        <v>19.738900000000001</v>
      </c>
      <c r="G1868">
        <v>32.502200000000002</v>
      </c>
      <c r="H1868">
        <v>45.072899999999997</v>
      </c>
      <c r="I1868">
        <v>51.424700000000001</v>
      </c>
      <c r="J1868">
        <v>66.836299999999994</v>
      </c>
    </row>
    <row r="1869" spans="1:10" x14ac:dyDescent="0.4">
      <c r="A1869">
        <v>5</v>
      </c>
      <c r="B1869">
        <v>-1E-3</v>
      </c>
      <c r="C1869">
        <v>0.17599999999999999</v>
      </c>
      <c r="D1869">
        <v>1.1272</v>
      </c>
      <c r="E1869">
        <v>3.4478</v>
      </c>
      <c r="F1869">
        <v>8.1454000000000004</v>
      </c>
      <c r="G1869">
        <v>14.6631</v>
      </c>
      <c r="H1869">
        <v>21.181699999999999</v>
      </c>
      <c r="I1869">
        <v>25.756399999999999</v>
      </c>
      <c r="J1869">
        <v>33.473399999999998</v>
      </c>
    </row>
    <row r="1870" spans="1:10" x14ac:dyDescent="0.4">
      <c r="A1870">
        <v>6</v>
      </c>
      <c r="B1870">
        <v>-1E-3</v>
      </c>
      <c r="C1870">
        <v>3.1E-2</v>
      </c>
      <c r="D1870">
        <v>0.2049</v>
      </c>
      <c r="E1870">
        <v>1.0991</v>
      </c>
      <c r="F1870">
        <v>3.0121000000000002</v>
      </c>
      <c r="G1870">
        <v>6.2634999999999996</v>
      </c>
      <c r="H1870">
        <v>10.3353</v>
      </c>
      <c r="I1870">
        <v>13.036300000000001</v>
      </c>
      <c r="J1870">
        <v>20.7315</v>
      </c>
    </row>
    <row r="1871" spans="1:10" x14ac:dyDescent="0.4">
      <c r="A1871">
        <v>7</v>
      </c>
      <c r="B1871">
        <v>-1E-3</v>
      </c>
      <c r="C1871">
        <v>2.3999999999999998E-3</v>
      </c>
      <c r="D1871">
        <v>4.4600000000000001E-2</v>
      </c>
      <c r="E1871">
        <v>0.31219999999999998</v>
      </c>
      <c r="F1871">
        <v>1.3111999999999999</v>
      </c>
      <c r="G1871">
        <v>2.9619</v>
      </c>
      <c r="H1871">
        <v>4.7695999999999996</v>
      </c>
      <c r="I1871">
        <v>6.3060999999999998</v>
      </c>
      <c r="J1871">
        <v>9.7065000000000001</v>
      </c>
    </row>
    <row r="1872" spans="1:10" x14ac:dyDescent="0.4">
      <c r="A1872">
        <v>8</v>
      </c>
      <c r="B1872">
        <v>-1E-3</v>
      </c>
      <c r="C1872">
        <v>8.9999999999999998E-4</v>
      </c>
      <c r="D1872">
        <v>7.6E-3</v>
      </c>
      <c r="E1872">
        <v>0.1118</v>
      </c>
      <c r="F1872">
        <v>0.4844</v>
      </c>
      <c r="G1872">
        <v>1.2133</v>
      </c>
      <c r="H1872">
        <v>2.2115</v>
      </c>
      <c r="I1872">
        <v>3.1358999999999999</v>
      </c>
      <c r="J1872">
        <v>4.8658999999999999</v>
      </c>
    </row>
    <row r="1873" spans="1:10" x14ac:dyDescent="0.4">
      <c r="A1873">
        <v>9</v>
      </c>
      <c r="B1873">
        <v>-1E-3</v>
      </c>
      <c r="C1873">
        <v>2.0000000000000001E-4</v>
      </c>
      <c r="D1873">
        <v>1.9E-3</v>
      </c>
      <c r="E1873">
        <v>3.27E-2</v>
      </c>
      <c r="F1873">
        <v>0.2056</v>
      </c>
      <c r="G1873">
        <v>0.56440000000000001</v>
      </c>
      <c r="H1873">
        <v>1.1994</v>
      </c>
      <c r="I1873">
        <v>1.6865000000000001</v>
      </c>
      <c r="J1873">
        <v>2.6189</v>
      </c>
    </row>
    <row r="1874" spans="1:10" x14ac:dyDescent="0.4">
      <c r="A1874">
        <v>10</v>
      </c>
      <c r="B1874">
        <v>-1E-3</v>
      </c>
      <c r="C1874">
        <v>0</v>
      </c>
      <c r="D1874">
        <v>6.9999999999999999E-4</v>
      </c>
      <c r="E1874">
        <v>1.23E-2</v>
      </c>
      <c r="F1874">
        <v>8.5900000000000004E-2</v>
      </c>
      <c r="G1874">
        <v>0.26769999999999999</v>
      </c>
      <c r="H1874">
        <v>0.53569999999999995</v>
      </c>
      <c r="I1874">
        <v>0.81140000000000001</v>
      </c>
      <c r="J1874">
        <v>1.347</v>
      </c>
    </row>
    <row r="1875" spans="1:10" x14ac:dyDescent="0.4">
      <c r="A1875">
        <v>11</v>
      </c>
      <c r="B1875">
        <v>-1E-3</v>
      </c>
      <c r="C1875">
        <v>0</v>
      </c>
      <c r="D1875">
        <v>2.0000000000000001E-4</v>
      </c>
      <c r="E1875">
        <v>4.7000000000000002E-3</v>
      </c>
      <c r="F1875">
        <v>3.5900000000000001E-2</v>
      </c>
      <c r="G1875">
        <v>0.1255</v>
      </c>
      <c r="H1875">
        <v>0.2571</v>
      </c>
      <c r="I1875">
        <v>0.41870000000000002</v>
      </c>
      <c r="J1875">
        <v>0.97599999999999998</v>
      </c>
    </row>
    <row r="1876" spans="1:10" x14ac:dyDescent="0.4">
      <c r="A1876">
        <v>12</v>
      </c>
      <c r="B1876">
        <v>-1E-3</v>
      </c>
      <c r="C1876">
        <v>0</v>
      </c>
      <c r="D1876">
        <v>1E-4</v>
      </c>
      <c r="E1876">
        <v>1.6999999999999999E-3</v>
      </c>
      <c r="F1876">
        <v>1.6400000000000001E-2</v>
      </c>
      <c r="G1876">
        <v>6.59E-2</v>
      </c>
      <c r="H1876">
        <v>0.14080000000000001</v>
      </c>
      <c r="I1876">
        <v>0.2329</v>
      </c>
      <c r="J1876">
        <v>0.49469999999999997</v>
      </c>
    </row>
    <row r="1877" spans="1:10" x14ac:dyDescent="0.4">
      <c r="A1877">
        <v>13</v>
      </c>
      <c r="B1877">
        <v>-1E-3</v>
      </c>
      <c r="C1877">
        <v>0</v>
      </c>
      <c r="D1877">
        <v>0</v>
      </c>
      <c r="E1877">
        <v>8.0000000000000004E-4</v>
      </c>
      <c r="F1877">
        <v>6.8999999999999999E-3</v>
      </c>
      <c r="G1877">
        <v>2.8199999999999999E-2</v>
      </c>
      <c r="H1877">
        <v>6.7400000000000002E-2</v>
      </c>
      <c r="I1877">
        <v>0.1087</v>
      </c>
      <c r="J1877">
        <v>0.25459999999999999</v>
      </c>
    </row>
    <row r="1878" spans="1:10" x14ac:dyDescent="0.4">
      <c r="A1878">
        <v>14</v>
      </c>
      <c r="B1878">
        <v>-1E-3</v>
      </c>
      <c r="C1878">
        <v>0</v>
      </c>
      <c r="D1878">
        <v>0</v>
      </c>
      <c r="E1878">
        <v>4.0000000000000002E-4</v>
      </c>
      <c r="F1878">
        <v>3.2000000000000002E-3</v>
      </c>
      <c r="G1878">
        <v>1.43E-2</v>
      </c>
      <c r="H1878">
        <v>3.5400000000000001E-2</v>
      </c>
      <c r="I1878">
        <v>5.4699999999999999E-2</v>
      </c>
      <c r="J1878">
        <v>0.1081</v>
      </c>
    </row>
    <row r="1879" spans="1:10" x14ac:dyDescent="0.4">
      <c r="A1879" t="s">
        <v>29</v>
      </c>
      <c r="B1879">
        <v>0</v>
      </c>
      <c r="C1879">
        <v>0</v>
      </c>
      <c r="D1879">
        <v>0</v>
      </c>
      <c r="E1879">
        <v>2.9999999999999997E-4</v>
      </c>
      <c r="F1879">
        <v>2.7000000000000001E-3</v>
      </c>
      <c r="G1879">
        <v>1.41E-2</v>
      </c>
      <c r="H1879">
        <v>3.9E-2</v>
      </c>
      <c r="I1879">
        <v>6.0999999999999999E-2</v>
      </c>
      <c r="J1879">
        <v>0.1434</v>
      </c>
    </row>
    <row r="1881" spans="1:10" x14ac:dyDescent="0.4">
      <c r="A1881">
        <v>2069</v>
      </c>
    </row>
    <row r="1883" spans="1:10" x14ac:dyDescent="0.4">
      <c r="A1883" t="s">
        <v>0</v>
      </c>
      <c r="B1883" s="2">
        <v>0.01</v>
      </c>
      <c r="C1883" s="2">
        <v>0.05</v>
      </c>
      <c r="D1883" s="2">
        <v>0.1</v>
      </c>
      <c r="E1883" s="2">
        <v>0.25</v>
      </c>
      <c r="F1883" s="2">
        <v>0.5</v>
      </c>
      <c r="G1883" s="2">
        <v>0.75</v>
      </c>
      <c r="H1883" s="2">
        <v>0.9</v>
      </c>
      <c r="I1883" s="2">
        <v>0.95</v>
      </c>
      <c r="J1883" s="2">
        <v>0.99</v>
      </c>
    </row>
    <row r="1884" spans="1:10" x14ac:dyDescent="0.4">
      <c r="A1884">
        <v>1</v>
      </c>
      <c r="B1884">
        <v>68.633799999999994</v>
      </c>
      <c r="C1884">
        <v>71.578999999999994</v>
      </c>
      <c r="D1884">
        <v>79.5381</v>
      </c>
      <c r="E1884">
        <v>104.48350000000001</v>
      </c>
      <c r="F1884">
        <v>168.70760000000001</v>
      </c>
      <c r="G1884">
        <v>239.08779999999999</v>
      </c>
      <c r="H1884">
        <v>277.44099999999997</v>
      </c>
      <c r="I1884">
        <v>307.63350000000003</v>
      </c>
      <c r="J1884">
        <v>324.87990000000002</v>
      </c>
    </row>
    <row r="1885" spans="1:10" x14ac:dyDescent="0.4">
      <c r="A1885">
        <v>2</v>
      </c>
      <c r="B1885">
        <v>-1E-3</v>
      </c>
      <c r="C1885">
        <v>38.166400000000003</v>
      </c>
      <c r="D1885">
        <v>42.298400000000001</v>
      </c>
      <c r="E1885">
        <v>55.616900000000001</v>
      </c>
      <c r="F1885">
        <v>97.747500000000002</v>
      </c>
      <c r="G1885">
        <v>139.36869999999999</v>
      </c>
      <c r="H1885">
        <v>169.82079999999999</v>
      </c>
      <c r="I1885">
        <v>181.72569999999999</v>
      </c>
      <c r="J1885">
        <v>203.8768</v>
      </c>
    </row>
    <row r="1886" spans="1:10" x14ac:dyDescent="0.4">
      <c r="A1886">
        <v>3</v>
      </c>
      <c r="B1886">
        <v>-1E-3</v>
      </c>
      <c r="C1886">
        <v>12.984299999999999</v>
      </c>
      <c r="D1886">
        <v>18.808599999999998</v>
      </c>
      <c r="E1886">
        <v>28.3797</v>
      </c>
      <c r="F1886">
        <v>48.9983</v>
      </c>
      <c r="G1886">
        <v>71.218900000000005</v>
      </c>
      <c r="H1886">
        <v>91.458299999999994</v>
      </c>
      <c r="I1886">
        <v>99.609399999999994</v>
      </c>
      <c r="J1886">
        <v>112.61</v>
      </c>
    </row>
    <row r="1887" spans="1:10" x14ac:dyDescent="0.4">
      <c r="A1887">
        <v>4</v>
      </c>
      <c r="B1887">
        <v>-1E-3</v>
      </c>
      <c r="C1887">
        <v>1.6545000000000001</v>
      </c>
      <c r="D1887">
        <v>4.8669000000000002</v>
      </c>
      <c r="E1887">
        <v>10.5176</v>
      </c>
      <c r="F1887">
        <v>20.146699999999999</v>
      </c>
      <c r="G1887">
        <v>31.961500000000001</v>
      </c>
      <c r="H1887">
        <v>45.433399999999999</v>
      </c>
      <c r="I1887">
        <v>50.682000000000002</v>
      </c>
      <c r="J1887">
        <v>70.497399999999999</v>
      </c>
    </row>
    <row r="1888" spans="1:10" x14ac:dyDescent="0.4">
      <c r="A1888">
        <v>5</v>
      </c>
      <c r="B1888">
        <v>-1E-3</v>
      </c>
      <c r="C1888">
        <v>0.1101</v>
      </c>
      <c r="D1888">
        <v>1.1164000000000001</v>
      </c>
      <c r="E1888">
        <v>3.9348000000000001</v>
      </c>
      <c r="F1888">
        <v>8.0724</v>
      </c>
      <c r="G1888">
        <v>14.8642</v>
      </c>
      <c r="H1888">
        <v>21.7807</v>
      </c>
      <c r="I1888">
        <v>25.359500000000001</v>
      </c>
      <c r="J1888">
        <v>36.4114</v>
      </c>
    </row>
    <row r="1889" spans="1:10" x14ac:dyDescent="0.4">
      <c r="A1889">
        <v>6</v>
      </c>
      <c r="B1889">
        <v>-1E-3</v>
      </c>
      <c r="C1889">
        <v>7.3000000000000001E-3</v>
      </c>
      <c r="D1889">
        <v>0.2268</v>
      </c>
      <c r="E1889">
        <v>1.1081000000000001</v>
      </c>
      <c r="F1889">
        <v>3.14</v>
      </c>
      <c r="G1889">
        <v>6.4790000000000001</v>
      </c>
      <c r="H1889">
        <v>10.2669</v>
      </c>
      <c r="I1889">
        <v>12.5825</v>
      </c>
      <c r="J1889">
        <v>18.047499999999999</v>
      </c>
    </row>
    <row r="1890" spans="1:10" x14ac:dyDescent="0.4">
      <c r="A1890">
        <v>7</v>
      </c>
      <c r="B1890">
        <v>-1E-3</v>
      </c>
      <c r="C1890">
        <v>1.6000000000000001E-3</v>
      </c>
      <c r="D1890">
        <v>3.8699999999999998E-2</v>
      </c>
      <c r="E1890">
        <v>0.35310000000000002</v>
      </c>
      <c r="F1890">
        <v>1.2032</v>
      </c>
      <c r="G1890">
        <v>2.7593000000000001</v>
      </c>
      <c r="H1890">
        <v>4.8921999999999999</v>
      </c>
      <c r="I1890">
        <v>6.4977</v>
      </c>
      <c r="J1890">
        <v>11.563000000000001</v>
      </c>
    </row>
    <row r="1891" spans="1:10" x14ac:dyDescent="0.4">
      <c r="A1891">
        <v>8</v>
      </c>
      <c r="B1891">
        <v>-1E-3</v>
      </c>
      <c r="C1891">
        <v>8.9999999999999998E-4</v>
      </c>
      <c r="D1891">
        <v>7.4000000000000003E-3</v>
      </c>
      <c r="E1891">
        <v>9.98E-2</v>
      </c>
      <c r="F1891">
        <v>0.53059999999999996</v>
      </c>
      <c r="G1891">
        <v>1.2976000000000001</v>
      </c>
      <c r="H1891">
        <v>2.2542</v>
      </c>
      <c r="I1891">
        <v>3.1015999999999999</v>
      </c>
      <c r="J1891">
        <v>5.2168999999999999</v>
      </c>
    </row>
    <row r="1892" spans="1:10" x14ac:dyDescent="0.4">
      <c r="A1892">
        <v>9</v>
      </c>
      <c r="B1892">
        <v>-1E-3</v>
      </c>
      <c r="C1892">
        <v>1E-4</v>
      </c>
      <c r="D1892">
        <v>1.8E-3</v>
      </c>
      <c r="E1892">
        <v>3.5400000000000001E-2</v>
      </c>
      <c r="F1892">
        <v>0.19689999999999999</v>
      </c>
      <c r="G1892">
        <v>0.54430000000000001</v>
      </c>
      <c r="H1892">
        <v>1.0024</v>
      </c>
      <c r="I1892">
        <v>1.5871999999999999</v>
      </c>
      <c r="J1892">
        <v>2.7818999999999998</v>
      </c>
    </row>
    <row r="1893" spans="1:10" x14ac:dyDescent="0.4">
      <c r="A1893">
        <v>10</v>
      </c>
      <c r="B1893">
        <v>-1E-3</v>
      </c>
      <c r="C1893">
        <v>0</v>
      </c>
      <c r="D1893">
        <v>6.9999999999999999E-4</v>
      </c>
      <c r="E1893">
        <v>1.0800000000000001E-2</v>
      </c>
      <c r="F1893">
        <v>8.2000000000000003E-2</v>
      </c>
      <c r="G1893">
        <v>0.27460000000000001</v>
      </c>
      <c r="H1893">
        <v>0.58660000000000001</v>
      </c>
      <c r="I1893">
        <v>0.79120000000000001</v>
      </c>
      <c r="J1893">
        <v>1.4209000000000001</v>
      </c>
    </row>
    <row r="1894" spans="1:10" x14ac:dyDescent="0.4">
      <c r="A1894">
        <v>11</v>
      </c>
      <c r="B1894">
        <v>-1E-3</v>
      </c>
      <c r="C1894">
        <v>0</v>
      </c>
      <c r="D1894">
        <v>2.0000000000000001E-4</v>
      </c>
      <c r="E1894">
        <v>4.3E-3</v>
      </c>
      <c r="F1894">
        <v>3.49E-2</v>
      </c>
      <c r="G1894">
        <v>0.1229</v>
      </c>
      <c r="H1894">
        <v>0.25750000000000001</v>
      </c>
      <c r="I1894">
        <v>0.4138</v>
      </c>
      <c r="J1894">
        <v>0.70530000000000004</v>
      </c>
    </row>
    <row r="1895" spans="1:10" x14ac:dyDescent="0.4">
      <c r="A1895">
        <v>12</v>
      </c>
      <c r="B1895">
        <v>-1E-3</v>
      </c>
      <c r="C1895">
        <v>0</v>
      </c>
      <c r="D1895">
        <v>0</v>
      </c>
      <c r="E1895">
        <v>1.6000000000000001E-3</v>
      </c>
      <c r="F1895">
        <v>1.54E-2</v>
      </c>
      <c r="G1895">
        <v>5.9799999999999999E-2</v>
      </c>
      <c r="H1895">
        <v>0.12870000000000001</v>
      </c>
      <c r="I1895">
        <v>0.20630000000000001</v>
      </c>
      <c r="J1895">
        <v>0.46300000000000002</v>
      </c>
    </row>
    <row r="1896" spans="1:10" x14ac:dyDescent="0.4">
      <c r="A1896">
        <v>13</v>
      </c>
      <c r="B1896">
        <v>-1E-3</v>
      </c>
      <c r="C1896">
        <v>0</v>
      </c>
      <c r="D1896">
        <v>0</v>
      </c>
      <c r="E1896">
        <v>8.0000000000000004E-4</v>
      </c>
      <c r="F1896">
        <v>7.1000000000000004E-3</v>
      </c>
      <c r="G1896">
        <v>0.03</v>
      </c>
      <c r="H1896">
        <v>6.9000000000000006E-2</v>
      </c>
      <c r="I1896">
        <v>0.12230000000000001</v>
      </c>
      <c r="J1896">
        <v>0.25169999999999998</v>
      </c>
    </row>
    <row r="1897" spans="1:10" x14ac:dyDescent="0.4">
      <c r="A1897">
        <v>14</v>
      </c>
      <c r="B1897">
        <v>-1E-3</v>
      </c>
      <c r="C1897">
        <v>0</v>
      </c>
      <c r="D1897">
        <v>0</v>
      </c>
      <c r="E1897">
        <v>2.9999999999999997E-4</v>
      </c>
      <c r="F1897">
        <v>3.0000000000000001E-3</v>
      </c>
      <c r="G1897">
        <v>1.3100000000000001E-2</v>
      </c>
      <c r="H1897">
        <v>3.3700000000000001E-2</v>
      </c>
      <c r="I1897">
        <v>5.57E-2</v>
      </c>
      <c r="J1897">
        <v>0.13750000000000001</v>
      </c>
    </row>
    <row r="1898" spans="1:10" x14ac:dyDescent="0.4">
      <c r="A1898" t="s">
        <v>29</v>
      </c>
      <c r="B1898">
        <v>0</v>
      </c>
      <c r="C1898">
        <v>0</v>
      </c>
      <c r="D1898">
        <v>0</v>
      </c>
      <c r="E1898">
        <v>2.9999999999999997E-4</v>
      </c>
      <c r="F1898">
        <v>2.5999999999999999E-3</v>
      </c>
      <c r="G1898">
        <v>1.4E-2</v>
      </c>
      <c r="H1898">
        <v>3.6200000000000003E-2</v>
      </c>
      <c r="I1898">
        <v>5.67E-2</v>
      </c>
      <c r="J1898">
        <v>0.1182</v>
      </c>
    </row>
    <row r="1900" spans="1:10" x14ac:dyDescent="0.4">
      <c r="A1900">
        <v>2070</v>
      </c>
    </row>
    <row r="1902" spans="1:10" x14ac:dyDescent="0.4">
      <c r="A1902" t="s">
        <v>0</v>
      </c>
      <c r="B1902" s="2">
        <v>0.01</v>
      </c>
      <c r="C1902" s="2">
        <v>0.05</v>
      </c>
      <c r="D1902" s="2">
        <v>0.1</v>
      </c>
      <c r="E1902" s="2">
        <v>0.25</v>
      </c>
      <c r="F1902" s="2">
        <v>0.5</v>
      </c>
      <c r="G1902" s="2">
        <v>0.75</v>
      </c>
      <c r="H1902" s="2">
        <v>0.9</v>
      </c>
      <c r="I1902" s="2">
        <v>0.95</v>
      </c>
      <c r="J1902" s="2">
        <v>0.99</v>
      </c>
    </row>
    <row r="1903" spans="1:10" x14ac:dyDescent="0.4">
      <c r="A1903">
        <v>1</v>
      </c>
      <c r="B1903">
        <v>68.591200000000001</v>
      </c>
      <c r="C1903">
        <v>69.997200000000007</v>
      </c>
      <c r="D1903">
        <v>79.704400000000007</v>
      </c>
      <c r="E1903">
        <v>105.8202</v>
      </c>
      <c r="F1903">
        <v>170.68279999999999</v>
      </c>
      <c r="G1903">
        <v>234.11519999999999</v>
      </c>
      <c r="H1903">
        <v>277.22590000000002</v>
      </c>
      <c r="I1903">
        <v>299.2842</v>
      </c>
      <c r="J1903">
        <v>324.76679999999999</v>
      </c>
    </row>
    <row r="1904" spans="1:10" x14ac:dyDescent="0.4">
      <c r="A1904">
        <v>2</v>
      </c>
      <c r="B1904">
        <v>-1E-3</v>
      </c>
      <c r="C1904">
        <v>38.391399999999997</v>
      </c>
      <c r="D1904">
        <v>43.560400000000001</v>
      </c>
      <c r="E1904">
        <v>58.089799999999997</v>
      </c>
      <c r="F1904">
        <v>98.680700000000002</v>
      </c>
      <c r="G1904">
        <v>140.04</v>
      </c>
      <c r="H1904">
        <v>165.6362</v>
      </c>
      <c r="I1904">
        <v>179.66480000000001</v>
      </c>
      <c r="J1904">
        <v>202.40770000000001</v>
      </c>
    </row>
    <row r="1905" spans="1:10" x14ac:dyDescent="0.4">
      <c r="A1905">
        <v>3</v>
      </c>
      <c r="B1905">
        <v>-1E-3</v>
      </c>
      <c r="C1905">
        <v>11.620900000000001</v>
      </c>
      <c r="D1905">
        <v>18.4832</v>
      </c>
      <c r="E1905">
        <v>26.943999999999999</v>
      </c>
      <c r="F1905">
        <v>48.187199999999997</v>
      </c>
      <c r="G1905">
        <v>71.184200000000004</v>
      </c>
      <c r="H1905">
        <v>92.833299999999994</v>
      </c>
      <c r="I1905">
        <v>100.9114</v>
      </c>
      <c r="J1905">
        <v>114.6044</v>
      </c>
    </row>
    <row r="1906" spans="1:10" x14ac:dyDescent="0.4">
      <c r="A1906">
        <v>4</v>
      </c>
      <c r="B1906">
        <v>-1E-3</v>
      </c>
      <c r="C1906">
        <v>1.6141000000000001</v>
      </c>
      <c r="D1906">
        <v>5.4215</v>
      </c>
      <c r="E1906">
        <v>10.7</v>
      </c>
      <c r="F1906">
        <v>20.255600000000001</v>
      </c>
      <c r="G1906">
        <v>33.167900000000003</v>
      </c>
      <c r="H1906">
        <v>45.988399999999999</v>
      </c>
      <c r="I1906">
        <v>51.140700000000002</v>
      </c>
      <c r="J1906">
        <v>61.956899999999997</v>
      </c>
    </row>
    <row r="1907" spans="1:10" x14ac:dyDescent="0.4">
      <c r="A1907">
        <v>5</v>
      </c>
      <c r="B1907">
        <v>-1E-3</v>
      </c>
      <c r="C1907">
        <v>0.1038</v>
      </c>
      <c r="D1907">
        <v>1.0588</v>
      </c>
      <c r="E1907">
        <v>3.8376999999999999</v>
      </c>
      <c r="F1907">
        <v>7.9115000000000002</v>
      </c>
      <c r="G1907">
        <v>14.595499999999999</v>
      </c>
      <c r="H1907">
        <v>22.285299999999999</v>
      </c>
      <c r="I1907">
        <v>25.7743</v>
      </c>
      <c r="J1907">
        <v>38.703400000000002</v>
      </c>
    </row>
    <row r="1908" spans="1:10" x14ac:dyDescent="0.4">
      <c r="A1908">
        <v>6</v>
      </c>
      <c r="B1908">
        <v>-1E-3</v>
      </c>
      <c r="C1908">
        <v>5.7999999999999996E-3</v>
      </c>
      <c r="D1908">
        <v>0.2432</v>
      </c>
      <c r="E1908">
        <v>1.2392000000000001</v>
      </c>
      <c r="F1908">
        <v>3.1871</v>
      </c>
      <c r="G1908">
        <v>6.5857000000000001</v>
      </c>
      <c r="H1908">
        <v>10.125299999999999</v>
      </c>
      <c r="I1908">
        <v>12.558299999999999</v>
      </c>
      <c r="J1908">
        <v>19.196100000000001</v>
      </c>
    </row>
    <row r="1909" spans="1:10" x14ac:dyDescent="0.4">
      <c r="A1909">
        <v>7</v>
      </c>
      <c r="B1909">
        <v>-1E-3</v>
      </c>
      <c r="C1909">
        <v>1E-3</v>
      </c>
      <c r="D1909">
        <v>4.0899999999999999E-2</v>
      </c>
      <c r="E1909">
        <v>0.36480000000000001</v>
      </c>
      <c r="F1909">
        <v>1.2784</v>
      </c>
      <c r="G1909">
        <v>2.9047000000000001</v>
      </c>
      <c r="H1909">
        <v>4.8571</v>
      </c>
      <c r="I1909">
        <v>6.242</v>
      </c>
      <c r="J1909">
        <v>9.6919000000000004</v>
      </c>
    </row>
    <row r="1910" spans="1:10" x14ac:dyDescent="0.4">
      <c r="A1910">
        <v>8</v>
      </c>
      <c r="B1910">
        <v>-1E-3</v>
      </c>
      <c r="C1910">
        <v>2.9999999999999997E-4</v>
      </c>
      <c r="D1910">
        <v>1.11E-2</v>
      </c>
      <c r="E1910">
        <v>0.1145</v>
      </c>
      <c r="F1910">
        <v>0.4703</v>
      </c>
      <c r="G1910">
        <v>1.208</v>
      </c>
      <c r="H1910">
        <v>2.2443</v>
      </c>
      <c r="I1910">
        <v>3.1362999999999999</v>
      </c>
      <c r="J1910">
        <v>5.8007999999999997</v>
      </c>
    </row>
    <row r="1911" spans="1:10" x14ac:dyDescent="0.4">
      <c r="A1911">
        <v>9</v>
      </c>
      <c r="B1911">
        <v>-1E-3</v>
      </c>
      <c r="C1911">
        <v>1E-4</v>
      </c>
      <c r="D1911">
        <v>1.6000000000000001E-3</v>
      </c>
      <c r="E1911">
        <v>3.4099999999999998E-2</v>
      </c>
      <c r="F1911">
        <v>0.21099999999999999</v>
      </c>
      <c r="G1911">
        <v>0.59399999999999997</v>
      </c>
      <c r="H1911">
        <v>1.0855999999999999</v>
      </c>
      <c r="I1911">
        <v>1.5727</v>
      </c>
      <c r="J1911">
        <v>2.8119999999999998</v>
      </c>
    </row>
    <row r="1912" spans="1:10" x14ac:dyDescent="0.4">
      <c r="A1912">
        <v>10</v>
      </c>
      <c r="B1912">
        <v>-1E-3</v>
      </c>
      <c r="C1912">
        <v>0</v>
      </c>
      <c r="D1912">
        <v>8.0000000000000004E-4</v>
      </c>
      <c r="E1912">
        <v>1.29E-2</v>
      </c>
      <c r="F1912">
        <v>8.4900000000000003E-2</v>
      </c>
      <c r="G1912">
        <v>0.24859999999999999</v>
      </c>
      <c r="H1912">
        <v>0.52329999999999999</v>
      </c>
      <c r="I1912">
        <v>0.79120000000000001</v>
      </c>
      <c r="J1912">
        <v>1.3387</v>
      </c>
    </row>
    <row r="1913" spans="1:10" x14ac:dyDescent="0.4">
      <c r="A1913">
        <v>11</v>
      </c>
      <c r="B1913">
        <v>-1E-3</v>
      </c>
      <c r="C1913">
        <v>0</v>
      </c>
      <c r="D1913">
        <v>2.0000000000000001E-4</v>
      </c>
      <c r="E1913">
        <v>3.8E-3</v>
      </c>
      <c r="F1913">
        <v>3.3799999999999997E-2</v>
      </c>
      <c r="G1913">
        <v>0.12790000000000001</v>
      </c>
      <c r="H1913">
        <v>0.2928</v>
      </c>
      <c r="I1913">
        <v>0.40689999999999998</v>
      </c>
      <c r="J1913">
        <v>0.74709999999999999</v>
      </c>
    </row>
    <row r="1914" spans="1:10" x14ac:dyDescent="0.4">
      <c r="A1914">
        <v>12</v>
      </c>
      <c r="B1914">
        <v>-1E-3</v>
      </c>
      <c r="C1914">
        <v>0</v>
      </c>
      <c r="D1914">
        <v>1E-4</v>
      </c>
      <c r="E1914">
        <v>1.6000000000000001E-3</v>
      </c>
      <c r="F1914">
        <v>1.5599999999999999E-2</v>
      </c>
      <c r="G1914">
        <v>5.6000000000000001E-2</v>
      </c>
      <c r="H1914">
        <v>0.13020000000000001</v>
      </c>
      <c r="I1914">
        <v>0.20979999999999999</v>
      </c>
      <c r="J1914">
        <v>0.39450000000000002</v>
      </c>
    </row>
    <row r="1915" spans="1:10" x14ac:dyDescent="0.4">
      <c r="A1915">
        <v>13</v>
      </c>
      <c r="B1915">
        <v>-1E-3</v>
      </c>
      <c r="C1915">
        <v>0</v>
      </c>
      <c r="D1915">
        <v>0</v>
      </c>
      <c r="E1915">
        <v>6.9999999999999999E-4</v>
      </c>
      <c r="F1915">
        <v>6.4999999999999997E-3</v>
      </c>
      <c r="G1915">
        <v>2.76E-2</v>
      </c>
      <c r="H1915">
        <v>6.4399999999999999E-2</v>
      </c>
      <c r="I1915">
        <v>0.1056</v>
      </c>
      <c r="J1915">
        <v>0.23730000000000001</v>
      </c>
    </row>
    <row r="1916" spans="1:10" x14ac:dyDescent="0.4">
      <c r="A1916">
        <v>14</v>
      </c>
      <c r="B1916">
        <v>-1E-3</v>
      </c>
      <c r="C1916">
        <v>0</v>
      </c>
      <c r="D1916">
        <v>0</v>
      </c>
      <c r="E1916">
        <v>2.9999999999999997E-4</v>
      </c>
      <c r="F1916">
        <v>3.0000000000000001E-3</v>
      </c>
      <c r="G1916">
        <v>1.38E-2</v>
      </c>
      <c r="H1916">
        <v>3.3599999999999998E-2</v>
      </c>
      <c r="I1916">
        <v>6.1400000000000003E-2</v>
      </c>
      <c r="J1916">
        <v>0.13489999999999999</v>
      </c>
    </row>
    <row r="1917" spans="1:10" x14ac:dyDescent="0.4">
      <c r="A1917" t="s">
        <v>29</v>
      </c>
      <c r="B1917">
        <v>0</v>
      </c>
      <c r="C1917">
        <v>0</v>
      </c>
      <c r="D1917">
        <v>0</v>
      </c>
      <c r="E1917">
        <v>2.9999999999999997E-4</v>
      </c>
      <c r="F1917">
        <v>2.7000000000000001E-3</v>
      </c>
      <c r="G1917">
        <v>1.2800000000000001E-2</v>
      </c>
      <c r="H1917">
        <v>3.5400000000000001E-2</v>
      </c>
      <c r="I1917">
        <v>5.7799999999999997E-2</v>
      </c>
      <c r="J1917">
        <v>0.1237</v>
      </c>
    </row>
    <row r="1919" spans="1:10" x14ac:dyDescent="0.4">
      <c r="A1919">
        <v>2071</v>
      </c>
    </row>
    <row r="1921" spans="1:10" x14ac:dyDescent="0.4">
      <c r="A1921" t="s">
        <v>0</v>
      </c>
      <c r="B1921" s="2">
        <v>0.01</v>
      </c>
      <c r="C1921" s="2">
        <v>0.05</v>
      </c>
      <c r="D1921" s="2">
        <v>0.1</v>
      </c>
      <c r="E1921" s="2">
        <v>0.25</v>
      </c>
      <c r="F1921" s="2">
        <v>0.5</v>
      </c>
      <c r="G1921" s="2">
        <v>0.75</v>
      </c>
      <c r="H1921" s="2">
        <v>0.9</v>
      </c>
      <c r="I1921" s="2">
        <v>0.95</v>
      </c>
      <c r="J1921" s="2">
        <v>0.99</v>
      </c>
    </row>
    <row r="1922" spans="1:10" x14ac:dyDescent="0.4">
      <c r="A1922">
        <v>1</v>
      </c>
      <c r="B1922">
        <v>68.6066</v>
      </c>
      <c r="C1922">
        <v>69.870699999999999</v>
      </c>
      <c r="D1922">
        <v>78.070300000000003</v>
      </c>
      <c r="E1922">
        <v>105.62569999999999</v>
      </c>
      <c r="F1922">
        <v>168.1567</v>
      </c>
      <c r="G1922">
        <v>236.3468</v>
      </c>
      <c r="H1922">
        <v>276.83179999999999</v>
      </c>
      <c r="I1922">
        <v>303.81079999999997</v>
      </c>
      <c r="J1922">
        <v>325.267</v>
      </c>
    </row>
    <row r="1923" spans="1:10" x14ac:dyDescent="0.4">
      <c r="A1923">
        <v>2</v>
      </c>
      <c r="B1923">
        <v>-1E-3</v>
      </c>
      <c r="C1923">
        <v>39.305799999999998</v>
      </c>
      <c r="D1923">
        <v>43.007599999999996</v>
      </c>
      <c r="E1923">
        <v>59.934699999999999</v>
      </c>
      <c r="F1923">
        <v>97.971299999999999</v>
      </c>
      <c r="G1923">
        <v>136.45230000000001</v>
      </c>
      <c r="H1923">
        <v>165.4221</v>
      </c>
      <c r="I1923">
        <v>177.387</v>
      </c>
      <c r="J1923">
        <v>201.59299999999999</v>
      </c>
    </row>
    <row r="1924" spans="1:10" x14ac:dyDescent="0.4">
      <c r="A1924">
        <v>3</v>
      </c>
      <c r="B1924">
        <v>-1E-3</v>
      </c>
      <c r="C1924">
        <v>10.815</v>
      </c>
      <c r="D1924">
        <v>19.965900000000001</v>
      </c>
      <c r="E1924">
        <v>27.866900000000001</v>
      </c>
      <c r="F1924">
        <v>47.894599999999997</v>
      </c>
      <c r="G1924">
        <v>71.424199999999999</v>
      </c>
      <c r="H1924">
        <v>89.456699999999998</v>
      </c>
      <c r="I1924">
        <v>99.1233</v>
      </c>
      <c r="J1924">
        <v>119.0146</v>
      </c>
    </row>
    <row r="1925" spans="1:10" x14ac:dyDescent="0.4">
      <c r="A1925">
        <v>4</v>
      </c>
      <c r="B1925">
        <v>-1E-3</v>
      </c>
      <c r="C1925">
        <v>1.2555000000000001</v>
      </c>
      <c r="D1925">
        <v>5.3109000000000002</v>
      </c>
      <c r="E1925">
        <v>10.5458</v>
      </c>
      <c r="F1925">
        <v>20.364799999999999</v>
      </c>
      <c r="G1925">
        <v>33.058399999999999</v>
      </c>
      <c r="H1925">
        <v>46.782800000000002</v>
      </c>
      <c r="I1925">
        <v>52.921100000000003</v>
      </c>
      <c r="J1925">
        <v>61.604399999999998</v>
      </c>
    </row>
    <row r="1926" spans="1:10" x14ac:dyDescent="0.4">
      <c r="A1926">
        <v>5</v>
      </c>
      <c r="B1926">
        <v>-1E-3</v>
      </c>
      <c r="C1926">
        <v>0.1086</v>
      </c>
      <c r="D1926">
        <v>1.2353000000000001</v>
      </c>
      <c r="E1926">
        <v>3.6589</v>
      </c>
      <c r="F1926">
        <v>8.2661999999999995</v>
      </c>
      <c r="G1926">
        <v>15.020200000000001</v>
      </c>
      <c r="H1926">
        <v>22.029699999999998</v>
      </c>
      <c r="I1926">
        <v>25.724299999999999</v>
      </c>
      <c r="J1926">
        <v>33.337600000000002</v>
      </c>
    </row>
    <row r="1927" spans="1:10" x14ac:dyDescent="0.4">
      <c r="A1927">
        <v>6</v>
      </c>
      <c r="B1927">
        <v>-1E-3</v>
      </c>
      <c r="C1927">
        <v>8.6999999999999994E-3</v>
      </c>
      <c r="D1927">
        <v>0.20949999999999999</v>
      </c>
      <c r="E1927">
        <v>1.2825</v>
      </c>
      <c r="F1927">
        <v>3.1438000000000001</v>
      </c>
      <c r="G1927">
        <v>6.4363000000000001</v>
      </c>
      <c r="H1927">
        <v>10.492000000000001</v>
      </c>
      <c r="I1927">
        <v>12.7475</v>
      </c>
      <c r="J1927">
        <v>19.4544</v>
      </c>
    </row>
    <row r="1928" spans="1:10" x14ac:dyDescent="0.4">
      <c r="A1928">
        <v>7</v>
      </c>
      <c r="B1928">
        <v>-1E-3</v>
      </c>
      <c r="C1928">
        <v>1E-3</v>
      </c>
      <c r="D1928">
        <v>4.9799999999999997E-2</v>
      </c>
      <c r="E1928">
        <v>0.41789999999999999</v>
      </c>
      <c r="F1928">
        <v>1.2608999999999999</v>
      </c>
      <c r="G1928">
        <v>2.9165999999999999</v>
      </c>
      <c r="H1928">
        <v>4.7740999999999998</v>
      </c>
      <c r="I1928">
        <v>6.1086999999999998</v>
      </c>
      <c r="J1928">
        <v>9.5747</v>
      </c>
    </row>
    <row r="1929" spans="1:10" x14ac:dyDescent="0.4">
      <c r="A1929">
        <v>8</v>
      </c>
      <c r="B1929">
        <v>-1E-3</v>
      </c>
      <c r="C1929">
        <v>1E-4</v>
      </c>
      <c r="D1929">
        <v>9.9000000000000008E-3</v>
      </c>
      <c r="E1929">
        <v>0.12</v>
      </c>
      <c r="F1929">
        <v>0.49330000000000002</v>
      </c>
      <c r="G1929">
        <v>1.2951999999999999</v>
      </c>
      <c r="H1929">
        <v>2.3237000000000001</v>
      </c>
      <c r="I1929">
        <v>3.1368999999999998</v>
      </c>
      <c r="J1929">
        <v>4.8479999999999999</v>
      </c>
    </row>
    <row r="1930" spans="1:10" x14ac:dyDescent="0.4">
      <c r="A1930">
        <v>9</v>
      </c>
      <c r="B1930">
        <v>-1E-3</v>
      </c>
      <c r="C1930">
        <v>0</v>
      </c>
      <c r="D1930">
        <v>2.0999999999999999E-3</v>
      </c>
      <c r="E1930">
        <v>3.8600000000000002E-2</v>
      </c>
      <c r="F1930">
        <v>0.18690000000000001</v>
      </c>
      <c r="G1930">
        <v>0.55400000000000005</v>
      </c>
      <c r="H1930">
        <v>1.0650999999999999</v>
      </c>
      <c r="I1930">
        <v>1.5490999999999999</v>
      </c>
      <c r="J1930">
        <v>2.9388000000000001</v>
      </c>
    </row>
    <row r="1931" spans="1:10" x14ac:dyDescent="0.4">
      <c r="A1931">
        <v>10</v>
      </c>
      <c r="B1931">
        <v>-1E-3</v>
      </c>
      <c r="C1931">
        <v>0</v>
      </c>
      <c r="D1931">
        <v>5.9999999999999995E-4</v>
      </c>
      <c r="E1931">
        <v>1.26E-2</v>
      </c>
      <c r="F1931">
        <v>8.72E-2</v>
      </c>
      <c r="G1931">
        <v>0.27339999999999998</v>
      </c>
      <c r="H1931">
        <v>0.53080000000000005</v>
      </c>
      <c r="I1931">
        <v>0.80320000000000003</v>
      </c>
      <c r="J1931">
        <v>1.5508</v>
      </c>
    </row>
    <row r="1932" spans="1:10" x14ac:dyDescent="0.4">
      <c r="A1932">
        <v>11</v>
      </c>
      <c r="B1932">
        <v>-1E-3</v>
      </c>
      <c r="C1932">
        <v>0</v>
      </c>
      <c r="D1932">
        <v>2.0000000000000001E-4</v>
      </c>
      <c r="E1932">
        <v>4.5999999999999999E-3</v>
      </c>
      <c r="F1932">
        <v>3.6499999999999998E-2</v>
      </c>
      <c r="G1932">
        <v>0.11550000000000001</v>
      </c>
      <c r="H1932">
        <v>0.26140000000000002</v>
      </c>
      <c r="I1932">
        <v>0.39069999999999999</v>
      </c>
      <c r="J1932">
        <v>0.68059999999999998</v>
      </c>
    </row>
    <row r="1933" spans="1:10" x14ac:dyDescent="0.4">
      <c r="A1933">
        <v>12</v>
      </c>
      <c r="B1933">
        <v>-1E-3</v>
      </c>
      <c r="C1933">
        <v>0</v>
      </c>
      <c r="D1933">
        <v>1E-4</v>
      </c>
      <c r="E1933">
        <v>1.4E-3</v>
      </c>
      <c r="F1933">
        <v>1.38E-2</v>
      </c>
      <c r="G1933">
        <v>6.2E-2</v>
      </c>
      <c r="H1933">
        <v>0.1484</v>
      </c>
      <c r="I1933">
        <v>0.21099999999999999</v>
      </c>
      <c r="J1933">
        <v>0.38440000000000002</v>
      </c>
    </row>
    <row r="1934" spans="1:10" x14ac:dyDescent="0.4">
      <c r="A1934">
        <v>13</v>
      </c>
      <c r="B1934">
        <v>-1E-3</v>
      </c>
      <c r="C1934">
        <v>0</v>
      </c>
      <c r="D1934">
        <v>0</v>
      </c>
      <c r="E1934">
        <v>6.9999999999999999E-4</v>
      </c>
      <c r="F1934">
        <v>6.7000000000000002E-3</v>
      </c>
      <c r="G1934">
        <v>2.6499999999999999E-2</v>
      </c>
      <c r="H1934">
        <v>6.6900000000000001E-2</v>
      </c>
      <c r="I1934">
        <v>0.1077</v>
      </c>
      <c r="J1934">
        <v>0.219</v>
      </c>
    </row>
    <row r="1935" spans="1:10" x14ac:dyDescent="0.4">
      <c r="A1935">
        <v>14</v>
      </c>
      <c r="B1935">
        <v>-1E-3</v>
      </c>
      <c r="C1935">
        <v>0</v>
      </c>
      <c r="D1935">
        <v>0</v>
      </c>
      <c r="E1935">
        <v>2.9999999999999997E-4</v>
      </c>
      <c r="F1935">
        <v>2.7000000000000001E-3</v>
      </c>
      <c r="G1935">
        <v>1.3299999999999999E-2</v>
      </c>
      <c r="H1935">
        <v>3.2300000000000002E-2</v>
      </c>
      <c r="I1935">
        <v>5.67E-2</v>
      </c>
      <c r="J1935">
        <v>0.12740000000000001</v>
      </c>
    </row>
    <row r="1936" spans="1:10" x14ac:dyDescent="0.4">
      <c r="A1936" t="s">
        <v>29</v>
      </c>
      <c r="B1936">
        <v>0</v>
      </c>
      <c r="C1936">
        <v>0</v>
      </c>
      <c r="D1936">
        <v>0</v>
      </c>
      <c r="E1936">
        <v>2.9999999999999997E-4</v>
      </c>
      <c r="F1936">
        <v>2.5999999999999999E-3</v>
      </c>
      <c r="G1936">
        <v>1.32E-2</v>
      </c>
      <c r="H1936">
        <v>3.6600000000000001E-2</v>
      </c>
      <c r="I1936">
        <v>6.2300000000000001E-2</v>
      </c>
      <c r="J1936">
        <v>0.13139999999999999</v>
      </c>
    </row>
    <row r="1938" spans="1:10" x14ac:dyDescent="0.4">
      <c r="A1938">
        <v>2072</v>
      </c>
    </row>
    <row r="1940" spans="1:10" x14ac:dyDescent="0.4">
      <c r="A1940" t="s">
        <v>0</v>
      </c>
      <c r="B1940" s="2">
        <v>0.01</v>
      </c>
      <c r="C1940" s="2">
        <v>0.05</v>
      </c>
      <c r="D1940" s="2">
        <v>0.1</v>
      </c>
      <c r="E1940" s="2">
        <v>0.25</v>
      </c>
      <c r="F1940" s="2">
        <v>0.5</v>
      </c>
      <c r="G1940" s="2">
        <v>0.75</v>
      </c>
      <c r="H1940" s="2">
        <v>0.9</v>
      </c>
      <c r="I1940" s="2">
        <v>0.95</v>
      </c>
      <c r="J1940" s="2">
        <v>0.99</v>
      </c>
    </row>
    <row r="1941" spans="1:10" x14ac:dyDescent="0.4">
      <c r="A1941">
        <v>1</v>
      </c>
      <c r="B1941">
        <v>68.546599999999998</v>
      </c>
      <c r="C1941">
        <v>69.696899999999999</v>
      </c>
      <c r="D1941">
        <v>79.264099999999999</v>
      </c>
      <c r="E1941">
        <v>105.7115</v>
      </c>
      <c r="F1941">
        <v>172.17930000000001</v>
      </c>
      <c r="G1941">
        <v>242.12710000000001</v>
      </c>
      <c r="H1941">
        <v>282.28579999999999</v>
      </c>
      <c r="I1941">
        <v>307.03710000000001</v>
      </c>
      <c r="J1941">
        <v>342.81740000000002</v>
      </c>
    </row>
    <row r="1942" spans="1:10" x14ac:dyDescent="0.4">
      <c r="A1942">
        <v>2</v>
      </c>
      <c r="B1942">
        <v>-1E-3</v>
      </c>
      <c r="C1942">
        <v>37.778599999999997</v>
      </c>
      <c r="D1942">
        <v>42.617400000000004</v>
      </c>
      <c r="E1942">
        <v>57.914999999999999</v>
      </c>
      <c r="F1942">
        <v>97.204099999999997</v>
      </c>
      <c r="G1942">
        <v>135.37100000000001</v>
      </c>
      <c r="H1942">
        <v>164.9033</v>
      </c>
      <c r="I1942">
        <v>178.13890000000001</v>
      </c>
      <c r="J1942">
        <v>199.7826</v>
      </c>
    </row>
    <row r="1943" spans="1:10" x14ac:dyDescent="0.4">
      <c r="A1943">
        <v>3</v>
      </c>
      <c r="B1943">
        <v>-1E-3</v>
      </c>
      <c r="C1943">
        <v>10.2563</v>
      </c>
      <c r="D1943">
        <v>18.713000000000001</v>
      </c>
      <c r="E1943">
        <v>28.170100000000001</v>
      </c>
      <c r="F1943">
        <v>48.8367</v>
      </c>
      <c r="G1943">
        <v>70.528400000000005</v>
      </c>
      <c r="H1943">
        <v>88.325400000000002</v>
      </c>
      <c r="I1943">
        <v>99.014200000000002</v>
      </c>
      <c r="J1943">
        <v>120.4119</v>
      </c>
    </row>
    <row r="1944" spans="1:10" x14ac:dyDescent="0.4">
      <c r="A1944">
        <v>4</v>
      </c>
      <c r="B1944">
        <v>-1E-3</v>
      </c>
      <c r="C1944">
        <v>1.1924999999999999</v>
      </c>
      <c r="D1944">
        <v>5.5434999999999999</v>
      </c>
      <c r="E1944">
        <v>10.986499999999999</v>
      </c>
      <c r="F1944">
        <v>19.734100000000002</v>
      </c>
      <c r="G1944">
        <v>33.4893</v>
      </c>
      <c r="H1944">
        <v>45.049599999999998</v>
      </c>
      <c r="I1944">
        <v>51.380499999999998</v>
      </c>
      <c r="J1944">
        <v>66.706900000000005</v>
      </c>
    </row>
    <row r="1945" spans="1:10" x14ac:dyDescent="0.4">
      <c r="A1945">
        <v>5</v>
      </c>
      <c r="B1945">
        <v>-1E-3</v>
      </c>
      <c r="C1945">
        <v>5.0099999999999999E-2</v>
      </c>
      <c r="D1945">
        <v>1.0589</v>
      </c>
      <c r="E1945">
        <v>3.6667999999999998</v>
      </c>
      <c r="F1945">
        <v>8.0235000000000003</v>
      </c>
      <c r="G1945">
        <v>14.987299999999999</v>
      </c>
      <c r="H1945">
        <v>22.828800000000001</v>
      </c>
      <c r="I1945">
        <v>26.8489</v>
      </c>
      <c r="J1945">
        <v>33.936999999999998</v>
      </c>
    </row>
    <row r="1946" spans="1:10" x14ac:dyDescent="0.4">
      <c r="A1946">
        <v>6</v>
      </c>
      <c r="B1946">
        <v>-1E-3</v>
      </c>
      <c r="C1946">
        <v>4.1999999999999997E-3</v>
      </c>
      <c r="D1946">
        <v>0.25269999999999998</v>
      </c>
      <c r="E1946">
        <v>1.1892</v>
      </c>
      <c r="F1946">
        <v>3.2309000000000001</v>
      </c>
      <c r="G1946">
        <v>6.7735000000000003</v>
      </c>
      <c r="H1946">
        <v>10.4068</v>
      </c>
      <c r="I1946">
        <v>12.565799999999999</v>
      </c>
      <c r="J1946">
        <v>18.6449</v>
      </c>
    </row>
    <row r="1947" spans="1:10" x14ac:dyDescent="0.4">
      <c r="A1947">
        <v>7</v>
      </c>
      <c r="B1947">
        <v>-1E-3</v>
      </c>
      <c r="C1947">
        <v>1E-3</v>
      </c>
      <c r="D1947">
        <v>3.61E-2</v>
      </c>
      <c r="E1947">
        <v>0.40079999999999999</v>
      </c>
      <c r="F1947">
        <v>1.2578</v>
      </c>
      <c r="G1947">
        <v>2.8081999999999998</v>
      </c>
      <c r="H1947">
        <v>4.9375</v>
      </c>
      <c r="I1947">
        <v>6.4547999999999996</v>
      </c>
      <c r="J1947">
        <v>10.780900000000001</v>
      </c>
    </row>
    <row r="1948" spans="1:10" x14ac:dyDescent="0.4">
      <c r="A1948">
        <v>8</v>
      </c>
      <c r="B1948">
        <v>-1E-3</v>
      </c>
      <c r="C1948">
        <v>1E-4</v>
      </c>
      <c r="D1948">
        <v>8.0999999999999996E-3</v>
      </c>
      <c r="E1948">
        <v>0.12989999999999999</v>
      </c>
      <c r="F1948">
        <v>0.50239999999999996</v>
      </c>
      <c r="G1948">
        <v>1.2641</v>
      </c>
      <c r="H1948">
        <v>2.2563</v>
      </c>
      <c r="I1948">
        <v>2.9824999999999999</v>
      </c>
      <c r="J1948">
        <v>5.3639000000000001</v>
      </c>
    </row>
    <row r="1949" spans="1:10" x14ac:dyDescent="0.4">
      <c r="A1949">
        <v>9</v>
      </c>
      <c r="B1949">
        <v>-1E-3</v>
      </c>
      <c r="C1949">
        <v>0</v>
      </c>
      <c r="D1949">
        <v>2.5999999999999999E-3</v>
      </c>
      <c r="E1949">
        <v>3.9199999999999999E-2</v>
      </c>
      <c r="F1949">
        <v>0.20599999999999999</v>
      </c>
      <c r="G1949">
        <v>0.59550000000000003</v>
      </c>
      <c r="H1949">
        <v>1.1235999999999999</v>
      </c>
      <c r="I1949">
        <v>1.5495000000000001</v>
      </c>
      <c r="J1949">
        <v>2.6004999999999998</v>
      </c>
    </row>
    <row r="1950" spans="1:10" x14ac:dyDescent="0.4">
      <c r="A1950">
        <v>10</v>
      </c>
      <c r="B1950">
        <v>-1E-3</v>
      </c>
      <c r="C1950">
        <v>0</v>
      </c>
      <c r="D1950">
        <v>8.0000000000000004E-4</v>
      </c>
      <c r="E1950">
        <v>1.2699999999999999E-2</v>
      </c>
      <c r="F1950">
        <v>7.7299999999999994E-2</v>
      </c>
      <c r="G1950">
        <v>0.26240000000000002</v>
      </c>
      <c r="H1950">
        <v>0.55700000000000005</v>
      </c>
      <c r="I1950">
        <v>0.74350000000000005</v>
      </c>
      <c r="J1950">
        <v>1.5698000000000001</v>
      </c>
    </row>
    <row r="1951" spans="1:10" x14ac:dyDescent="0.4">
      <c r="A1951">
        <v>11</v>
      </c>
      <c r="B1951">
        <v>-1E-3</v>
      </c>
      <c r="C1951">
        <v>0</v>
      </c>
      <c r="D1951">
        <v>2.0000000000000001E-4</v>
      </c>
      <c r="E1951">
        <v>4.3E-3</v>
      </c>
      <c r="F1951">
        <v>3.3300000000000003E-2</v>
      </c>
      <c r="G1951">
        <v>0.1305</v>
      </c>
      <c r="H1951">
        <v>0.2601</v>
      </c>
      <c r="I1951">
        <v>0.40600000000000003</v>
      </c>
      <c r="J1951">
        <v>0.86899999999999999</v>
      </c>
    </row>
    <row r="1952" spans="1:10" x14ac:dyDescent="0.4">
      <c r="A1952">
        <v>12</v>
      </c>
      <c r="B1952">
        <v>-1E-3</v>
      </c>
      <c r="C1952">
        <v>0</v>
      </c>
      <c r="D1952">
        <v>1E-4</v>
      </c>
      <c r="E1952">
        <v>1.6000000000000001E-3</v>
      </c>
      <c r="F1952">
        <v>1.54E-2</v>
      </c>
      <c r="G1952">
        <v>5.4399999999999997E-2</v>
      </c>
      <c r="H1952">
        <v>0.13100000000000001</v>
      </c>
      <c r="I1952">
        <v>0.2087</v>
      </c>
      <c r="J1952">
        <v>0.36409999999999998</v>
      </c>
    </row>
    <row r="1953" spans="1:10" x14ac:dyDescent="0.4">
      <c r="A1953">
        <v>13</v>
      </c>
      <c r="B1953">
        <v>-1E-3</v>
      </c>
      <c r="C1953">
        <v>0</v>
      </c>
      <c r="D1953">
        <v>0</v>
      </c>
      <c r="E1953">
        <v>5.9999999999999995E-4</v>
      </c>
      <c r="F1953">
        <v>6.1000000000000004E-3</v>
      </c>
      <c r="G1953">
        <v>2.8299999999999999E-2</v>
      </c>
      <c r="H1953">
        <v>7.3099999999999998E-2</v>
      </c>
      <c r="I1953">
        <v>0.104</v>
      </c>
      <c r="J1953">
        <v>0.2054</v>
      </c>
    </row>
    <row r="1954" spans="1:10" x14ac:dyDescent="0.4">
      <c r="A1954">
        <v>14</v>
      </c>
      <c r="B1954">
        <v>-1E-3</v>
      </c>
      <c r="C1954">
        <v>0</v>
      </c>
      <c r="D1954">
        <v>0</v>
      </c>
      <c r="E1954">
        <v>2.9999999999999997E-4</v>
      </c>
      <c r="F1954">
        <v>2.8E-3</v>
      </c>
      <c r="G1954">
        <v>1.2200000000000001E-2</v>
      </c>
      <c r="H1954">
        <v>3.4500000000000003E-2</v>
      </c>
      <c r="I1954">
        <v>5.4899999999999997E-2</v>
      </c>
      <c r="J1954">
        <v>0.1186</v>
      </c>
    </row>
    <row r="1955" spans="1:10" x14ac:dyDescent="0.4">
      <c r="A1955" t="s">
        <v>29</v>
      </c>
      <c r="B1955">
        <v>0</v>
      </c>
      <c r="C1955">
        <v>0</v>
      </c>
      <c r="D1955">
        <v>0</v>
      </c>
      <c r="E1955">
        <v>2.9999999999999997E-4</v>
      </c>
      <c r="F1955">
        <v>2.3999999999999998E-3</v>
      </c>
      <c r="G1955">
        <v>1.3299999999999999E-2</v>
      </c>
      <c r="H1955">
        <v>3.4799999999999998E-2</v>
      </c>
      <c r="I1955">
        <v>6.0299999999999999E-2</v>
      </c>
      <c r="J1955">
        <v>0.12970000000000001</v>
      </c>
    </row>
    <row r="1957" spans="1:10" x14ac:dyDescent="0.4">
      <c r="A1957">
        <v>2073</v>
      </c>
    </row>
    <row r="1959" spans="1:10" x14ac:dyDescent="0.4">
      <c r="A1959" t="s">
        <v>0</v>
      </c>
      <c r="B1959" s="2">
        <v>0.01</v>
      </c>
      <c r="C1959" s="2">
        <v>0.05</v>
      </c>
      <c r="D1959" s="2">
        <v>0.1</v>
      </c>
      <c r="E1959" s="2">
        <v>0.25</v>
      </c>
      <c r="F1959" s="2">
        <v>0.5</v>
      </c>
      <c r="G1959" s="2">
        <v>0.75</v>
      </c>
      <c r="H1959" s="2">
        <v>0.9</v>
      </c>
      <c r="I1959" s="2">
        <v>0.95</v>
      </c>
      <c r="J1959" s="2">
        <v>0.99</v>
      </c>
    </row>
    <row r="1960" spans="1:10" x14ac:dyDescent="0.4">
      <c r="A1960">
        <v>1</v>
      </c>
      <c r="B1960">
        <v>68.487899999999996</v>
      </c>
      <c r="C1960">
        <v>69.599000000000004</v>
      </c>
      <c r="D1960">
        <v>77.226299999999995</v>
      </c>
      <c r="E1960">
        <v>104.8381</v>
      </c>
      <c r="F1960">
        <v>169.34899999999999</v>
      </c>
      <c r="G1960">
        <v>236.32740000000001</v>
      </c>
      <c r="H1960">
        <v>290.44409999999999</v>
      </c>
      <c r="I1960">
        <v>310.6549</v>
      </c>
      <c r="J1960">
        <v>356.0591</v>
      </c>
    </row>
    <row r="1961" spans="1:10" x14ac:dyDescent="0.4">
      <c r="A1961">
        <v>2</v>
      </c>
      <c r="B1961">
        <v>-1E-3</v>
      </c>
      <c r="C1961">
        <v>38.823700000000002</v>
      </c>
      <c r="D1961">
        <v>43.2288</v>
      </c>
      <c r="E1961">
        <v>59.199300000000001</v>
      </c>
      <c r="F1961">
        <v>99.143199999999993</v>
      </c>
      <c r="G1961">
        <v>141.89920000000001</v>
      </c>
      <c r="H1961">
        <v>166.4205</v>
      </c>
      <c r="I1961">
        <v>178.74350000000001</v>
      </c>
      <c r="J1961">
        <v>208.02170000000001</v>
      </c>
    </row>
    <row r="1962" spans="1:10" x14ac:dyDescent="0.4">
      <c r="A1962">
        <v>3</v>
      </c>
      <c r="B1962">
        <v>-1E-3</v>
      </c>
      <c r="C1962">
        <v>9.6115999999999993</v>
      </c>
      <c r="D1962">
        <v>18.692399999999999</v>
      </c>
      <c r="E1962">
        <v>27.610800000000001</v>
      </c>
      <c r="F1962">
        <v>47.969000000000001</v>
      </c>
      <c r="G1962">
        <v>69.634799999999998</v>
      </c>
      <c r="H1962">
        <v>90.455500000000001</v>
      </c>
      <c r="I1962">
        <v>99.226900000000001</v>
      </c>
      <c r="J1962">
        <v>117.3609</v>
      </c>
    </row>
    <row r="1963" spans="1:10" x14ac:dyDescent="0.4">
      <c r="A1963">
        <v>4</v>
      </c>
      <c r="B1963">
        <v>-1E-3</v>
      </c>
      <c r="C1963">
        <v>1.1377999999999999</v>
      </c>
      <c r="D1963">
        <v>4.8455000000000004</v>
      </c>
      <c r="E1963">
        <v>10.761699999999999</v>
      </c>
      <c r="F1963">
        <v>20.217600000000001</v>
      </c>
      <c r="G1963">
        <v>33.724699999999999</v>
      </c>
      <c r="H1963">
        <v>45.620600000000003</v>
      </c>
      <c r="I1963">
        <v>51.4711</v>
      </c>
      <c r="J1963">
        <v>68.279499999999999</v>
      </c>
    </row>
    <row r="1964" spans="1:10" x14ac:dyDescent="0.4">
      <c r="A1964">
        <v>5</v>
      </c>
      <c r="B1964">
        <v>-1E-3</v>
      </c>
      <c r="C1964">
        <v>8.5400000000000004E-2</v>
      </c>
      <c r="D1964">
        <v>1.1870000000000001</v>
      </c>
      <c r="E1964">
        <v>3.7105999999999999</v>
      </c>
      <c r="F1964">
        <v>7.9541000000000004</v>
      </c>
      <c r="G1964">
        <v>14.9063</v>
      </c>
      <c r="H1964">
        <v>22.255099999999999</v>
      </c>
      <c r="I1964">
        <v>26.3645</v>
      </c>
      <c r="J1964">
        <v>36.033000000000001</v>
      </c>
    </row>
    <row r="1965" spans="1:10" x14ac:dyDescent="0.4">
      <c r="A1965">
        <v>6</v>
      </c>
      <c r="B1965">
        <v>-1E-3</v>
      </c>
      <c r="C1965">
        <v>8.3999999999999995E-3</v>
      </c>
      <c r="D1965">
        <v>0.219</v>
      </c>
      <c r="E1965">
        <v>1.2263999999999999</v>
      </c>
      <c r="F1965">
        <v>3.2265000000000001</v>
      </c>
      <c r="G1965">
        <v>6.6033999999999997</v>
      </c>
      <c r="H1965">
        <v>10.8247</v>
      </c>
      <c r="I1965">
        <v>13.1883</v>
      </c>
      <c r="J1965">
        <v>17.8536</v>
      </c>
    </row>
    <row r="1966" spans="1:10" x14ac:dyDescent="0.4">
      <c r="A1966">
        <v>7</v>
      </c>
      <c r="B1966">
        <v>-1E-3</v>
      </c>
      <c r="C1966">
        <v>1E-3</v>
      </c>
      <c r="D1966">
        <v>5.0099999999999999E-2</v>
      </c>
      <c r="E1966">
        <v>0.40389999999999998</v>
      </c>
      <c r="F1966">
        <v>1.3088</v>
      </c>
      <c r="G1966">
        <v>2.9956999999999998</v>
      </c>
      <c r="H1966">
        <v>4.8779000000000003</v>
      </c>
      <c r="I1966">
        <v>6.3400999999999996</v>
      </c>
      <c r="J1966">
        <v>9.7289999999999992</v>
      </c>
    </row>
    <row r="1967" spans="1:10" x14ac:dyDescent="0.4">
      <c r="A1967">
        <v>8</v>
      </c>
      <c r="B1967">
        <v>-1E-3</v>
      </c>
      <c r="C1967">
        <v>1E-4</v>
      </c>
      <c r="D1967">
        <v>7.4000000000000003E-3</v>
      </c>
      <c r="E1967">
        <v>0.13220000000000001</v>
      </c>
      <c r="F1967">
        <v>0.51619999999999999</v>
      </c>
      <c r="G1967">
        <v>1.2695000000000001</v>
      </c>
      <c r="H1967">
        <v>2.3424999999999998</v>
      </c>
      <c r="I1967">
        <v>3.3950999999999998</v>
      </c>
      <c r="J1967">
        <v>5.4720000000000004</v>
      </c>
    </row>
    <row r="1968" spans="1:10" x14ac:dyDescent="0.4">
      <c r="A1968">
        <v>9</v>
      </c>
      <c r="B1968">
        <v>-1E-3</v>
      </c>
      <c r="C1968">
        <v>0</v>
      </c>
      <c r="D1968">
        <v>1.9E-3</v>
      </c>
      <c r="E1968">
        <v>4.3200000000000002E-2</v>
      </c>
      <c r="F1968">
        <v>0.20960000000000001</v>
      </c>
      <c r="G1968">
        <v>0.57150000000000001</v>
      </c>
      <c r="H1968">
        <v>1.0807</v>
      </c>
      <c r="I1968">
        <v>1.5681</v>
      </c>
      <c r="J1968">
        <v>2.8054000000000001</v>
      </c>
    </row>
    <row r="1969" spans="1:10" x14ac:dyDescent="0.4">
      <c r="A1969">
        <v>10</v>
      </c>
      <c r="B1969">
        <v>-1E-3</v>
      </c>
      <c r="C1969">
        <v>0</v>
      </c>
      <c r="D1969">
        <v>8.0000000000000004E-4</v>
      </c>
      <c r="E1969">
        <v>1.47E-2</v>
      </c>
      <c r="F1969">
        <v>8.4900000000000003E-2</v>
      </c>
      <c r="G1969">
        <v>0.27139999999999997</v>
      </c>
      <c r="H1969">
        <v>0.53120000000000001</v>
      </c>
      <c r="I1969">
        <v>0.78990000000000005</v>
      </c>
      <c r="J1969">
        <v>1.4439</v>
      </c>
    </row>
    <row r="1970" spans="1:10" x14ac:dyDescent="0.4">
      <c r="A1970">
        <v>11</v>
      </c>
      <c r="B1970">
        <v>-1E-3</v>
      </c>
      <c r="C1970">
        <v>0</v>
      </c>
      <c r="D1970">
        <v>2.0000000000000001E-4</v>
      </c>
      <c r="E1970">
        <v>4.7999999999999996E-3</v>
      </c>
      <c r="F1970">
        <v>3.2199999999999999E-2</v>
      </c>
      <c r="G1970">
        <v>0.1166</v>
      </c>
      <c r="H1970">
        <v>0.26919999999999999</v>
      </c>
      <c r="I1970">
        <v>0.37969999999999998</v>
      </c>
      <c r="J1970">
        <v>0.82930000000000004</v>
      </c>
    </row>
    <row r="1971" spans="1:10" x14ac:dyDescent="0.4">
      <c r="A1971">
        <v>12</v>
      </c>
      <c r="B1971">
        <v>-1E-3</v>
      </c>
      <c r="C1971">
        <v>0</v>
      </c>
      <c r="D1971">
        <v>0</v>
      </c>
      <c r="E1971">
        <v>1.6999999999999999E-3</v>
      </c>
      <c r="F1971">
        <v>1.41E-2</v>
      </c>
      <c r="G1971">
        <v>6.0999999999999999E-2</v>
      </c>
      <c r="H1971">
        <v>0.1241</v>
      </c>
      <c r="I1971">
        <v>0.21640000000000001</v>
      </c>
      <c r="J1971">
        <v>0.47360000000000002</v>
      </c>
    </row>
    <row r="1972" spans="1:10" x14ac:dyDescent="0.4">
      <c r="A1972">
        <v>13</v>
      </c>
      <c r="B1972">
        <v>-1E-3</v>
      </c>
      <c r="C1972">
        <v>0</v>
      </c>
      <c r="D1972">
        <v>0</v>
      </c>
      <c r="E1972">
        <v>6.9999999999999999E-4</v>
      </c>
      <c r="F1972">
        <v>6.4000000000000003E-3</v>
      </c>
      <c r="G1972">
        <v>2.46E-2</v>
      </c>
      <c r="H1972">
        <v>6.2700000000000006E-2</v>
      </c>
      <c r="I1972">
        <v>0.1056</v>
      </c>
      <c r="J1972">
        <v>0.19040000000000001</v>
      </c>
    </row>
    <row r="1973" spans="1:10" x14ac:dyDescent="0.4">
      <c r="A1973">
        <v>14</v>
      </c>
      <c r="B1973">
        <v>-1E-3</v>
      </c>
      <c r="C1973">
        <v>0</v>
      </c>
      <c r="D1973">
        <v>0</v>
      </c>
      <c r="E1973">
        <v>2.9999999999999997E-4</v>
      </c>
      <c r="F1973">
        <v>2.7000000000000001E-3</v>
      </c>
      <c r="G1973">
        <v>1.2999999999999999E-2</v>
      </c>
      <c r="H1973">
        <v>3.5000000000000003E-2</v>
      </c>
      <c r="I1973">
        <v>5.2600000000000001E-2</v>
      </c>
      <c r="J1973">
        <v>0.10199999999999999</v>
      </c>
    </row>
    <row r="1974" spans="1:10" x14ac:dyDescent="0.4">
      <c r="A1974" t="s">
        <v>29</v>
      </c>
      <c r="B1974">
        <v>0</v>
      </c>
      <c r="C1974">
        <v>0</v>
      </c>
      <c r="D1974">
        <v>0</v>
      </c>
      <c r="E1974">
        <v>2.9999999999999997E-4</v>
      </c>
      <c r="F1974">
        <v>2.5000000000000001E-3</v>
      </c>
      <c r="G1974">
        <v>1.18E-2</v>
      </c>
      <c r="H1974">
        <v>3.5099999999999999E-2</v>
      </c>
      <c r="I1974">
        <v>6.9800000000000001E-2</v>
      </c>
      <c r="J1974">
        <v>0.1193</v>
      </c>
    </row>
    <row r="1976" spans="1:10" x14ac:dyDescent="0.4">
      <c r="A1976">
        <v>2074</v>
      </c>
    </row>
    <row r="1978" spans="1:10" x14ac:dyDescent="0.4">
      <c r="A1978" t="s">
        <v>0</v>
      </c>
      <c r="B1978" s="2">
        <v>0.01</v>
      </c>
      <c r="C1978" s="2">
        <v>0.05</v>
      </c>
      <c r="D1978" s="2">
        <v>0.1</v>
      </c>
      <c r="E1978" s="2">
        <v>0.25</v>
      </c>
      <c r="F1978" s="2">
        <v>0.5</v>
      </c>
      <c r="G1978" s="2">
        <v>0.75</v>
      </c>
      <c r="H1978" s="2">
        <v>0.9</v>
      </c>
      <c r="I1978" s="2">
        <v>0.95</v>
      </c>
      <c r="J1978" s="2">
        <v>0.99</v>
      </c>
    </row>
    <row r="1979" spans="1:10" x14ac:dyDescent="0.4">
      <c r="A1979">
        <v>1</v>
      </c>
      <c r="B1979">
        <v>68.4666</v>
      </c>
      <c r="C1979">
        <v>72.243399999999994</v>
      </c>
      <c r="D1979">
        <v>80.374899999999997</v>
      </c>
      <c r="E1979">
        <v>106.94670000000001</v>
      </c>
      <c r="F1979">
        <v>168.64230000000001</v>
      </c>
      <c r="G1979">
        <v>236.18620000000001</v>
      </c>
      <c r="H1979">
        <v>276.29579999999999</v>
      </c>
      <c r="I1979">
        <v>297.71260000000001</v>
      </c>
      <c r="J1979">
        <v>323.36430000000001</v>
      </c>
    </row>
    <row r="1980" spans="1:10" x14ac:dyDescent="0.4">
      <c r="A1980">
        <v>2</v>
      </c>
      <c r="B1980">
        <v>-1E-3</v>
      </c>
      <c r="C1980">
        <v>37.092300000000002</v>
      </c>
      <c r="D1980">
        <v>42.262300000000003</v>
      </c>
      <c r="E1980">
        <v>58.787199999999999</v>
      </c>
      <c r="F1980">
        <v>97.370999999999995</v>
      </c>
      <c r="G1980">
        <v>139.03659999999999</v>
      </c>
      <c r="H1980">
        <v>170.34620000000001</v>
      </c>
      <c r="I1980">
        <v>184.98570000000001</v>
      </c>
      <c r="J1980">
        <v>211.65020000000001</v>
      </c>
    </row>
    <row r="1981" spans="1:10" x14ac:dyDescent="0.4">
      <c r="A1981">
        <v>3</v>
      </c>
      <c r="B1981">
        <v>-1E-3</v>
      </c>
      <c r="C1981">
        <v>8.5859000000000005</v>
      </c>
      <c r="D1981">
        <v>19.0138</v>
      </c>
      <c r="E1981">
        <v>27.5199</v>
      </c>
      <c r="F1981">
        <v>49.388199999999998</v>
      </c>
      <c r="G1981">
        <v>74.119600000000005</v>
      </c>
      <c r="H1981">
        <v>89.224000000000004</v>
      </c>
      <c r="I1981">
        <v>99.647000000000006</v>
      </c>
      <c r="J1981">
        <v>119.2787</v>
      </c>
    </row>
    <row r="1982" spans="1:10" x14ac:dyDescent="0.4">
      <c r="A1982">
        <v>4</v>
      </c>
      <c r="B1982">
        <v>-1E-3</v>
      </c>
      <c r="C1982">
        <v>0.70499999999999996</v>
      </c>
      <c r="D1982">
        <v>4.7750000000000004</v>
      </c>
      <c r="E1982">
        <v>10.962899999999999</v>
      </c>
      <c r="F1982">
        <v>20.729900000000001</v>
      </c>
      <c r="G1982">
        <v>32.3185</v>
      </c>
      <c r="H1982">
        <v>45.750500000000002</v>
      </c>
      <c r="I1982">
        <v>51.6477</v>
      </c>
      <c r="J1982">
        <v>65.503</v>
      </c>
    </row>
    <row r="1983" spans="1:10" x14ac:dyDescent="0.4">
      <c r="A1983">
        <v>5</v>
      </c>
      <c r="B1983">
        <v>-1E-3</v>
      </c>
      <c r="C1983">
        <v>7.9100000000000004E-2</v>
      </c>
      <c r="D1983">
        <v>0.97899999999999998</v>
      </c>
      <c r="E1983">
        <v>3.7092000000000001</v>
      </c>
      <c r="F1983">
        <v>8.1541999999999994</v>
      </c>
      <c r="G1983">
        <v>15.4823</v>
      </c>
      <c r="H1983">
        <v>22.058700000000002</v>
      </c>
      <c r="I1983">
        <v>26.460599999999999</v>
      </c>
      <c r="J1983">
        <v>37.130299999999998</v>
      </c>
    </row>
    <row r="1984" spans="1:10" x14ac:dyDescent="0.4">
      <c r="A1984">
        <v>6</v>
      </c>
      <c r="B1984">
        <v>-1E-3</v>
      </c>
      <c r="C1984">
        <v>3.8E-3</v>
      </c>
      <c r="D1984">
        <v>0.16200000000000001</v>
      </c>
      <c r="E1984">
        <v>1.2128000000000001</v>
      </c>
      <c r="F1984">
        <v>3.1631999999999998</v>
      </c>
      <c r="G1984">
        <v>6.5822000000000003</v>
      </c>
      <c r="H1984">
        <v>10.570499999999999</v>
      </c>
      <c r="I1984">
        <v>13.6821</v>
      </c>
      <c r="J1984">
        <v>18.743200000000002</v>
      </c>
    </row>
    <row r="1985" spans="1:10" x14ac:dyDescent="0.4">
      <c r="A1985">
        <v>7</v>
      </c>
      <c r="B1985">
        <v>-1E-3</v>
      </c>
      <c r="C1985">
        <v>5.9999999999999995E-4</v>
      </c>
      <c r="D1985">
        <v>0.03</v>
      </c>
      <c r="E1985">
        <v>0.43080000000000002</v>
      </c>
      <c r="F1985">
        <v>1.2050000000000001</v>
      </c>
      <c r="G1985">
        <v>2.9197000000000002</v>
      </c>
      <c r="H1985">
        <v>5.2729999999999997</v>
      </c>
      <c r="I1985">
        <v>6.6375000000000002</v>
      </c>
      <c r="J1985">
        <v>9.4337999999999997</v>
      </c>
    </row>
    <row r="1986" spans="1:10" x14ac:dyDescent="0.4">
      <c r="A1986">
        <v>8</v>
      </c>
      <c r="B1986">
        <v>-1E-3</v>
      </c>
      <c r="C1986">
        <v>1E-4</v>
      </c>
      <c r="D1986">
        <v>6.7999999999999996E-3</v>
      </c>
      <c r="E1986">
        <v>0.13039999999999999</v>
      </c>
      <c r="F1986">
        <v>0.51519999999999999</v>
      </c>
      <c r="G1986">
        <v>1.292</v>
      </c>
      <c r="H1986">
        <v>2.3616999999999999</v>
      </c>
      <c r="I1986">
        <v>3.1718999999999999</v>
      </c>
      <c r="J1986">
        <v>5.3280000000000003</v>
      </c>
    </row>
    <row r="1987" spans="1:10" x14ac:dyDescent="0.4">
      <c r="A1987">
        <v>9</v>
      </c>
      <c r="B1987">
        <v>-1E-3</v>
      </c>
      <c r="C1987">
        <v>0</v>
      </c>
      <c r="D1987">
        <v>1.4E-3</v>
      </c>
      <c r="E1987">
        <v>4.2099999999999999E-2</v>
      </c>
      <c r="F1987">
        <v>0.20930000000000001</v>
      </c>
      <c r="G1987">
        <v>0.56489999999999996</v>
      </c>
      <c r="H1987">
        <v>1.1339999999999999</v>
      </c>
      <c r="I1987">
        <v>1.6660999999999999</v>
      </c>
      <c r="J1987">
        <v>2.9</v>
      </c>
    </row>
    <row r="1988" spans="1:10" x14ac:dyDescent="0.4">
      <c r="A1988">
        <v>10</v>
      </c>
      <c r="B1988">
        <v>-1E-3</v>
      </c>
      <c r="C1988">
        <v>0</v>
      </c>
      <c r="D1988">
        <v>5.9999999999999995E-4</v>
      </c>
      <c r="E1988">
        <v>1.4800000000000001E-2</v>
      </c>
      <c r="F1988">
        <v>8.77E-2</v>
      </c>
      <c r="G1988">
        <v>0.2671</v>
      </c>
      <c r="H1988">
        <v>0.52990000000000004</v>
      </c>
      <c r="I1988">
        <v>0.8095</v>
      </c>
      <c r="J1988">
        <v>1.4646999999999999</v>
      </c>
    </row>
    <row r="1989" spans="1:10" x14ac:dyDescent="0.4">
      <c r="A1989">
        <v>11</v>
      </c>
      <c r="B1989">
        <v>-1E-3</v>
      </c>
      <c r="C1989">
        <v>0</v>
      </c>
      <c r="D1989">
        <v>2.0000000000000001E-4</v>
      </c>
      <c r="E1989">
        <v>5.1999999999999998E-3</v>
      </c>
      <c r="F1989">
        <v>3.5799999999999998E-2</v>
      </c>
      <c r="G1989">
        <v>0.1207</v>
      </c>
      <c r="H1989">
        <v>0.26500000000000001</v>
      </c>
      <c r="I1989">
        <v>0.41270000000000001</v>
      </c>
      <c r="J1989">
        <v>0.74570000000000003</v>
      </c>
    </row>
    <row r="1990" spans="1:10" x14ac:dyDescent="0.4">
      <c r="A1990">
        <v>12</v>
      </c>
      <c r="B1990">
        <v>-1E-3</v>
      </c>
      <c r="C1990">
        <v>0</v>
      </c>
      <c r="D1990">
        <v>0</v>
      </c>
      <c r="E1990">
        <v>1.6999999999999999E-3</v>
      </c>
      <c r="F1990">
        <v>1.38E-2</v>
      </c>
      <c r="G1990">
        <v>5.4300000000000001E-2</v>
      </c>
      <c r="H1990">
        <v>0.1381</v>
      </c>
      <c r="I1990">
        <v>0.1988</v>
      </c>
      <c r="J1990">
        <v>0.45540000000000003</v>
      </c>
    </row>
    <row r="1991" spans="1:10" x14ac:dyDescent="0.4">
      <c r="A1991">
        <v>13</v>
      </c>
      <c r="B1991">
        <v>-1E-3</v>
      </c>
      <c r="C1991">
        <v>0</v>
      </c>
      <c r="D1991">
        <v>0</v>
      </c>
      <c r="E1991">
        <v>6.9999999999999999E-4</v>
      </c>
      <c r="F1991">
        <v>6.0000000000000001E-3</v>
      </c>
      <c r="G1991">
        <v>2.8899999999999999E-2</v>
      </c>
      <c r="H1991">
        <v>6.2799999999999995E-2</v>
      </c>
      <c r="I1991">
        <v>0.1101</v>
      </c>
      <c r="J1991">
        <v>0.24859999999999999</v>
      </c>
    </row>
    <row r="1992" spans="1:10" x14ac:dyDescent="0.4">
      <c r="A1992">
        <v>14</v>
      </c>
      <c r="B1992">
        <v>-1E-3</v>
      </c>
      <c r="C1992">
        <v>0</v>
      </c>
      <c r="D1992">
        <v>0</v>
      </c>
      <c r="E1992">
        <v>2.9999999999999997E-4</v>
      </c>
      <c r="F1992">
        <v>2.7000000000000001E-3</v>
      </c>
      <c r="G1992">
        <v>1.1599999999999999E-2</v>
      </c>
      <c r="H1992">
        <v>3.2199999999999999E-2</v>
      </c>
      <c r="I1992">
        <v>5.4899999999999997E-2</v>
      </c>
      <c r="J1992">
        <v>0.10299999999999999</v>
      </c>
    </row>
    <row r="1993" spans="1:10" x14ac:dyDescent="0.4">
      <c r="A1993" t="s">
        <v>29</v>
      </c>
      <c r="B1993">
        <v>0</v>
      </c>
      <c r="C1993">
        <v>0</v>
      </c>
      <c r="D1993">
        <v>0</v>
      </c>
      <c r="E1993">
        <v>2.0000000000000001E-4</v>
      </c>
      <c r="F1993">
        <v>2.5000000000000001E-3</v>
      </c>
      <c r="G1993">
        <v>1.24E-2</v>
      </c>
      <c r="H1993">
        <v>3.7699999999999997E-2</v>
      </c>
      <c r="I1993">
        <v>6.4899999999999999E-2</v>
      </c>
      <c r="J1993">
        <v>0.1159</v>
      </c>
    </row>
    <row r="1995" spans="1:10" x14ac:dyDescent="0.4">
      <c r="A1995">
        <v>2075</v>
      </c>
    </row>
    <row r="1997" spans="1:10" x14ac:dyDescent="0.4">
      <c r="A1997" t="s">
        <v>0</v>
      </c>
      <c r="B1997" s="2">
        <v>0.01</v>
      </c>
      <c r="C1997" s="2">
        <v>0.05</v>
      </c>
      <c r="D1997" s="2">
        <v>0.1</v>
      </c>
      <c r="E1997" s="2">
        <v>0.25</v>
      </c>
      <c r="F1997" s="2">
        <v>0.5</v>
      </c>
      <c r="G1997" s="2">
        <v>0.75</v>
      </c>
      <c r="H1997" s="2">
        <v>0.9</v>
      </c>
      <c r="I1997" s="2">
        <v>0.95</v>
      </c>
      <c r="J1997" s="2">
        <v>0.99</v>
      </c>
    </row>
    <row r="1998" spans="1:10" x14ac:dyDescent="0.4">
      <c r="A1998">
        <v>1</v>
      </c>
      <c r="B1998">
        <v>68.575299999999999</v>
      </c>
      <c r="C1998">
        <v>71.318799999999996</v>
      </c>
      <c r="D1998">
        <v>78.851200000000006</v>
      </c>
      <c r="E1998">
        <v>105.4175</v>
      </c>
      <c r="F1998">
        <v>168.33600000000001</v>
      </c>
      <c r="G1998">
        <v>236.4349</v>
      </c>
      <c r="H1998">
        <v>275.65089999999998</v>
      </c>
      <c r="I1998">
        <v>301.10770000000002</v>
      </c>
      <c r="J1998">
        <v>370.19069999999999</v>
      </c>
    </row>
    <row r="1999" spans="1:10" x14ac:dyDescent="0.4">
      <c r="A1999">
        <v>2</v>
      </c>
      <c r="B1999">
        <v>-1E-3</v>
      </c>
      <c r="C1999">
        <v>39.4741</v>
      </c>
      <c r="D1999">
        <v>44.863</v>
      </c>
      <c r="E1999">
        <v>60.484999999999999</v>
      </c>
      <c r="F1999">
        <v>97.375100000000003</v>
      </c>
      <c r="G1999">
        <v>136.76240000000001</v>
      </c>
      <c r="H1999">
        <v>164.43940000000001</v>
      </c>
      <c r="I1999">
        <v>175.64400000000001</v>
      </c>
      <c r="J1999">
        <v>201.18719999999999</v>
      </c>
    </row>
    <row r="2000" spans="1:10" x14ac:dyDescent="0.4">
      <c r="A2000">
        <v>3</v>
      </c>
      <c r="B2000">
        <v>-1E-3</v>
      </c>
      <c r="C2000">
        <v>8.4756</v>
      </c>
      <c r="D2000">
        <v>18.3291</v>
      </c>
      <c r="E2000">
        <v>27.116399999999999</v>
      </c>
      <c r="F2000">
        <v>48.4923</v>
      </c>
      <c r="G2000">
        <v>72.648899999999998</v>
      </c>
      <c r="H2000">
        <v>92.728499999999997</v>
      </c>
      <c r="I2000">
        <v>101.542</v>
      </c>
      <c r="J2000">
        <v>125.6605</v>
      </c>
    </row>
    <row r="2001" spans="1:10" x14ac:dyDescent="0.4">
      <c r="A2001">
        <v>4</v>
      </c>
      <c r="B2001">
        <v>-1E-3</v>
      </c>
      <c r="C2001">
        <v>0.42759999999999998</v>
      </c>
      <c r="D2001">
        <v>5.0911999999999997</v>
      </c>
      <c r="E2001">
        <v>11.017799999999999</v>
      </c>
      <c r="F2001">
        <v>21.034099999999999</v>
      </c>
      <c r="G2001">
        <v>34.5107</v>
      </c>
      <c r="H2001">
        <v>45.923400000000001</v>
      </c>
      <c r="I2001">
        <v>51.173400000000001</v>
      </c>
      <c r="J2001">
        <v>63.492199999999997</v>
      </c>
    </row>
    <row r="2002" spans="1:10" x14ac:dyDescent="0.4">
      <c r="A2002">
        <v>5</v>
      </c>
      <c r="B2002">
        <v>-1E-3</v>
      </c>
      <c r="C2002">
        <v>0.03</v>
      </c>
      <c r="D2002">
        <v>0.9849</v>
      </c>
      <c r="E2002">
        <v>3.6063000000000001</v>
      </c>
      <c r="F2002">
        <v>8.3277999999999999</v>
      </c>
      <c r="G2002">
        <v>14.345000000000001</v>
      </c>
      <c r="H2002">
        <v>22.0154</v>
      </c>
      <c r="I2002">
        <v>25.869199999999999</v>
      </c>
      <c r="J2002">
        <v>35.048200000000001</v>
      </c>
    </row>
    <row r="2003" spans="1:10" x14ac:dyDescent="0.4">
      <c r="A2003">
        <v>6</v>
      </c>
      <c r="B2003">
        <v>-1E-3</v>
      </c>
      <c r="C2003">
        <v>3.3999999999999998E-3</v>
      </c>
      <c r="D2003">
        <v>0.17660000000000001</v>
      </c>
      <c r="E2003">
        <v>1.2212000000000001</v>
      </c>
      <c r="F2003">
        <v>3.3368000000000002</v>
      </c>
      <c r="G2003">
        <v>6.8220999999999998</v>
      </c>
      <c r="H2003">
        <v>10.559699999999999</v>
      </c>
      <c r="I2003">
        <v>13.136200000000001</v>
      </c>
      <c r="J2003">
        <v>19.049299999999999</v>
      </c>
    </row>
    <row r="2004" spans="1:10" x14ac:dyDescent="0.4">
      <c r="A2004">
        <v>7</v>
      </c>
      <c r="B2004">
        <v>-1E-3</v>
      </c>
      <c r="C2004">
        <v>4.0000000000000002E-4</v>
      </c>
      <c r="D2004">
        <v>3.1600000000000003E-2</v>
      </c>
      <c r="E2004">
        <v>0.39300000000000002</v>
      </c>
      <c r="F2004">
        <v>1.2813000000000001</v>
      </c>
      <c r="G2004">
        <v>2.9197000000000002</v>
      </c>
      <c r="H2004">
        <v>4.9015000000000004</v>
      </c>
      <c r="I2004">
        <v>6.6839000000000004</v>
      </c>
      <c r="J2004">
        <v>10.122999999999999</v>
      </c>
    </row>
    <row r="2005" spans="1:10" x14ac:dyDescent="0.4">
      <c r="A2005">
        <v>8</v>
      </c>
      <c r="B2005">
        <v>-1E-3</v>
      </c>
      <c r="C2005">
        <v>0</v>
      </c>
      <c r="D2005">
        <v>5.3E-3</v>
      </c>
      <c r="E2005">
        <v>0.13569999999999999</v>
      </c>
      <c r="F2005">
        <v>0.50449999999999995</v>
      </c>
      <c r="G2005">
        <v>1.3134999999999999</v>
      </c>
      <c r="H2005">
        <v>2.5158999999999998</v>
      </c>
      <c r="I2005">
        <v>3.3338999999999999</v>
      </c>
      <c r="J2005">
        <v>4.7474999999999996</v>
      </c>
    </row>
    <row r="2006" spans="1:10" x14ac:dyDescent="0.4">
      <c r="A2006">
        <v>9</v>
      </c>
      <c r="B2006">
        <v>-1E-3</v>
      </c>
      <c r="C2006">
        <v>0</v>
      </c>
      <c r="D2006">
        <v>1.1000000000000001E-3</v>
      </c>
      <c r="E2006">
        <v>4.4299999999999999E-2</v>
      </c>
      <c r="F2006">
        <v>0.22009999999999999</v>
      </c>
      <c r="G2006">
        <v>0.59209999999999996</v>
      </c>
      <c r="H2006">
        <v>1.1518999999999999</v>
      </c>
      <c r="I2006">
        <v>1.5826</v>
      </c>
      <c r="J2006">
        <v>2.7421000000000002</v>
      </c>
    </row>
    <row r="2007" spans="1:10" x14ac:dyDescent="0.4">
      <c r="A2007">
        <v>10</v>
      </c>
      <c r="B2007">
        <v>-1E-3</v>
      </c>
      <c r="C2007">
        <v>0</v>
      </c>
      <c r="D2007">
        <v>5.0000000000000001E-4</v>
      </c>
      <c r="E2007">
        <v>1.43E-2</v>
      </c>
      <c r="F2007">
        <v>8.8099999999999998E-2</v>
      </c>
      <c r="G2007">
        <v>0.27239999999999998</v>
      </c>
      <c r="H2007">
        <v>0.55110000000000003</v>
      </c>
      <c r="I2007">
        <v>0.86150000000000004</v>
      </c>
      <c r="J2007">
        <v>1.5424</v>
      </c>
    </row>
    <row r="2008" spans="1:10" x14ac:dyDescent="0.4">
      <c r="A2008">
        <v>11</v>
      </c>
      <c r="B2008">
        <v>-1E-3</v>
      </c>
      <c r="C2008">
        <v>0</v>
      </c>
      <c r="D2008">
        <v>1E-4</v>
      </c>
      <c r="E2008">
        <v>5.1000000000000004E-3</v>
      </c>
      <c r="F2008">
        <v>3.7999999999999999E-2</v>
      </c>
      <c r="G2008">
        <v>0.1246</v>
      </c>
      <c r="H2008">
        <v>0.2742</v>
      </c>
      <c r="I2008">
        <v>0.41839999999999999</v>
      </c>
      <c r="J2008">
        <v>0.7772</v>
      </c>
    </row>
    <row r="2009" spans="1:10" x14ac:dyDescent="0.4">
      <c r="A2009">
        <v>12</v>
      </c>
      <c r="B2009">
        <v>-1E-3</v>
      </c>
      <c r="C2009">
        <v>0</v>
      </c>
      <c r="D2009">
        <v>0</v>
      </c>
      <c r="E2009">
        <v>1.9E-3</v>
      </c>
      <c r="F2009">
        <v>1.4800000000000001E-2</v>
      </c>
      <c r="G2009">
        <v>5.7500000000000002E-2</v>
      </c>
      <c r="H2009">
        <v>0.13370000000000001</v>
      </c>
      <c r="I2009">
        <v>0.21260000000000001</v>
      </c>
      <c r="J2009">
        <v>0.39810000000000001</v>
      </c>
    </row>
    <row r="2010" spans="1:10" x14ac:dyDescent="0.4">
      <c r="A2010">
        <v>13</v>
      </c>
      <c r="B2010">
        <v>-1E-3</v>
      </c>
      <c r="C2010">
        <v>0</v>
      </c>
      <c r="D2010">
        <v>0</v>
      </c>
      <c r="E2010">
        <v>6.9999999999999999E-4</v>
      </c>
      <c r="F2010">
        <v>5.5999999999999999E-3</v>
      </c>
      <c r="G2010">
        <v>2.5899999999999999E-2</v>
      </c>
      <c r="H2010">
        <v>7.1400000000000005E-2</v>
      </c>
      <c r="I2010">
        <v>0.1037</v>
      </c>
      <c r="J2010">
        <v>0.2306</v>
      </c>
    </row>
    <row r="2011" spans="1:10" x14ac:dyDescent="0.4">
      <c r="A2011">
        <v>14</v>
      </c>
      <c r="B2011">
        <v>-1E-3</v>
      </c>
      <c r="C2011">
        <v>0</v>
      </c>
      <c r="D2011">
        <v>0</v>
      </c>
      <c r="E2011">
        <v>2.9999999999999997E-4</v>
      </c>
      <c r="F2011">
        <v>2.7000000000000001E-3</v>
      </c>
      <c r="G2011">
        <v>1.34E-2</v>
      </c>
      <c r="H2011">
        <v>3.0800000000000001E-2</v>
      </c>
      <c r="I2011">
        <v>5.6500000000000002E-2</v>
      </c>
      <c r="J2011">
        <v>0.12839999999999999</v>
      </c>
    </row>
    <row r="2012" spans="1:10" x14ac:dyDescent="0.4">
      <c r="A2012" t="s">
        <v>29</v>
      </c>
      <c r="B2012">
        <v>0</v>
      </c>
      <c r="C2012">
        <v>0</v>
      </c>
      <c r="D2012">
        <v>0</v>
      </c>
      <c r="E2012">
        <v>2.9999999999999997E-4</v>
      </c>
      <c r="F2012">
        <v>2.5000000000000001E-3</v>
      </c>
      <c r="G2012">
        <v>1.1299999999999999E-2</v>
      </c>
      <c r="H2012">
        <v>3.44E-2</v>
      </c>
      <c r="I2012">
        <v>6.0499999999999998E-2</v>
      </c>
      <c r="J2012">
        <v>0.13189999999999999</v>
      </c>
    </row>
    <row r="2014" spans="1:10" x14ac:dyDescent="0.4">
      <c r="A2014" t="s">
        <v>21</v>
      </c>
      <c r="B2014" t="s">
        <v>10</v>
      </c>
      <c r="C2014" t="s">
        <v>3</v>
      </c>
      <c r="D2014" t="s">
        <v>6</v>
      </c>
      <c r="E2014" t="s">
        <v>23</v>
      </c>
      <c r="F2014" t="s">
        <v>20</v>
      </c>
      <c r="G2014">
        <v>3.66</v>
      </c>
      <c r="H2014" t="s">
        <v>28</v>
      </c>
      <c r="I2014" t="s">
        <v>27</v>
      </c>
    </row>
    <row r="2016" spans="1:10" x14ac:dyDescent="0.4">
      <c r="A2016" t="s">
        <v>22</v>
      </c>
      <c r="B2016" t="s">
        <v>21</v>
      </c>
    </row>
    <row r="2018" spans="1:2" x14ac:dyDescent="0.4">
      <c r="A2018">
        <v>2021</v>
      </c>
      <c r="B2018">
        <v>5.8999999999999997E-2</v>
      </c>
    </row>
    <row r="2019" spans="1:2" x14ac:dyDescent="0.4">
      <c r="A2019">
        <v>2022</v>
      </c>
      <c r="B2019">
        <v>0.65500000000000003</v>
      </c>
    </row>
    <row r="2020" spans="1:2" x14ac:dyDescent="0.4">
      <c r="A2020">
        <v>2023</v>
      </c>
      <c r="B2020">
        <v>0.94199999999999995</v>
      </c>
    </row>
    <row r="2021" spans="1:2" x14ac:dyDescent="0.4">
      <c r="A2021">
        <v>2024</v>
      </c>
      <c r="B2021">
        <v>0.91400000000000003</v>
      </c>
    </row>
    <row r="2022" spans="1:2" x14ac:dyDescent="0.4">
      <c r="A2022">
        <v>2025</v>
      </c>
      <c r="B2022">
        <v>0.82499999999999996</v>
      </c>
    </row>
    <row r="2023" spans="1:2" x14ac:dyDescent="0.4">
      <c r="A2023">
        <v>2026</v>
      </c>
      <c r="B2023">
        <v>0.76200000000000001</v>
      </c>
    </row>
    <row r="2024" spans="1:2" x14ac:dyDescent="0.4">
      <c r="A2024">
        <v>2027</v>
      </c>
      <c r="B2024">
        <v>0.70299999999999996</v>
      </c>
    </row>
    <row r="2025" spans="1:2" x14ac:dyDescent="0.4">
      <c r="A2025">
        <v>2028</v>
      </c>
      <c r="B2025">
        <v>0.66500000000000004</v>
      </c>
    </row>
    <row r="2026" spans="1:2" x14ac:dyDescent="0.4">
      <c r="A2026">
        <v>2029</v>
      </c>
      <c r="B2026">
        <v>0.625</v>
      </c>
    </row>
    <row r="2027" spans="1:2" x14ac:dyDescent="0.4">
      <c r="A2027">
        <v>2030</v>
      </c>
      <c r="B2027">
        <v>0.58699999999999997</v>
      </c>
    </row>
    <row r="2028" spans="1:2" x14ac:dyDescent="0.4">
      <c r="A2028">
        <v>2031</v>
      </c>
      <c r="B2028">
        <v>0.57499999999999996</v>
      </c>
    </row>
    <row r="2029" spans="1:2" x14ac:dyDescent="0.4">
      <c r="A2029">
        <v>2032</v>
      </c>
      <c r="B2029">
        <v>0.56000000000000005</v>
      </c>
    </row>
    <row r="2030" spans="1:2" x14ac:dyDescent="0.4">
      <c r="A2030">
        <v>2033</v>
      </c>
      <c r="B2030">
        <v>0.54600000000000004</v>
      </c>
    </row>
    <row r="2031" spans="1:2" x14ac:dyDescent="0.4">
      <c r="A2031">
        <v>2034</v>
      </c>
      <c r="B2031">
        <v>0.54200000000000004</v>
      </c>
    </row>
    <row r="2032" spans="1:2" x14ac:dyDescent="0.4">
      <c r="A2032">
        <v>2035</v>
      </c>
      <c r="B2032">
        <v>0.51700000000000002</v>
      </c>
    </row>
    <row r="2033" spans="1:2" x14ac:dyDescent="0.4">
      <c r="A2033">
        <v>2036</v>
      </c>
      <c r="B2033">
        <v>0.503</v>
      </c>
    </row>
    <row r="2034" spans="1:2" x14ac:dyDescent="0.4">
      <c r="A2034">
        <v>2037</v>
      </c>
      <c r="B2034">
        <v>0.48599999999999999</v>
      </c>
    </row>
    <row r="2035" spans="1:2" x14ac:dyDescent="0.4">
      <c r="A2035">
        <v>2038</v>
      </c>
      <c r="B2035">
        <v>0.49299999999999999</v>
      </c>
    </row>
    <row r="2036" spans="1:2" x14ac:dyDescent="0.4">
      <c r="A2036">
        <v>2039</v>
      </c>
      <c r="B2036">
        <v>0.49</v>
      </c>
    </row>
    <row r="2037" spans="1:2" x14ac:dyDescent="0.4">
      <c r="A2037">
        <v>2040</v>
      </c>
      <c r="B2037">
        <v>0.49099999999999999</v>
      </c>
    </row>
    <row r="2038" spans="1:2" x14ac:dyDescent="0.4">
      <c r="A2038">
        <v>2041</v>
      </c>
      <c r="B2038">
        <v>0.504</v>
      </c>
    </row>
    <row r="2039" spans="1:2" x14ac:dyDescent="0.4">
      <c r="A2039">
        <v>2042</v>
      </c>
      <c r="B2039">
        <v>0.496</v>
      </c>
    </row>
    <row r="2040" spans="1:2" x14ac:dyDescent="0.4">
      <c r="A2040">
        <v>2043</v>
      </c>
      <c r="B2040">
        <v>0.48899999999999999</v>
      </c>
    </row>
    <row r="2041" spans="1:2" x14ac:dyDescent="0.4">
      <c r="A2041">
        <v>2044</v>
      </c>
      <c r="B2041">
        <v>0.51</v>
      </c>
    </row>
    <row r="2042" spans="1:2" x14ac:dyDescent="0.4">
      <c r="A2042">
        <v>2045</v>
      </c>
      <c r="B2042">
        <v>0.50600000000000001</v>
      </c>
    </row>
    <row r="2043" spans="1:2" x14ac:dyDescent="0.4">
      <c r="A2043">
        <v>2046</v>
      </c>
      <c r="B2043">
        <v>0.48399999999999999</v>
      </c>
    </row>
    <row r="2044" spans="1:2" x14ac:dyDescent="0.4">
      <c r="A2044">
        <v>2047</v>
      </c>
      <c r="B2044">
        <v>0.497</v>
      </c>
    </row>
    <row r="2045" spans="1:2" x14ac:dyDescent="0.4">
      <c r="A2045">
        <v>2048</v>
      </c>
      <c r="B2045">
        <v>0.5</v>
      </c>
    </row>
    <row r="2046" spans="1:2" x14ac:dyDescent="0.4">
      <c r="A2046">
        <v>2049</v>
      </c>
      <c r="B2046">
        <v>0.496</v>
      </c>
    </row>
    <row r="2047" spans="1:2" x14ac:dyDescent="0.4">
      <c r="A2047">
        <v>2050</v>
      </c>
      <c r="B2047">
        <v>0.501</v>
      </c>
    </row>
    <row r="2048" spans="1:2" x14ac:dyDescent="0.4">
      <c r="A2048">
        <v>2051</v>
      </c>
      <c r="B2048">
        <v>0.49399999999999999</v>
      </c>
    </row>
    <row r="2049" spans="1:2" x14ac:dyDescent="0.4">
      <c r="A2049">
        <v>2052</v>
      </c>
      <c r="B2049">
        <v>0.48899999999999999</v>
      </c>
    </row>
    <row r="2050" spans="1:2" x14ac:dyDescent="0.4">
      <c r="A2050">
        <v>2053</v>
      </c>
      <c r="B2050">
        <v>0.50600000000000001</v>
      </c>
    </row>
    <row r="2051" spans="1:2" x14ac:dyDescent="0.4">
      <c r="A2051">
        <v>2054</v>
      </c>
      <c r="B2051">
        <v>0.48699999999999999</v>
      </c>
    </row>
    <row r="2052" spans="1:2" x14ac:dyDescent="0.4">
      <c r="A2052">
        <v>2055</v>
      </c>
      <c r="B2052">
        <v>0.50800000000000001</v>
      </c>
    </row>
    <row r="2053" spans="1:2" x14ac:dyDescent="0.4">
      <c r="A2053">
        <v>2056</v>
      </c>
      <c r="B2053">
        <v>0.505</v>
      </c>
    </row>
    <row r="2054" spans="1:2" x14ac:dyDescent="0.4">
      <c r="A2054">
        <v>2057</v>
      </c>
      <c r="B2054">
        <v>0.503</v>
      </c>
    </row>
    <row r="2055" spans="1:2" x14ac:dyDescent="0.4">
      <c r="A2055">
        <v>2058</v>
      </c>
      <c r="B2055">
        <v>0.49</v>
      </c>
    </row>
    <row r="2056" spans="1:2" x14ac:dyDescent="0.4">
      <c r="A2056">
        <v>2059</v>
      </c>
      <c r="B2056">
        <v>0.505</v>
      </c>
    </row>
    <row r="2057" spans="1:2" x14ac:dyDescent="0.4">
      <c r="A2057">
        <v>2060</v>
      </c>
      <c r="B2057">
        <v>0.504</v>
      </c>
    </row>
    <row r="2058" spans="1:2" x14ac:dyDescent="0.4">
      <c r="A2058">
        <v>2061</v>
      </c>
      <c r="B2058">
        <v>0.49299999999999999</v>
      </c>
    </row>
    <row r="2059" spans="1:2" x14ac:dyDescent="0.4">
      <c r="A2059">
        <v>2062</v>
      </c>
      <c r="B2059">
        <v>0.48399999999999999</v>
      </c>
    </row>
    <row r="2060" spans="1:2" x14ac:dyDescent="0.4">
      <c r="A2060">
        <v>2063</v>
      </c>
      <c r="B2060">
        <v>0.46200000000000002</v>
      </c>
    </row>
    <row r="2061" spans="1:2" x14ac:dyDescent="0.4">
      <c r="A2061">
        <v>2064</v>
      </c>
      <c r="B2061">
        <v>0.48399999999999999</v>
      </c>
    </row>
    <row r="2062" spans="1:2" x14ac:dyDescent="0.4">
      <c r="A2062">
        <v>2065</v>
      </c>
      <c r="B2062">
        <v>0.47</v>
      </c>
    </row>
    <row r="2063" spans="1:2" x14ac:dyDescent="0.4">
      <c r="A2063">
        <v>2066</v>
      </c>
      <c r="B2063">
        <v>0.46300000000000002</v>
      </c>
    </row>
    <row r="2064" spans="1:2" x14ac:dyDescent="0.4">
      <c r="A2064">
        <v>2067</v>
      </c>
      <c r="B2064">
        <v>0.46400000000000002</v>
      </c>
    </row>
    <row r="2065" spans="1:8" x14ac:dyDescent="0.4">
      <c r="A2065">
        <v>2068</v>
      </c>
      <c r="B2065">
        <v>0.45400000000000001</v>
      </c>
    </row>
    <row r="2066" spans="1:8" x14ac:dyDescent="0.4">
      <c r="A2066">
        <v>2069</v>
      </c>
      <c r="B2066">
        <v>0.47399999999999998</v>
      </c>
    </row>
    <row r="2067" spans="1:8" x14ac:dyDescent="0.4">
      <c r="A2067">
        <v>2070</v>
      </c>
      <c r="B2067">
        <v>0.47499999999999998</v>
      </c>
    </row>
    <row r="2068" spans="1:8" x14ac:dyDescent="0.4">
      <c r="A2068">
        <v>2071</v>
      </c>
      <c r="B2068">
        <v>0.46100000000000002</v>
      </c>
    </row>
    <row r="2069" spans="1:8" x14ac:dyDescent="0.4">
      <c r="A2069">
        <v>2072</v>
      </c>
      <c r="B2069">
        <v>0.47199999999999998</v>
      </c>
    </row>
    <row r="2070" spans="1:8" x14ac:dyDescent="0.4">
      <c r="A2070">
        <v>2073</v>
      </c>
      <c r="B2070">
        <v>0.47399999999999998</v>
      </c>
    </row>
    <row r="2071" spans="1:8" x14ac:dyDescent="0.4">
      <c r="A2071">
        <v>2074</v>
      </c>
      <c r="B2071">
        <v>0.47799999999999998</v>
      </c>
    </row>
    <row r="2072" spans="1:8" x14ac:dyDescent="0.4">
      <c r="A2072">
        <v>2075</v>
      </c>
      <c r="B2072">
        <v>0.48899999999999999</v>
      </c>
    </row>
    <row r="2074" spans="1:8" x14ac:dyDescent="0.4">
      <c r="A2074" t="s">
        <v>21</v>
      </c>
      <c r="B2074" t="s">
        <v>20</v>
      </c>
      <c r="C2074" t="s">
        <v>19</v>
      </c>
      <c r="D2074" t="s">
        <v>1</v>
      </c>
      <c r="E2074" t="s">
        <v>18</v>
      </c>
      <c r="F2074" t="s">
        <v>17</v>
      </c>
      <c r="G2074" t="s">
        <v>13</v>
      </c>
      <c r="H2074">
        <v>0.999</v>
      </c>
    </row>
    <row r="2076" spans="1:8" x14ac:dyDescent="0.4">
      <c r="A2076" t="s">
        <v>21</v>
      </c>
      <c r="B2076" t="s">
        <v>26</v>
      </c>
      <c r="C2076" t="s">
        <v>25</v>
      </c>
      <c r="D2076" t="s">
        <v>24</v>
      </c>
      <c r="E2076" t="s">
        <v>23</v>
      </c>
      <c r="F2076" t="s">
        <v>20</v>
      </c>
      <c r="G2076">
        <v>0.84130000000000005</v>
      </c>
    </row>
    <row r="2078" spans="1:8" x14ac:dyDescent="0.4">
      <c r="A2078" t="s">
        <v>22</v>
      </c>
      <c r="B2078" t="s">
        <v>21</v>
      </c>
    </row>
    <row r="2080" spans="1:8" x14ac:dyDescent="0.4">
      <c r="A2080">
        <v>2021</v>
      </c>
      <c r="B2080">
        <v>8.9999999999999993E-3</v>
      </c>
    </row>
    <row r="2081" spans="1:2" x14ac:dyDescent="0.4">
      <c r="A2081">
        <v>2022</v>
      </c>
      <c r="B2081">
        <v>0</v>
      </c>
    </row>
    <row r="2082" spans="1:2" x14ac:dyDescent="0.4">
      <c r="A2082">
        <v>2023</v>
      </c>
      <c r="B2082">
        <v>0</v>
      </c>
    </row>
    <row r="2083" spans="1:2" x14ac:dyDescent="0.4">
      <c r="A2083">
        <v>2024</v>
      </c>
      <c r="B2083">
        <v>4.0000000000000001E-3</v>
      </c>
    </row>
    <row r="2084" spans="1:2" x14ac:dyDescent="0.4">
      <c r="A2084">
        <v>2025</v>
      </c>
      <c r="B2084">
        <v>4.4999999999999998E-2</v>
      </c>
    </row>
    <row r="2085" spans="1:2" x14ac:dyDescent="0.4">
      <c r="A2085">
        <v>2026</v>
      </c>
      <c r="B2085">
        <v>8.7999999999999995E-2</v>
      </c>
    </row>
    <row r="2086" spans="1:2" x14ac:dyDescent="0.4">
      <c r="A2086">
        <v>2027</v>
      </c>
      <c r="B2086">
        <v>0.13400000000000001</v>
      </c>
    </row>
    <row r="2087" spans="1:2" x14ac:dyDescent="0.4">
      <c r="A2087">
        <v>2028</v>
      </c>
      <c r="B2087">
        <v>0.16400000000000001</v>
      </c>
    </row>
    <row r="2088" spans="1:2" x14ac:dyDescent="0.4">
      <c r="A2088">
        <v>2029</v>
      </c>
      <c r="B2088">
        <v>0.19</v>
      </c>
    </row>
    <row r="2089" spans="1:2" x14ac:dyDescent="0.4">
      <c r="A2089">
        <v>2030</v>
      </c>
      <c r="B2089">
        <v>0.22900000000000001</v>
      </c>
    </row>
    <row r="2090" spans="1:2" x14ac:dyDescent="0.4">
      <c r="A2090">
        <v>2031</v>
      </c>
      <c r="B2090">
        <v>0.23499999999999999</v>
      </c>
    </row>
    <row r="2091" spans="1:2" x14ac:dyDescent="0.4">
      <c r="A2091">
        <v>2032</v>
      </c>
      <c r="B2091">
        <v>0.23400000000000001</v>
      </c>
    </row>
    <row r="2092" spans="1:2" x14ac:dyDescent="0.4">
      <c r="A2092">
        <v>2033</v>
      </c>
      <c r="B2092">
        <v>0.24099999999999999</v>
      </c>
    </row>
    <row r="2093" spans="1:2" x14ac:dyDescent="0.4">
      <c r="A2093">
        <v>2034</v>
      </c>
      <c r="B2093">
        <v>0.26</v>
      </c>
    </row>
    <row r="2094" spans="1:2" x14ac:dyDescent="0.4">
      <c r="A2094">
        <v>2035</v>
      </c>
      <c r="B2094">
        <v>0.26700000000000002</v>
      </c>
    </row>
    <row r="2095" spans="1:2" x14ac:dyDescent="0.4">
      <c r="A2095">
        <v>2036</v>
      </c>
      <c r="B2095">
        <v>0.28499999999999998</v>
      </c>
    </row>
    <row r="2096" spans="1:2" x14ac:dyDescent="0.4">
      <c r="A2096">
        <v>2037</v>
      </c>
      <c r="B2096">
        <v>0.28499999999999998</v>
      </c>
    </row>
    <row r="2097" spans="1:2" x14ac:dyDescent="0.4">
      <c r="A2097">
        <v>2038</v>
      </c>
      <c r="B2097">
        <v>0.3</v>
      </c>
    </row>
    <row r="2098" spans="1:2" x14ac:dyDescent="0.4">
      <c r="A2098">
        <v>2039</v>
      </c>
      <c r="B2098">
        <v>0.29899999999999999</v>
      </c>
    </row>
    <row r="2099" spans="1:2" x14ac:dyDescent="0.4">
      <c r="A2099">
        <v>2040</v>
      </c>
      <c r="B2099">
        <v>0.28199999999999997</v>
      </c>
    </row>
    <row r="2100" spans="1:2" x14ac:dyDescent="0.4">
      <c r="A2100">
        <v>2041</v>
      </c>
      <c r="B2100">
        <v>0.28299999999999997</v>
      </c>
    </row>
    <row r="2101" spans="1:2" x14ac:dyDescent="0.4">
      <c r="A2101">
        <v>2042</v>
      </c>
      <c r="B2101">
        <v>0.28100000000000003</v>
      </c>
    </row>
    <row r="2102" spans="1:2" x14ac:dyDescent="0.4">
      <c r="A2102">
        <v>2043</v>
      </c>
      <c r="B2102">
        <v>0.28000000000000003</v>
      </c>
    </row>
    <row r="2103" spans="1:2" x14ac:dyDescent="0.4">
      <c r="A2103">
        <v>2044</v>
      </c>
      <c r="B2103">
        <v>0.27800000000000002</v>
      </c>
    </row>
    <row r="2104" spans="1:2" x14ac:dyDescent="0.4">
      <c r="A2104">
        <v>2045</v>
      </c>
      <c r="B2104">
        <v>0.28599999999999998</v>
      </c>
    </row>
    <row r="2105" spans="1:2" x14ac:dyDescent="0.4">
      <c r="A2105">
        <v>2046</v>
      </c>
      <c r="B2105">
        <v>0.28999999999999998</v>
      </c>
    </row>
    <row r="2106" spans="1:2" x14ac:dyDescent="0.4">
      <c r="A2106">
        <v>2047</v>
      </c>
      <c r="B2106">
        <v>0.28599999999999998</v>
      </c>
    </row>
    <row r="2107" spans="1:2" x14ac:dyDescent="0.4">
      <c r="A2107">
        <v>2048</v>
      </c>
      <c r="B2107">
        <v>0.28499999999999998</v>
      </c>
    </row>
    <row r="2108" spans="1:2" x14ac:dyDescent="0.4">
      <c r="A2108">
        <v>2049</v>
      </c>
      <c r="B2108">
        <v>0.29499999999999998</v>
      </c>
    </row>
    <row r="2109" spans="1:2" x14ac:dyDescent="0.4">
      <c r="A2109">
        <v>2050</v>
      </c>
      <c r="B2109">
        <v>0.30099999999999999</v>
      </c>
    </row>
    <row r="2110" spans="1:2" x14ac:dyDescent="0.4">
      <c r="A2110">
        <v>2051</v>
      </c>
      <c r="B2110">
        <v>0.29299999999999998</v>
      </c>
    </row>
    <row r="2111" spans="1:2" x14ac:dyDescent="0.4">
      <c r="A2111">
        <v>2052</v>
      </c>
      <c r="B2111">
        <v>0.29699999999999999</v>
      </c>
    </row>
    <row r="2112" spans="1:2" x14ac:dyDescent="0.4">
      <c r="A2112">
        <v>2053</v>
      </c>
      <c r="B2112">
        <v>0.29699999999999999</v>
      </c>
    </row>
    <row r="2113" spans="1:2" x14ac:dyDescent="0.4">
      <c r="A2113">
        <v>2054</v>
      </c>
      <c r="B2113">
        <v>0.28000000000000003</v>
      </c>
    </row>
    <row r="2114" spans="1:2" x14ac:dyDescent="0.4">
      <c r="A2114">
        <v>2055</v>
      </c>
      <c r="B2114">
        <v>0.27600000000000002</v>
      </c>
    </row>
    <row r="2115" spans="1:2" x14ac:dyDescent="0.4">
      <c r="A2115">
        <v>2056</v>
      </c>
      <c r="B2115">
        <v>0.26400000000000001</v>
      </c>
    </row>
    <row r="2116" spans="1:2" x14ac:dyDescent="0.4">
      <c r="A2116">
        <v>2057</v>
      </c>
      <c r="B2116">
        <v>0.26800000000000002</v>
      </c>
    </row>
    <row r="2117" spans="1:2" x14ac:dyDescent="0.4">
      <c r="A2117">
        <v>2058</v>
      </c>
      <c r="B2117">
        <v>0.27200000000000002</v>
      </c>
    </row>
    <row r="2118" spans="1:2" x14ac:dyDescent="0.4">
      <c r="A2118">
        <v>2059</v>
      </c>
      <c r="B2118">
        <v>0.27300000000000002</v>
      </c>
    </row>
    <row r="2119" spans="1:2" x14ac:dyDescent="0.4">
      <c r="A2119">
        <v>2060</v>
      </c>
      <c r="B2119">
        <v>0.27800000000000002</v>
      </c>
    </row>
    <row r="2120" spans="1:2" x14ac:dyDescent="0.4">
      <c r="A2120">
        <v>2061</v>
      </c>
      <c r="B2120">
        <v>0.27700000000000002</v>
      </c>
    </row>
    <row r="2121" spans="1:2" x14ac:dyDescent="0.4">
      <c r="A2121">
        <v>2062</v>
      </c>
      <c r="B2121">
        <v>0.28799999999999998</v>
      </c>
    </row>
    <row r="2122" spans="1:2" x14ac:dyDescent="0.4">
      <c r="A2122">
        <v>2063</v>
      </c>
      <c r="B2122">
        <v>0.29399999999999998</v>
      </c>
    </row>
    <row r="2123" spans="1:2" x14ac:dyDescent="0.4">
      <c r="A2123">
        <v>2064</v>
      </c>
      <c r="B2123">
        <v>0.30299999999999999</v>
      </c>
    </row>
    <row r="2124" spans="1:2" x14ac:dyDescent="0.4">
      <c r="A2124">
        <v>2065</v>
      </c>
      <c r="B2124">
        <v>0.312</v>
      </c>
    </row>
    <row r="2125" spans="1:2" x14ac:dyDescent="0.4">
      <c r="A2125">
        <v>2066</v>
      </c>
      <c r="B2125">
        <v>0.308</v>
      </c>
    </row>
    <row r="2126" spans="1:2" x14ac:dyDescent="0.4">
      <c r="A2126">
        <v>2067</v>
      </c>
      <c r="B2126">
        <v>0.29799999999999999</v>
      </c>
    </row>
    <row r="2127" spans="1:2" x14ac:dyDescent="0.4">
      <c r="A2127">
        <v>2068</v>
      </c>
      <c r="B2127">
        <v>0.28899999999999998</v>
      </c>
    </row>
    <row r="2128" spans="1:2" x14ac:dyDescent="0.4">
      <c r="A2128">
        <v>2069</v>
      </c>
      <c r="B2128">
        <v>0.28399999999999997</v>
      </c>
    </row>
    <row r="2129" spans="1:56" x14ac:dyDescent="0.4">
      <c r="A2129">
        <v>2070</v>
      </c>
      <c r="B2129">
        <v>0.27900000000000003</v>
      </c>
    </row>
    <row r="2130" spans="1:56" x14ac:dyDescent="0.4">
      <c r="A2130">
        <v>2071</v>
      </c>
      <c r="B2130">
        <v>0.26700000000000002</v>
      </c>
    </row>
    <row r="2131" spans="1:56" x14ac:dyDescent="0.4">
      <c r="A2131">
        <v>2072</v>
      </c>
      <c r="B2131">
        <v>0.28499999999999998</v>
      </c>
    </row>
    <row r="2132" spans="1:56" x14ac:dyDescent="0.4">
      <c r="A2132">
        <v>2073</v>
      </c>
      <c r="B2132">
        <v>0.28499999999999998</v>
      </c>
    </row>
    <row r="2133" spans="1:56" x14ac:dyDescent="0.4">
      <c r="A2133">
        <v>2074</v>
      </c>
      <c r="B2133">
        <v>0.27800000000000002</v>
      </c>
    </row>
    <row r="2134" spans="1:56" x14ac:dyDescent="0.4">
      <c r="A2134">
        <v>2075</v>
      </c>
      <c r="B2134">
        <v>0.27</v>
      </c>
    </row>
    <row r="2136" spans="1:56" x14ac:dyDescent="0.4">
      <c r="A2136" t="s">
        <v>21</v>
      </c>
      <c r="B2136" t="s">
        <v>20</v>
      </c>
      <c r="C2136" t="s">
        <v>19</v>
      </c>
      <c r="D2136" t="s">
        <v>1</v>
      </c>
      <c r="E2136" t="s">
        <v>18</v>
      </c>
      <c r="F2136" t="s">
        <v>17</v>
      </c>
      <c r="G2136" t="s">
        <v>13</v>
      </c>
      <c r="H2136">
        <v>0.93400000000000005</v>
      </c>
    </row>
    <row r="2139" spans="1:56" x14ac:dyDescent="0.4">
      <c r="A2139" t="s">
        <v>16</v>
      </c>
      <c r="B2139" t="s">
        <v>14</v>
      </c>
      <c r="C2139" t="s">
        <v>15</v>
      </c>
    </row>
    <row r="2141" spans="1:56" x14ac:dyDescent="0.4">
      <c r="A2141" t="s">
        <v>14</v>
      </c>
      <c r="B2141" t="s">
        <v>13</v>
      </c>
      <c r="C2141">
        <v>40</v>
      </c>
      <c r="D2141" t="s">
        <v>12</v>
      </c>
    </row>
    <row r="2143" spans="1:56" x14ac:dyDescent="0.4">
      <c r="B2143">
        <v>2021</v>
      </c>
      <c r="C2143">
        <v>2022</v>
      </c>
      <c r="D2143">
        <v>2023</v>
      </c>
      <c r="E2143">
        <v>2024</v>
      </c>
      <c r="F2143">
        <v>2025</v>
      </c>
      <c r="G2143">
        <v>2026</v>
      </c>
      <c r="H2143">
        <v>2027</v>
      </c>
      <c r="I2143">
        <v>2028</v>
      </c>
      <c r="J2143">
        <v>2029</v>
      </c>
      <c r="K2143">
        <v>2030</v>
      </c>
      <c r="L2143">
        <v>2031</v>
      </c>
      <c r="M2143">
        <v>2032</v>
      </c>
      <c r="N2143">
        <v>2033</v>
      </c>
      <c r="O2143">
        <v>2034</v>
      </c>
      <c r="P2143">
        <v>2035</v>
      </c>
      <c r="Q2143">
        <v>2036</v>
      </c>
      <c r="R2143">
        <v>2037</v>
      </c>
      <c r="S2143">
        <v>2038</v>
      </c>
      <c r="T2143">
        <v>2039</v>
      </c>
      <c r="U2143">
        <v>2040</v>
      </c>
      <c r="V2143">
        <v>2041</v>
      </c>
      <c r="W2143">
        <v>2042</v>
      </c>
      <c r="X2143">
        <v>2043</v>
      </c>
      <c r="Y2143">
        <v>2044</v>
      </c>
      <c r="Z2143">
        <v>2045</v>
      </c>
      <c r="AA2143">
        <v>2046</v>
      </c>
      <c r="AB2143">
        <v>2047</v>
      </c>
      <c r="AC2143">
        <v>2048</v>
      </c>
      <c r="AD2143">
        <v>2049</v>
      </c>
      <c r="AE2143">
        <v>2050</v>
      </c>
      <c r="AF2143">
        <v>2051</v>
      </c>
      <c r="AG2143">
        <v>2052</v>
      </c>
      <c r="AH2143">
        <v>2053</v>
      </c>
      <c r="AI2143">
        <v>2054</v>
      </c>
      <c r="AJ2143">
        <v>2055</v>
      </c>
      <c r="AK2143">
        <v>2056</v>
      </c>
      <c r="AL2143">
        <v>2057</v>
      </c>
      <c r="AM2143">
        <v>2058</v>
      </c>
      <c r="AN2143">
        <v>2059</v>
      </c>
      <c r="AO2143">
        <v>2060</v>
      </c>
      <c r="AP2143">
        <v>2061</v>
      </c>
      <c r="AQ2143">
        <v>2062</v>
      </c>
      <c r="AR2143">
        <v>2063</v>
      </c>
      <c r="AS2143">
        <v>2064</v>
      </c>
      <c r="AT2143">
        <v>2065</v>
      </c>
      <c r="AU2143">
        <v>2066</v>
      </c>
      <c r="AV2143">
        <v>2067</v>
      </c>
      <c r="AW2143">
        <v>2068</v>
      </c>
      <c r="AX2143">
        <v>2069</v>
      </c>
      <c r="AY2143">
        <v>2070</v>
      </c>
      <c r="AZ2143">
        <v>2071</v>
      </c>
      <c r="BA2143">
        <v>2072</v>
      </c>
      <c r="BB2143">
        <v>2073</v>
      </c>
      <c r="BC2143">
        <v>2074</v>
      </c>
      <c r="BD2143">
        <v>2075</v>
      </c>
    </row>
    <row r="2145" spans="1:58" x14ac:dyDescent="0.4">
      <c r="A2145" t="s">
        <v>11</v>
      </c>
      <c r="B2145">
        <v>141.2131</v>
      </c>
      <c r="C2145">
        <v>141.53120000000001</v>
      </c>
      <c r="D2145">
        <v>134.5215</v>
      </c>
      <c r="E2145">
        <v>158.04820000000001</v>
      </c>
      <c r="F2145">
        <v>143.08860000000001</v>
      </c>
      <c r="G2145">
        <v>146.21539999999999</v>
      </c>
      <c r="H2145">
        <v>135.61420000000001</v>
      </c>
      <c r="I2145">
        <v>155.30840000000001</v>
      </c>
      <c r="J2145">
        <v>146.31010000000001</v>
      </c>
      <c r="K2145">
        <v>149.5044</v>
      </c>
      <c r="L2145">
        <v>153.92859999999999</v>
      </c>
      <c r="M2145">
        <v>144.63140000000001</v>
      </c>
      <c r="N2145">
        <v>153.45529999999999</v>
      </c>
      <c r="O2145">
        <v>141.05959999999999</v>
      </c>
      <c r="P2145">
        <v>137.79589999999999</v>
      </c>
      <c r="Q2145">
        <v>154.04560000000001</v>
      </c>
      <c r="R2145">
        <v>152.02289999999999</v>
      </c>
      <c r="S2145">
        <v>143.5059</v>
      </c>
      <c r="T2145">
        <v>145.28800000000001</v>
      </c>
      <c r="U2145">
        <v>150.05449999999999</v>
      </c>
      <c r="V2145">
        <v>148.70599999999999</v>
      </c>
      <c r="W2145">
        <v>140.23249999999999</v>
      </c>
      <c r="X2145">
        <v>142.10550000000001</v>
      </c>
      <c r="Y2145">
        <v>138.65299999999999</v>
      </c>
      <c r="Z2145">
        <v>145.3331</v>
      </c>
      <c r="AA2145">
        <v>144.40979999999999</v>
      </c>
      <c r="AB2145">
        <v>140.34559999999999</v>
      </c>
      <c r="AC2145">
        <v>143.8612</v>
      </c>
      <c r="AD2145">
        <v>143.69499999999999</v>
      </c>
      <c r="AE2145">
        <v>151.72460000000001</v>
      </c>
      <c r="AF2145">
        <v>129.39279999999999</v>
      </c>
      <c r="AG2145">
        <v>155.22730000000001</v>
      </c>
      <c r="AH2145">
        <v>150.13829999999999</v>
      </c>
      <c r="AI2145">
        <v>159.09790000000001</v>
      </c>
      <c r="AJ2145">
        <v>131.24119999999999</v>
      </c>
      <c r="AK2145">
        <v>154.86619999999999</v>
      </c>
      <c r="AL2145">
        <v>138.8887</v>
      </c>
      <c r="AM2145">
        <v>144.22730000000001</v>
      </c>
      <c r="AN2145">
        <v>136.4314</v>
      </c>
      <c r="AO2145">
        <v>130.81950000000001</v>
      </c>
      <c r="AP2145">
        <v>144.72479999999999</v>
      </c>
      <c r="AQ2145">
        <v>131.88310000000001</v>
      </c>
      <c r="AR2145">
        <v>137.02250000000001</v>
      </c>
      <c r="AS2145">
        <v>147.53460000000001</v>
      </c>
      <c r="AT2145">
        <v>147.482</v>
      </c>
      <c r="AU2145">
        <v>149.99369999999999</v>
      </c>
      <c r="AV2145">
        <v>143.58789999999999</v>
      </c>
      <c r="AW2145">
        <v>146.68209999999999</v>
      </c>
      <c r="AX2145">
        <v>144.333</v>
      </c>
      <c r="AY2145">
        <v>142.8561</v>
      </c>
      <c r="AZ2145">
        <v>154.14179999999999</v>
      </c>
      <c r="BA2145">
        <v>149.21029999999999</v>
      </c>
      <c r="BB2145">
        <v>147.81700000000001</v>
      </c>
      <c r="BC2145">
        <v>149.06549999999999</v>
      </c>
      <c r="BD2145">
        <v>136.01249999999999</v>
      </c>
    </row>
    <row r="2146" spans="1:58" x14ac:dyDescent="0.4">
      <c r="A2146" t="s">
        <v>10</v>
      </c>
      <c r="B2146" t="s">
        <v>3</v>
      </c>
      <c r="C2146" t="s">
        <v>6</v>
      </c>
      <c r="D2146">
        <v>2.5078</v>
      </c>
      <c r="E2146">
        <v>3.7839999999999998</v>
      </c>
      <c r="F2146">
        <v>5.1036999999999999</v>
      </c>
      <c r="G2146">
        <v>5.2153999999999998</v>
      </c>
      <c r="H2146">
        <v>4.9112999999999998</v>
      </c>
      <c r="I2146">
        <v>4.4931999999999999</v>
      </c>
      <c r="J2146">
        <v>4.1273</v>
      </c>
      <c r="K2146">
        <v>3.9952000000000001</v>
      </c>
      <c r="L2146">
        <v>3.7839</v>
      </c>
      <c r="M2146">
        <v>3.5985999999999998</v>
      </c>
      <c r="N2146">
        <v>3.5501</v>
      </c>
      <c r="O2146">
        <v>3.4683999999999999</v>
      </c>
      <c r="P2146">
        <v>3.3500999999999999</v>
      </c>
      <c r="Q2146">
        <v>3.2826</v>
      </c>
      <c r="R2146">
        <v>3.2488000000000001</v>
      </c>
      <c r="S2146">
        <v>3.169</v>
      </c>
      <c r="T2146">
        <v>3.0981000000000001</v>
      </c>
      <c r="U2146">
        <v>3.1301999999999999</v>
      </c>
      <c r="V2146">
        <v>3.13</v>
      </c>
      <c r="W2146">
        <v>3.1661000000000001</v>
      </c>
      <c r="X2146">
        <v>3.198</v>
      </c>
      <c r="Y2146">
        <v>3.1196000000000002</v>
      </c>
      <c r="Z2146">
        <v>3.1533000000000002</v>
      </c>
      <c r="AA2146">
        <v>3.1433</v>
      </c>
      <c r="AB2146">
        <v>3.0507</v>
      </c>
      <c r="AC2146">
        <v>3.1520000000000001</v>
      </c>
      <c r="AD2146">
        <v>3.1536</v>
      </c>
      <c r="AE2146">
        <v>3.1762999999999999</v>
      </c>
      <c r="AF2146">
        <v>3.0893999999999999</v>
      </c>
      <c r="AG2146">
        <v>3.1938</v>
      </c>
      <c r="AH2146">
        <v>3.0945</v>
      </c>
      <c r="AI2146">
        <v>3.0486</v>
      </c>
      <c r="AJ2146">
        <v>3.0623999999999998</v>
      </c>
      <c r="AK2146">
        <v>3.1154999999999999</v>
      </c>
      <c r="AL2146">
        <v>3.2025999999999999</v>
      </c>
      <c r="AM2146">
        <v>3.1787000000000001</v>
      </c>
      <c r="AN2146">
        <v>3.1423000000000001</v>
      </c>
      <c r="AO2146">
        <v>3.1867000000000001</v>
      </c>
      <c r="AP2146">
        <v>3.1025</v>
      </c>
      <c r="AQ2146">
        <v>3.0907</v>
      </c>
      <c r="AR2146">
        <v>3.1320000000000001</v>
      </c>
      <c r="AS2146">
        <v>3.1255000000000002</v>
      </c>
      <c r="AT2146">
        <v>3.0442</v>
      </c>
      <c r="AU2146">
        <v>2.9847999999999999</v>
      </c>
      <c r="AV2146">
        <v>2.9756</v>
      </c>
      <c r="AW2146">
        <v>2.9750000000000001</v>
      </c>
      <c r="AX2146">
        <v>2.9365000000000001</v>
      </c>
      <c r="AY2146">
        <v>3.0312000000000001</v>
      </c>
      <c r="AZ2146">
        <v>2.9889999999999999</v>
      </c>
      <c r="BA2146">
        <v>2.972</v>
      </c>
      <c r="BB2146">
        <v>3.0448</v>
      </c>
      <c r="BC2146">
        <v>2.9323999999999999</v>
      </c>
      <c r="BD2146">
        <v>3.0045999999999999</v>
      </c>
      <c r="BE2146">
        <v>3.0948000000000002</v>
      </c>
      <c r="BF2146">
        <v>3.1021999999999998</v>
      </c>
    </row>
    <row r="2147" spans="1:58" x14ac:dyDescent="0.4">
      <c r="A2147" s="1">
        <v>45658</v>
      </c>
      <c r="B2147" t="s">
        <v>3</v>
      </c>
      <c r="C2147" t="s">
        <v>6</v>
      </c>
      <c r="D2147">
        <v>8.8576999999999995</v>
      </c>
      <c r="E2147">
        <v>9.9351000000000003</v>
      </c>
      <c r="F2147">
        <v>10.7394</v>
      </c>
      <c r="G2147">
        <v>11.1648</v>
      </c>
      <c r="H2147">
        <v>10.898</v>
      </c>
      <c r="I2147">
        <v>10.3972</v>
      </c>
      <c r="J2147">
        <v>10.138199999999999</v>
      </c>
      <c r="K2147">
        <v>9.7272999999999996</v>
      </c>
      <c r="L2147">
        <v>9.4786000000000001</v>
      </c>
      <c r="M2147">
        <v>9.3858999999999995</v>
      </c>
      <c r="N2147">
        <v>9.1661999999999999</v>
      </c>
      <c r="O2147">
        <v>9.1656999999999993</v>
      </c>
      <c r="P2147">
        <v>8.9536999999999995</v>
      </c>
      <c r="Q2147">
        <v>8.9210999999999991</v>
      </c>
      <c r="R2147">
        <v>8.8091000000000008</v>
      </c>
      <c r="S2147">
        <v>8.7421000000000006</v>
      </c>
      <c r="T2147">
        <v>8.7711000000000006</v>
      </c>
      <c r="U2147">
        <v>8.6555999999999997</v>
      </c>
      <c r="V2147">
        <v>8.7203999999999997</v>
      </c>
      <c r="W2147">
        <v>8.8180999999999994</v>
      </c>
      <c r="X2147">
        <v>8.7703000000000007</v>
      </c>
      <c r="Y2147">
        <v>8.7925000000000004</v>
      </c>
      <c r="Z2147">
        <v>8.8370999999999995</v>
      </c>
      <c r="AA2147">
        <v>8.7178000000000004</v>
      </c>
      <c r="AB2147">
        <v>8.7652000000000001</v>
      </c>
      <c r="AC2147">
        <v>8.8158999999999992</v>
      </c>
      <c r="AD2147">
        <v>8.7294</v>
      </c>
      <c r="AE2147">
        <v>8.7629000000000001</v>
      </c>
      <c r="AF2147">
        <v>8.6882000000000001</v>
      </c>
      <c r="AG2147">
        <v>8.6778999999999993</v>
      </c>
      <c r="AH2147">
        <v>8.7117000000000004</v>
      </c>
      <c r="AI2147">
        <v>8.6245999999999992</v>
      </c>
      <c r="AJ2147">
        <v>8.7835000000000001</v>
      </c>
      <c r="AK2147">
        <v>8.8416999999999994</v>
      </c>
      <c r="AL2147">
        <v>8.9099000000000004</v>
      </c>
      <c r="AM2147">
        <v>8.7134999999999998</v>
      </c>
      <c r="AN2147">
        <v>8.7142999999999997</v>
      </c>
      <c r="AO2147">
        <v>8.6464999999999996</v>
      </c>
      <c r="AP2147">
        <v>8.7231000000000005</v>
      </c>
      <c r="AQ2147">
        <v>8.6498000000000008</v>
      </c>
      <c r="AR2147">
        <v>8.5701999999999998</v>
      </c>
      <c r="AS2147">
        <v>8.6569000000000003</v>
      </c>
      <c r="AT2147">
        <v>8.5554000000000006</v>
      </c>
      <c r="AU2147">
        <v>8.5928000000000004</v>
      </c>
      <c r="AV2147">
        <v>8.5131999999999994</v>
      </c>
      <c r="AW2147">
        <v>8.4984999999999999</v>
      </c>
      <c r="AX2147">
        <v>8.5051000000000005</v>
      </c>
      <c r="AY2147">
        <v>8.4956999999999994</v>
      </c>
      <c r="AZ2147">
        <v>8.5835000000000008</v>
      </c>
      <c r="BA2147">
        <v>8.5936000000000003</v>
      </c>
      <c r="BB2147">
        <v>8.4636999999999993</v>
      </c>
      <c r="BC2147">
        <v>8.5478000000000005</v>
      </c>
      <c r="BD2147">
        <v>8.7370999999999999</v>
      </c>
      <c r="BE2147">
        <v>8.6874000000000002</v>
      </c>
      <c r="BF2147">
        <v>8.67</v>
      </c>
    </row>
    <row r="2148" spans="1:58" x14ac:dyDescent="0.4">
      <c r="A2148" t="s">
        <v>9</v>
      </c>
      <c r="B2148" t="s">
        <v>6</v>
      </c>
      <c r="C2148">
        <v>8.5487000000000002</v>
      </c>
      <c r="D2148">
        <v>9.4107000000000003</v>
      </c>
      <c r="E2148">
        <v>9.9565000000000001</v>
      </c>
      <c r="F2148">
        <v>10.0023</v>
      </c>
      <c r="G2148">
        <v>9.5934000000000008</v>
      </c>
      <c r="H2148">
        <v>9.1401000000000003</v>
      </c>
      <c r="I2148">
        <v>8.9184999999999999</v>
      </c>
      <c r="J2148">
        <v>8.5058000000000007</v>
      </c>
      <c r="K2148">
        <v>8.3818999999999999</v>
      </c>
      <c r="L2148">
        <v>8.2268000000000008</v>
      </c>
      <c r="M2148">
        <v>8.1647999999999996</v>
      </c>
      <c r="N2148">
        <v>8.1390999999999991</v>
      </c>
      <c r="O2148">
        <v>7.9236000000000004</v>
      </c>
      <c r="P2148">
        <v>7.9295</v>
      </c>
      <c r="Q2148">
        <v>7.7831000000000001</v>
      </c>
      <c r="R2148">
        <v>7.7434000000000003</v>
      </c>
      <c r="S2148">
        <v>7.6710000000000003</v>
      </c>
      <c r="T2148">
        <v>7.5918000000000001</v>
      </c>
      <c r="U2148">
        <v>7.6825999999999999</v>
      </c>
      <c r="V2148">
        <v>7.7359</v>
      </c>
      <c r="W2148">
        <v>7.7234999999999996</v>
      </c>
      <c r="X2148">
        <v>7.7016999999999998</v>
      </c>
      <c r="Y2148">
        <v>7.7194000000000003</v>
      </c>
      <c r="Z2148">
        <v>7.7554999999999996</v>
      </c>
      <c r="AA2148">
        <v>7.6905999999999999</v>
      </c>
      <c r="AB2148">
        <v>7.7622</v>
      </c>
      <c r="AC2148">
        <v>7.7251000000000003</v>
      </c>
      <c r="AD2148">
        <v>7.6943000000000001</v>
      </c>
      <c r="AE2148">
        <v>7.7031999999999998</v>
      </c>
      <c r="AF2148">
        <v>7.7140000000000004</v>
      </c>
      <c r="AG2148">
        <v>7.5522</v>
      </c>
      <c r="AH2148">
        <v>7.5903</v>
      </c>
      <c r="AI2148">
        <v>7.7073</v>
      </c>
      <c r="AJ2148">
        <v>7.7704000000000004</v>
      </c>
      <c r="AK2148">
        <v>7.7683</v>
      </c>
      <c r="AL2148">
        <v>7.7404999999999999</v>
      </c>
      <c r="AM2148">
        <v>7.7348999999999997</v>
      </c>
      <c r="AN2148">
        <v>7.7812000000000001</v>
      </c>
      <c r="AO2148">
        <v>7.7392000000000003</v>
      </c>
      <c r="AP2148">
        <v>7.6707999999999998</v>
      </c>
      <c r="AQ2148">
        <v>7.5854999999999997</v>
      </c>
      <c r="AR2148">
        <v>7.5213000000000001</v>
      </c>
      <c r="AS2148">
        <v>7.5080999999999998</v>
      </c>
      <c r="AT2148">
        <v>7.4614000000000003</v>
      </c>
      <c r="AU2148">
        <v>7.5137999999999998</v>
      </c>
      <c r="AV2148">
        <v>7.5366999999999997</v>
      </c>
      <c r="AW2148">
        <v>7.4135999999999997</v>
      </c>
      <c r="AX2148">
        <v>7.5472000000000001</v>
      </c>
      <c r="AY2148">
        <v>7.5514999999999999</v>
      </c>
      <c r="AZ2148">
        <v>7.5846</v>
      </c>
      <c r="BA2148">
        <v>7.5448000000000004</v>
      </c>
      <c r="BB2148">
        <v>7.5632999999999999</v>
      </c>
      <c r="BC2148">
        <v>7.5426000000000002</v>
      </c>
      <c r="BD2148">
        <v>7.6352000000000002</v>
      </c>
      <c r="BE2148">
        <v>7.6246999999999998</v>
      </c>
    </row>
    <row r="2149" spans="1:58" x14ac:dyDescent="0.4">
      <c r="A2149" t="s">
        <v>8</v>
      </c>
      <c r="B2149" t="s">
        <v>7</v>
      </c>
      <c r="C2149" t="s">
        <v>6</v>
      </c>
      <c r="D2149">
        <v>1.5398000000000001</v>
      </c>
      <c r="E2149">
        <v>1.4739</v>
      </c>
      <c r="F2149">
        <v>1.6854</v>
      </c>
      <c r="G2149">
        <v>2.1566999999999998</v>
      </c>
      <c r="H2149">
        <v>2.4</v>
      </c>
      <c r="I2149">
        <v>2.4</v>
      </c>
      <c r="J2149">
        <v>2.4</v>
      </c>
      <c r="K2149">
        <v>2.4</v>
      </c>
      <c r="L2149">
        <v>2.4</v>
      </c>
      <c r="M2149">
        <v>2.4</v>
      </c>
      <c r="N2149">
        <v>2.4</v>
      </c>
      <c r="O2149">
        <v>2.4</v>
      </c>
      <c r="P2149">
        <v>2.4</v>
      </c>
      <c r="Q2149">
        <v>2.4</v>
      </c>
      <c r="R2149">
        <v>2.4</v>
      </c>
      <c r="S2149">
        <v>2.4</v>
      </c>
      <c r="T2149">
        <v>2.4</v>
      </c>
      <c r="U2149">
        <v>2.4</v>
      </c>
      <c r="V2149">
        <v>2.4</v>
      </c>
      <c r="W2149">
        <v>2.4</v>
      </c>
      <c r="X2149">
        <v>2.4</v>
      </c>
      <c r="Y2149">
        <v>2.4</v>
      </c>
      <c r="Z2149">
        <v>2.4</v>
      </c>
      <c r="AA2149">
        <v>2.4</v>
      </c>
      <c r="AB2149">
        <v>2.4</v>
      </c>
      <c r="AC2149">
        <v>2.4</v>
      </c>
      <c r="AD2149">
        <v>2.4</v>
      </c>
      <c r="AE2149">
        <v>2.4</v>
      </c>
      <c r="AF2149">
        <v>2.4</v>
      </c>
      <c r="AG2149">
        <v>2.4</v>
      </c>
      <c r="AH2149">
        <v>2.4</v>
      </c>
      <c r="AI2149">
        <v>2.4</v>
      </c>
      <c r="AJ2149">
        <v>2.4</v>
      </c>
      <c r="AK2149">
        <v>2.4</v>
      </c>
      <c r="AL2149">
        <v>2.4</v>
      </c>
      <c r="AM2149">
        <v>2.4</v>
      </c>
      <c r="AN2149">
        <v>2.4</v>
      </c>
      <c r="AO2149">
        <v>2.4</v>
      </c>
      <c r="AP2149">
        <v>2.4</v>
      </c>
      <c r="AQ2149">
        <v>2.4</v>
      </c>
      <c r="AR2149">
        <v>2.4</v>
      </c>
      <c r="AS2149">
        <v>2.4</v>
      </c>
      <c r="AT2149">
        <v>2.4</v>
      </c>
      <c r="AU2149">
        <v>2.4</v>
      </c>
      <c r="AV2149">
        <v>2.4</v>
      </c>
      <c r="AW2149">
        <v>2.4</v>
      </c>
      <c r="AX2149">
        <v>2.4</v>
      </c>
      <c r="AY2149">
        <v>2.4</v>
      </c>
      <c r="AZ2149">
        <v>2.4</v>
      </c>
      <c r="BA2149">
        <v>2.4</v>
      </c>
      <c r="BB2149">
        <v>2.4</v>
      </c>
      <c r="BC2149">
        <v>2.4</v>
      </c>
      <c r="BD2149">
        <v>2.4</v>
      </c>
      <c r="BE2149">
        <v>2.4</v>
      </c>
      <c r="BF2149">
        <v>2.4</v>
      </c>
    </row>
    <row r="2150" spans="1:58" x14ac:dyDescent="0.4">
      <c r="A2150" t="s">
        <v>5</v>
      </c>
      <c r="B2150">
        <v>1.5398000000000001</v>
      </c>
      <c r="C2150">
        <v>1.4739</v>
      </c>
      <c r="D2150">
        <v>1.6854</v>
      </c>
      <c r="E2150">
        <v>2.1566999999999998</v>
      </c>
      <c r="F2150">
        <v>2.4</v>
      </c>
      <c r="G2150">
        <v>2.4</v>
      </c>
      <c r="H2150">
        <v>2.4</v>
      </c>
      <c r="I2150">
        <v>2.4</v>
      </c>
      <c r="J2150">
        <v>2.4</v>
      </c>
      <c r="K2150">
        <v>2.4</v>
      </c>
      <c r="L2150">
        <v>2.4</v>
      </c>
      <c r="M2150">
        <v>2.4</v>
      </c>
      <c r="N2150">
        <v>2.4</v>
      </c>
      <c r="O2150">
        <v>2.4</v>
      </c>
      <c r="P2150">
        <v>2.4</v>
      </c>
      <c r="Q2150">
        <v>2.4</v>
      </c>
      <c r="R2150">
        <v>2.4</v>
      </c>
      <c r="S2150">
        <v>2.4</v>
      </c>
      <c r="T2150">
        <v>2.4</v>
      </c>
      <c r="U2150">
        <v>2.4</v>
      </c>
      <c r="V2150">
        <v>2.4</v>
      </c>
      <c r="W2150">
        <v>2.4</v>
      </c>
      <c r="X2150">
        <v>2.4</v>
      </c>
      <c r="Y2150">
        <v>2.4</v>
      </c>
      <c r="Z2150">
        <v>2.4</v>
      </c>
      <c r="AA2150">
        <v>2.4</v>
      </c>
      <c r="AB2150">
        <v>2.4</v>
      </c>
      <c r="AC2150">
        <v>2.4</v>
      </c>
      <c r="AD2150">
        <v>2.4</v>
      </c>
      <c r="AE2150">
        <v>2.4</v>
      </c>
      <c r="AF2150">
        <v>2.4</v>
      </c>
      <c r="AG2150">
        <v>2.4</v>
      </c>
      <c r="AH2150">
        <v>2.4</v>
      </c>
      <c r="AI2150">
        <v>2.4</v>
      </c>
      <c r="AJ2150">
        <v>2.4</v>
      </c>
      <c r="AK2150">
        <v>2.4</v>
      </c>
      <c r="AL2150">
        <v>2.4</v>
      </c>
      <c r="AM2150">
        <v>2.4</v>
      </c>
      <c r="AN2150">
        <v>2.4</v>
      </c>
      <c r="AO2150">
        <v>2.4</v>
      </c>
      <c r="AP2150">
        <v>2.4</v>
      </c>
      <c r="AQ2150">
        <v>2.4</v>
      </c>
      <c r="AR2150">
        <v>2.4</v>
      </c>
      <c r="AS2150">
        <v>2.4</v>
      </c>
      <c r="AT2150">
        <v>2.4</v>
      </c>
      <c r="AU2150">
        <v>2.4</v>
      </c>
      <c r="AV2150">
        <v>2.4</v>
      </c>
      <c r="AW2150">
        <v>2.4</v>
      </c>
      <c r="AX2150">
        <v>2.4</v>
      </c>
      <c r="AY2150">
        <v>2.4</v>
      </c>
      <c r="AZ2150">
        <v>2.4</v>
      </c>
      <c r="BA2150">
        <v>2.4</v>
      </c>
      <c r="BB2150">
        <v>2.4</v>
      </c>
      <c r="BC2150">
        <v>2.4</v>
      </c>
      <c r="BD2150">
        <v>2.4</v>
      </c>
    </row>
    <row r="2151" spans="1:58" x14ac:dyDescent="0.4">
      <c r="A2151" t="s">
        <v>4</v>
      </c>
      <c r="B2151">
        <v>0.50470000000000004</v>
      </c>
      <c r="C2151">
        <v>0.35110000000000002</v>
      </c>
      <c r="D2151">
        <v>0.35439999999999999</v>
      </c>
      <c r="E2151">
        <v>0.37930000000000003</v>
      </c>
      <c r="F2151">
        <v>0.42109999999999997</v>
      </c>
      <c r="G2151">
        <v>0.44009999999999999</v>
      </c>
      <c r="H2151">
        <v>0.46710000000000002</v>
      </c>
      <c r="I2151">
        <v>0.48949999999999999</v>
      </c>
      <c r="J2151">
        <v>0.50249999999999995</v>
      </c>
      <c r="K2151">
        <v>0.51859999999999995</v>
      </c>
      <c r="L2151">
        <v>0.52539999999999998</v>
      </c>
      <c r="M2151">
        <v>0.52939999999999998</v>
      </c>
      <c r="N2151">
        <v>0.54220000000000002</v>
      </c>
      <c r="O2151">
        <v>0.54549999999999998</v>
      </c>
      <c r="P2151">
        <v>0.55349999999999999</v>
      </c>
      <c r="Q2151">
        <v>0.56210000000000004</v>
      </c>
      <c r="R2151">
        <v>0.56610000000000005</v>
      </c>
      <c r="S2151">
        <v>0.57050000000000001</v>
      </c>
      <c r="T2151">
        <v>0.56659999999999999</v>
      </c>
      <c r="U2151">
        <v>0.56200000000000006</v>
      </c>
      <c r="V2151">
        <v>0.5675</v>
      </c>
      <c r="W2151">
        <v>0.5726</v>
      </c>
      <c r="X2151">
        <v>0.56740000000000002</v>
      </c>
      <c r="Y2151">
        <v>0.56420000000000003</v>
      </c>
      <c r="Z2151">
        <v>0.55769999999999997</v>
      </c>
      <c r="AA2151">
        <v>0.55940000000000001</v>
      </c>
      <c r="AB2151">
        <v>0.56769999999999998</v>
      </c>
      <c r="AC2151">
        <v>0.5635</v>
      </c>
      <c r="AD2151">
        <v>0.56279999999999997</v>
      </c>
      <c r="AE2151">
        <v>0.56310000000000004</v>
      </c>
      <c r="AF2151">
        <v>0.55689999999999995</v>
      </c>
      <c r="AG2151">
        <v>0.55510000000000004</v>
      </c>
      <c r="AH2151">
        <v>0.5554</v>
      </c>
      <c r="AI2151">
        <v>0.56410000000000005</v>
      </c>
      <c r="AJ2151">
        <v>0.5595</v>
      </c>
      <c r="AK2151">
        <v>0.5585</v>
      </c>
      <c r="AL2151">
        <v>0.56610000000000005</v>
      </c>
      <c r="AM2151">
        <v>0.5575</v>
      </c>
      <c r="AN2151">
        <v>0.55589999999999995</v>
      </c>
      <c r="AO2151">
        <v>0.56699999999999995</v>
      </c>
      <c r="AP2151">
        <v>0.56899999999999995</v>
      </c>
      <c r="AQ2151">
        <v>0.57350000000000001</v>
      </c>
      <c r="AR2151">
        <v>0.57709999999999995</v>
      </c>
      <c r="AS2151">
        <v>0.58179999999999998</v>
      </c>
      <c r="AT2151">
        <v>0.57720000000000005</v>
      </c>
      <c r="AU2151">
        <v>0.5746</v>
      </c>
      <c r="AV2151">
        <v>0.58909999999999996</v>
      </c>
      <c r="AW2151">
        <v>0.58169999999999999</v>
      </c>
      <c r="AX2151">
        <v>0.58050000000000002</v>
      </c>
      <c r="AY2151">
        <v>0.56859999999999999</v>
      </c>
      <c r="AZ2151">
        <v>0.58140000000000003</v>
      </c>
      <c r="BA2151">
        <v>0.58250000000000002</v>
      </c>
      <c r="BB2151">
        <v>0.57299999999999995</v>
      </c>
      <c r="BC2151">
        <v>0.56269999999999998</v>
      </c>
      <c r="BD2151">
        <v>0.55710000000000004</v>
      </c>
    </row>
    <row r="2153" spans="1:58" x14ac:dyDescent="0.4">
      <c r="A2153" t="s">
        <v>3</v>
      </c>
      <c r="B2153" t="s">
        <v>2</v>
      </c>
      <c r="C2153" t="s">
        <v>1</v>
      </c>
      <c r="D2153" t="s">
        <v>0</v>
      </c>
    </row>
    <row r="2154" spans="1:58" x14ac:dyDescent="0.4">
      <c r="A2154" t="s">
        <v>0</v>
      </c>
      <c r="B2154">
        <v>1</v>
      </c>
      <c r="C2154">
        <v>244.97399999999999</v>
      </c>
      <c r="D2154">
        <v>141.2131</v>
      </c>
      <c r="E2154">
        <v>141.53120000000001</v>
      </c>
      <c r="F2154">
        <v>134.5215</v>
      </c>
      <c r="G2154">
        <v>158.04820000000001</v>
      </c>
      <c r="H2154">
        <v>143.08860000000001</v>
      </c>
      <c r="I2154">
        <v>146.21539999999999</v>
      </c>
      <c r="J2154">
        <v>135.61420000000001</v>
      </c>
      <c r="K2154">
        <v>155.30840000000001</v>
      </c>
      <c r="L2154">
        <v>146.31010000000001</v>
      </c>
      <c r="M2154">
        <v>149.5044</v>
      </c>
      <c r="N2154">
        <v>153.92859999999999</v>
      </c>
      <c r="O2154">
        <v>144.63140000000001</v>
      </c>
      <c r="P2154">
        <v>153.45529999999999</v>
      </c>
      <c r="Q2154">
        <v>141.05959999999999</v>
      </c>
      <c r="R2154">
        <v>137.79589999999999</v>
      </c>
      <c r="S2154">
        <v>154.04560000000001</v>
      </c>
      <c r="T2154">
        <v>152.02289999999999</v>
      </c>
      <c r="U2154">
        <v>143.5059</v>
      </c>
      <c r="V2154">
        <v>145.28800000000001</v>
      </c>
      <c r="W2154">
        <v>150.05449999999999</v>
      </c>
      <c r="X2154">
        <v>148.70599999999999</v>
      </c>
      <c r="Y2154">
        <v>140.23249999999999</v>
      </c>
      <c r="Z2154">
        <v>142.10550000000001</v>
      </c>
      <c r="AA2154">
        <v>138.65299999999999</v>
      </c>
      <c r="AB2154">
        <v>145.3331</v>
      </c>
      <c r="AC2154">
        <v>144.40979999999999</v>
      </c>
      <c r="AD2154">
        <v>140.34559999999999</v>
      </c>
      <c r="AE2154">
        <v>143.8612</v>
      </c>
      <c r="AF2154">
        <v>143.69499999999999</v>
      </c>
      <c r="AG2154">
        <v>151.72460000000001</v>
      </c>
      <c r="AH2154">
        <v>129.39279999999999</v>
      </c>
      <c r="AI2154">
        <v>155.22730000000001</v>
      </c>
      <c r="AJ2154">
        <v>150.13829999999999</v>
      </c>
      <c r="AK2154">
        <v>159.09790000000001</v>
      </c>
      <c r="AL2154">
        <v>131.24119999999999</v>
      </c>
      <c r="AM2154">
        <v>154.86619999999999</v>
      </c>
      <c r="AN2154">
        <v>138.8887</v>
      </c>
      <c r="AO2154">
        <v>144.22730000000001</v>
      </c>
      <c r="AP2154">
        <v>136.4314</v>
      </c>
      <c r="AQ2154">
        <v>130.81950000000001</v>
      </c>
      <c r="AR2154">
        <v>144.72479999999999</v>
      </c>
      <c r="AS2154">
        <v>131.88310000000001</v>
      </c>
      <c r="AT2154">
        <v>137.02250000000001</v>
      </c>
      <c r="AU2154">
        <v>147.53460000000001</v>
      </c>
      <c r="AV2154">
        <v>147.482</v>
      </c>
      <c r="AW2154">
        <v>149.99369999999999</v>
      </c>
      <c r="AX2154">
        <v>143.58789999999999</v>
      </c>
      <c r="AY2154">
        <v>146.68209999999999</v>
      </c>
      <c r="AZ2154">
        <v>144.333</v>
      </c>
      <c r="BA2154">
        <v>142.8561</v>
      </c>
      <c r="BB2154">
        <v>154.14179999999999</v>
      </c>
      <c r="BC2154">
        <v>149.21029999999999</v>
      </c>
      <c r="BD2154">
        <v>147.81700000000001</v>
      </c>
      <c r="BE2154">
        <v>149.06549999999999</v>
      </c>
    </row>
    <row r="2155" spans="1:58" x14ac:dyDescent="0.4">
      <c r="A2155" t="s">
        <v>0</v>
      </c>
      <c r="B2155">
        <v>2</v>
      </c>
      <c r="C2155">
        <v>93.8626</v>
      </c>
      <c r="D2155">
        <v>145.44749999999999</v>
      </c>
      <c r="E2155">
        <v>85.176500000000004</v>
      </c>
      <c r="F2155">
        <v>85.857900000000001</v>
      </c>
      <c r="G2155">
        <v>81.132300000000001</v>
      </c>
      <c r="H2155">
        <v>94.178200000000004</v>
      </c>
      <c r="I2155">
        <v>82.761399999999995</v>
      </c>
      <c r="J2155">
        <v>87.581100000000006</v>
      </c>
      <c r="K2155">
        <v>79.945800000000006</v>
      </c>
      <c r="L2155">
        <v>91.3429</v>
      </c>
      <c r="M2155">
        <v>86.292900000000003</v>
      </c>
      <c r="N2155">
        <v>84.851299999999995</v>
      </c>
      <c r="O2155">
        <v>89.322800000000001</v>
      </c>
      <c r="P2155">
        <v>83.990600000000001</v>
      </c>
      <c r="Q2155">
        <v>88.317300000000003</v>
      </c>
      <c r="R2155">
        <v>82.723399999999998</v>
      </c>
      <c r="S2155">
        <v>80.749099999999999</v>
      </c>
      <c r="T2155">
        <v>89.541300000000007</v>
      </c>
      <c r="U2155">
        <v>86.524900000000002</v>
      </c>
      <c r="V2155">
        <v>82.936599999999999</v>
      </c>
      <c r="W2155">
        <v>84.166600000000003</v>
      </c>
      <c r="X2155">
        <v>85.425399999999996</v>
      </c>
      <c r="Y2155">
        <v>84.959400000000002</v>
      </c>
      <c r="Z2155">
        <v>82.169499999999999</v>
      </c>
      <c r="AA2155">
        <v>81.795900000000003</v>
      </c>
      <c r="AB2155">
        <v>81.703699999999998</v>
      </c>
      <c r="AC2155">
        <v>84.616200000000006</v>
      </c>
      <c r="AD2155">
        <v>80.269800000000004</v>
      </c>
      <c r="AE2155">
        <v>81.073599999999999</v>
      </c>
      <c r="AF2155">
        <v>83.058000000000007</v>
      </c>
      <c r="AG2155">
        <v>82.782200000000003</v>
      </c>
      <c r="AH2155">
        <v>84.987399999999994</v>
      </c>
      <c r="AI2155">
        <v>74.158000000000001</v>
      </c>
      <c r="AJ2155">
        <v>86.847099999999998</v>
      </c>
      <c r="AK2155">
        <v>84.593900000000005</v>
      </c>
      <c r="AL2155">
        <v>89.500299999999996</v>
      </c>
      <c r="AM2155">
        <v>73.811400000000006</v>
      </c>
      <c r="AN2155">
        <v>87.909599999999998</v>
      </c>
      <c r="AO2155">
        <v>77.851100000000002</v>
      </c>
      <c r="AP2155">
        <v>81.125699999999995</v>
      </c>
      <c r="AQ2155">
        <v>77.010300000000001</v>
      </c>
      <c r="AR2155">
        <v>72.203000000000003</v>
      </c>
      <c r="AS2155">
        <v>82.394400000000005</v>
      </c>
      <c r="AT2155">
        <v>71.679500000000004</v>
      </c>
      <c r="AU2155">
        <v>76.623199999999997</v>
      </c>
      <c r="AV2155">
        <v>82.520600000000002</v>
      </c>
      <c r="AW2155">
        <v>80.377600000000001</v>
      </c>
      <c r="AX2155">
        <v>82.836200000000005</v>
      </c>
      <c r="AY2155">
        <v>78.713899999999995</v>
      </c>
      <c r="AZ2155">
        <v>80.569599999999994</v>
      </c>
      <c r="BA2155">
        <v>80.779799999999994</v>
      </c>
      <c r="BB2155">
        <v>79.981399999999994</v>
      </c>
      <c r="BC2155">
        <v>83.708100000000002</v>
      </c>
      <c r="BD2155">
        <v>81.202600000000004</v>
      </c>
      <c r="BE2155">
        <v>80.915199999999999</v>
      </c>
    </row>
    <row r="2156" spans="1:58" x14ac:dyDescent="0.4">
      <c r="A2156" t="s">
        <v>0</v>
      </c>
      <c r="B2156">
        <v>3</v>
      </c>
      <c r="C2156">
        <v>51.2273</v>
      </c>
      <c r="D2156">
        <v>51.2044</v>
      </c>
      <c r="E2156">
        <v>83.426100000000005</v>
      </c>
      <c r="F2156">
        <v>48.367199999999997</v>
      </c>
      <c r="G2156">
        <v>46.214500000000001</v>
      </c>
      <c r="H2156">
        <v>43.728000000000002</v>
      </c>
      <c r="I2156">
        <v>47.945099999999996</v>
      </c>
      <c r="J2156">
        <v>43.395699999999998</v>
      </c>
      <c r="K2156">
        <v>44.275100000000002</v>
      </c>
      <c r="L2156">
        <v>40.257199999999997</v>
      </c>
      <c r="M2156">
        <v>45.068399999999997</v>
      </c>
      <c r="N2156">
        <v>43.141800000000003</v>
      </c>
      <c r="O2156">
        <v>40.963799999999999</v>
      </c>
      <c r="P2156">
        <v>41.852200000000003</v>
      </c>
      <c r="Q2156">
        <v>39.786200000000001</v>
      </c>
      <c r="R2156">
        <v>42.016300000000001</v>
      </c>
      <c r="S2156">
        <v>38.678699999999999</v>
      </c>
      <c r="T2156">
        <v>38.0901</v>
      </c>
      <c r="U2156">
        <v>41.895200000000003</v>
      </c>
      <c r="V2156">
        <v>41.3705</v>
      </c>
      <c r="W2156">
        <v>40.281999999999996</v>
      </c>
      <c r="X2156">
        <v>40.168399999999998</v>
      </c>
      <c r="Y2156">
        <v>40.101700000000001</v>
      </c>
      <c r="Z2156">
        <v>41.067399999999999</v>
      </c>
      <c r="AA2156">
        <v>38.043100000000003</v>
      </c>
      <c r="AB2156">
        <v>38.923900000000003</v>
      </c>
      <c r="AC2156">
        <v>38.515099999999997</v>
      </c>
      <c r="AD2156">
        <v>39.834400000000002</v>
      </c>
      <c r="AE2156">
        <v>39.366199999999999</v>
      </c>
      <c r="AF2156">
        <v>38.473199999999999</v>
      </c>
      <c r="AG2156">
        <v>39.347700000000003</v>
      </c>
      <c r="AH2156">
        <v>39.637099999999997</v>
      </c>
      <c r="AI2156">
        <v>40.726900000000001</v>
      </c>
      <c r="AJ2156">
        <v>37.013300000000001</v>
      </c>
      <c r="AK2156">
        <v>40.955300000000001</v>
      </c>
      <c r="AL2156">
        <v>40.491599999999998</v>
      </c>
      <c r="AM2156">
        <v>43.386400000000002</v>
      </c>
      <c r="AN2156">
        <v>37.0535</v>
      </c>
      <c r="AO2156">
        <v>40.998800000000003</v>
      </c>
      <c r="AP2156">
        <v>37.907899999999998</v>
      </c>
      <c r="AQ2156">
        <v>39.092300000000002</v>
      </c>
      <c r="AR2156">
        <v>37.0182</v>
      </c>
      <c r="AS2156">
        <v>36.088299999999997</v>
      </c>
      <c r="AT2156">
        <v>37.805300000000003</v>
      </c>
      <c r="AU2156">
        <v>35.865099999999998</v>
      </c>
      <c r="AV2156">
        <v>37.445700000000002</v>
      </c>
      <c r="AW2156">
        <v>38.686900000000001</v>
      </c>
      <c r="AX2156">
        <v>37.603499999999997</v>
      </c>
      <c r="AY2156">
        <v>38.226100000000002</v>
      </c>
      <c r="AZ2156">
        <v>38.360199999999999</v>
      </c>
      <c r="BA2156">
        <v>38.693300000000001</v>
      </c>
      <c r="BB2156">
        <v>38.657699999999998</v>
      </c>
      <c r="BC2156">
        <v>38.8384</v>
      </c>
      <c r="BD2156">
        <v>39.956800000000001</v>
      </c>
      <c r="BE2156">
        <v>38.934699999999999</v>
      </c>
    </row>
    <row r="2157" spans="1:58" x14ac:dyDescent="0.4">
      <c r="A2157" t="s">
        <v>0</v>
      </c>
      <c r="B2157">
        <v>4</v>
      </c>
      <c r="C2157">
        <v>9.1702999999999992</v>
      </c>
      <c r="D2157">
        <v>24.968</v>
      </c>
      <c r="E2157">
        <v>27.6191</v>
      </c>
      <c r="F2157">
        <v>45.4621</v>
      </c>
      <c r="G2157">
        <v>24.656400000000001</v>
      </c>
      <c r="H2157">
        <v>21.6614</v>
      </c>
      <c r="I2157">
        <v>20.424600000000002</v>
      </c>
      <c r="J2157">
        <v>21.065799999999999</v>
      </c>
      <c r="K2157">
        <v>18.857900000000001</v>
      </c>
      <c r="L2157">
        <v>18.872</v>
      </c>
      <c r="M2157">
        <v>17.318300000000001</v>
      </c>
      <c r="N2157">
        <v>18.547899999999998</v>
      </c>
      <c r="O2157">
        <v>18.071899999999999</v>
      </c>
      <c r="P2157">
        <v>17.437899999999999</v>
      </c>
      <c r="Q2157">
        <v>17.572700000000001</v>
      </c>
      <c r="R2157">
        <v>16.520399999999999</v>
      </c>
      <c r="S2157">
        <v>17.438099999999999</v>
      </c>
      <c r="T2157">
        <v>16.083400000000001</v>
      </c>
      <c r="U2157">
        <v>15.8253</v>
      </c>
      <c r="V2157">
        <v>17.465</v>
      </c>
      <c r="W2157">
        <v>17.054600000000001</v>
      </c>
      <c r="X2157">
        <v>16.367899999999999</v>
      </c>
      <c r="Y2157">
        <v>16.485299999999999</v>
      </c>
      <c r="Z2157">
        <v>16.299199999999999</v>
      </c>
      <c r="AA2157">
        <v>16.867799999999999</v>
      </c>
      <c r="AB2157">
        <v>15.9869</v>
      </c>
      <c r="AC2157">
        <v>16.610499999999998</v>
      </c>
      <c r="AD2157">
        <v>16.502500000000001</v>
      </c>
      <c r="AE2157">
        <v>16.687799999999999</v>
      </c>
      <c r="AF2157">
        <v>15.8573</v>
      </c>
      <c r="AG2157">
        <v>16.1892</v>
      </c>
      <c r="AH2157">
        <v>16.432700000000001</v>
      </c>
      <c r="AI2157">
        <v>16.229800000000001</v>
      </c>
      <c r="AJ2157">
        <v>16.644200000000001</v>
      </c>
      <c r="AK2157">
        <v>15.6869</v>
      </c>
      <c r="AL2157">
        <v>17.193300000000001</v>
      </c>
      <c r="AM2157">
        <v>17.003900000000002</v>
      </c>
      <c r="AN2157">
        <v>17.778199999999998</v>
      </c>
      <c r="AO2157">
        <v>15.9796</v>
      </c>
      <c r="AP2157">
        <v>16.660399999999999</v>
      </c>
      <c r="AQ2157">
        <v>15.840199999999999</v>
      </c>
      <c r="AR2157">
        <v>16.050799999999999</v>
      </c>
      <c r="AS2157">
        <v>15.549300000000001</v>
      </c>
      <c r="AT2157">
        <v>14.882099999999999</v>
      </c>
      <c r="AU2157">
        <v>15.416499999999999</v>
      </c>
      <c r="AV2157">
        <v>14.5558</v>
      </c>
      <c r="AW2157">
        <v>15.587</v>
      </c>
      <c r="AX2157">
        <v>15.834199999999999</v>
      </c>
      <c r="AY2157">
        <v>15.5609</v>
      </c>
      <c r="AZ2157">
        <v>16.517499999999998</v>
      </c>
      <c r="BA2157">
        <v>15.4331</v>
      </c>
      <c r="BB2157">
        <v>15.692600000000001</v>
      </c>
      <c r="BC2157">
        <v>16.034199999999998</v>
      </c>
      <c r="BD2157">
        <v>15.6608</v>
      </c>
      <c r="BE2157">
        <v>16.220400000000001</v>
      </c>
    </row>
    <row r="2158" spans="1:58" x14ac:dyDescent="0.4">
      <c r="A2158" t="s">
        <v>0</v>
      </c>
      <c r="B2158">
        <v>5</v>
      </c>
      <c r="C2158">
        <v>2.4695999999999998</v>
      </c>
      <c r="D2158">
        <v>4.2230999999999996</v>
      </c>
      <c r="E2158">
        <v>13.0191</v>
      </c>
      <c r="F2158">
        <v>14.436500000000001</v>
      </c>
      <c r="G2158">
        <v>22.4056</v>
      </c>
      <c r="H2158">
        <v>11.319599999999999</v>
      </c>
      <c r="I2158">
        <v>9.7234999999999996</v>
      </c>
      <c r="J2158">
        <v>8.7987000000000002</v>
      </c>
      <c r="K2158">
        <v>8.6845999999999997</v>
      </c>
      <c r="L2158">
        <v>8.0579000000000001</v>
      </c>
      <c r="M2158">
        <v>7.7742000000000004</v>
      </c>
      <c r="N2158">
        <v>7.1334999999999997</v>
      </c>
      <c r="O2158">
        <v>7.6009000000000002</v>
      </c>
      <c r="P2158">
        <v>7.3442999999999996</v>
      </c>
      <c r="Q2158">
        <v>6.9619999999999997</v>
      </c>
      <c r="R2158">
        <v>7.0362</v>
      </c>
      <c r="S2158">
        <v>6.6931000000000003</v>
      </c>
      <c r="T2158">
        <v>6.7126999999999999</v>
      </c>
      <c r="U2158">
        <v>6.3175999999999997</v>
      </c>
      <c r="V2158">
        <v>6.0637999999999996</v>
      </c>
      <c r="W2158">
        <v>6.8455000000000004</v>
      </c>
      <c r="X2158">
        <v>6.7476000000000003</v>
      </c>
      <c r="Y2158">
        <v>6.4638999999999998</v>
      </c>
      <c r="Z2158">
        <v>6.5404999999999998</v>
      </c>
      <c r="AA2158">
        <v>6.4535999999999998</v>
      </c>
      <c r="AB2158">
        <v>6.6150000000000002</v>
      </c>
      <c r="AC2158">
        <v>6.2685000000000004</v>
      </c>
      <c r="AD2158">
        <v>6.5963000000000003</v>
      </c>
      <c r="AE2158">
        <v>6.5361000000000002</v>
      </c>
      <c r="AF2158">
        <v>6.4985999999999997</v>
      </c>
      <c r="AG2158">
        <v>6.1064999999999996</v>
      </c>
      <c r="AH2158">
        <v>6.4767000000000001</v>
      </c>
      <c r="AI2158">
        <v>6.3048000000000002</v>
      </c>
      <c r="AJ2158">
        <v>6.2473000000000001</v>
      </c>
      <c r="AK2158">
        <v>6.5609999999999999</v>
      </c>
      <c r="AL2158">
        <v>6.2214</v>
      </c>
      <c r="AM2158">
        <v>6.8529999999999998</v>
      </c>
      <c r="AN2158">
        <v>6.7320000000000002</v>
      </c>
      <c r="AO2158">
        <v>6.9086999999999996</v>
      </c>
      <c r="AP2158">
        <v>6.2884000000000002</v>
      </c>
      <c r="AQ2158">
        <v>6.7248999999999999</v>
      </c>
      <c r="AR2158">
        <v>6.3151999999999999</v>
      </c>
      <c r="AS2158">
        <v>6.6173999999999999</v>
      </c>
      <c r="AT2158">
        <v>5.9737</v>
      </c>
      <c r="AU2158">
        <v>5.7973999999999997</v>
      </c>
      <c r="AV2158">
        <v>5.8212999999999999</v>
      </c>
      <c r="AW2158">
        <v>5.9324000000000003</v>
      </c>
      <c r="AX2158">
        <v>6.1581000000000001</v>
      </c>
      <c r="AY2158">
        <v>6.0357000000000003</v>
      </c>
      <c r="AZ2158">
        <v>6.0099</v>
      </c>
      <c r="BA2158">
        <v>6.2849000000000004</v>
      </c>
      <c r="BB2158">
        <v>6.0650000000000004</v>
      </c>
      <c r="BC2158">
        <v>6.0460000000000003</v>
      </c>
      <c r="BD2158">
        <v>6.3285999999999998</v>
      </c>
      <c r="BE2158">
        <v>6.2712000000000003</v>
      </c>
    </row>
    <row r="2159" spans="1:58" x14ac:dyDescent="0.4">
      <c r="A2159" t="s">
        <v>0</v>
      </c>
      <c r="B2159">
        <v>6</v>
      </c>
      <c r="C2159">
        <v>0.84919999999999995</v>
      </c>
      <c r="D2159">
        <v>1.1184000000000001</v>
      </c>
      <c r="E2159">
        <v>2.1429</v>
      </c>
      <c r="F2159">
        <v>6.6726999999999999</v>
      </c>
      <c r="G2159">
        <v>7.1322000000000001</v>
      </c>
      <c r="H2159">
        <v>10.1717</v>
      </c>
      <c r="I2159">
        <v>4.8643000000000001</v>
      </c>
      <c r="J2159">
        <v>4.2766000000000002</v>
      </c>
      <c r="K2159">
        <v>3.6463999999999999</v>
      </c>
      <c r="L2159">
        <v>3.5444</v>
      </c>
      <c r="M2159">
        <v>3.2378</v>
      </c>
      <c r="N2159">
        <v>3.0478999999999998</v>
      </c>
      <c r="O2159">
        <v>2.9108000000000001</v>
      </c>
      <c r="P2159">
        <v>3.0581</v>
      </c>
      <c r="Q2159">
        <v>2.9315000000000002</v>
      </c>
      <c r="R2159">
        <v>2.7241</v>
      </c>
      <c r="S2159">
        <v>2.7606999999999999</v>
      </c>
      <c r="T2159">
        <v>2.4218999999999999</v>
      </c>
      <c r="U2159">
        <v>2.5240999999999998</v>
      </c>
      <c r="V2159">
        <v>2.4449000000000001</v>
      </c>
      <c r="W2159">
        <v>2.3197000000000001</v>
      </c>
      <c r="X2159">
        <v>2.6261000000000001</v>
      </c>
      <c r="Y2159">
        <v>2.6673</v>
      </c>
      <c r="Z2159">
        <v>2.4426999999999999</v>
      </c>
      <c r="AA2159">
        <v>2.4746000000000001</v>
      </c>
      <c r="AB2159">
        <v>2.4266000000000001</v>
      </c>
      <c r="AC2159">
        <v>2.5714999999999999</v>
      </c>
      <c r="AD2159">
        <v>2.4203000000000001</v>
      </c>
      <c r="AE2159">
        <v>2.5499000000000001</v>
      </c>
      <c r="AF2159">
        <v>2.4819</v>
      </c>
      <c r="AG2159">
        <v>2.5171000000000001</v>
      </c>
      <c r="AH2159">
        <v>2.4131</v>
      </c>
      <c r="AI2159">
        <v>2.5156999999999998</v>
      </c>
      <c r="AJ2159">
        <v>2.3342999999999998</v>
      </c>
      <c r="AK2159">
        <v>2.3969999999999998</v>
      </c>
      <c r="AL2159">
        <v>2.5173000000000001</v>
      </c>
      <c r="AM2159">
        <v>2.4121000000000001</v>
      </c>
      <c r="AN2159">
        <v>2.7218</v>
      </c>
      <c r="AO2159">
        <v>2.5415000000000001</v>
      </c>
      <c r="AP2159">
        <v>2.5941999999999998</v>
      </c>
      <c r="AQ2159">
        <v>2.3367</v>
      </c>
      <c r="AR2159">
        <v>2.5752000000000002</v>
      </c>
      <c r="AS2159">
        <v>2.4434</v>
      </c>
      <c r="AT2159">
        <v>2.4409000000000001</v>
      </c>
      <c r="AU2159">
        <v>2.2450999999999999</v>
      </c>
      <c r="AV2159">
        <v>2.1434000000000002</v>
      </c>
      <c r="AW2159">
        <v>2.0678000000000001</v>
      </c>
      <c r="AX2159">
        <v>2.1478999999999999</v>
      </c>
      <c r="AY2159">
        <v>2.3283999999999998</v>
      </c>
      <c r="AZ2159">
        <v>2.3353999999999999</v>
      </c>
      <c r="BA2159">
        <v>2.3071000000000002</v>
      </c>
      <c r="BB2159">
        <v>2.3894000000000002</v>
      </c>
      <c r="BC2159">
        <v>2.2791999999999999</v>
      </c>
      <c r="BD2159">
        <v>2.2955999999999999</v>
      </c>
      <c r="BE2159">
        <v>2.3534999999999999</v>
      </c>
    </row>
    <row r="2160" spans="1:58" x14ac:dyDescent="0.4">
      <c r="A2160" t="s">
        <v>0</v>
      </c>
      <c r="B2160">
        <v>7</v>
      </c>
      <c r="C2160">
        <v>0.1227</v>
      </c>
      <c r="D2160">
        <v>0.38040000000000002</v>
      </c>
      <c r="E2160">
        <v>0.56920000000000004</v>
      </c>
      <c r="F2160">
        <v>1.0841000000000001</v>
      </c>
      <c r="G2160">
        <v>3.2501000000000002</v>
      </c>
      <c r="H2160">
        <v>3.2900999999999998</v>
      </c>
      <c r="I2160">
        <v>4.5566000000000004</v>
      </c>
      <c r="J2160">
        <v>2.0629</v>
      </c>
      <c r="K2160">
        <v>1.7673000000000001</v>
      </c>
      <c r="L2160">
        <v>1.5565</v>
      </c>
      <c r="M2160">
        <v>1.4593</v>
      </c>
      <c r="N2160">
        <v>1.2788999999999999</v>
      </c>
      <c r="O2160">
        <v>1.1578999999999999</v>
      </c>
      <c r="P2160">
        <v>1.1604000000000001</v>
      </c>
      <c r="Q2160">
        <v>1.2351000000000001</v>
      </c>
      <c r="R2160">
        <v>1.1273</v>
      </c>
      <c r="S2160">
        <v>1.0435000000000001</v>
      </c>
      <c r="T2160">
        <v>1.0718000000000001</v>
      </c>
      <c r="U2160">
        <v>0.87429999999999997</v>
      </c>
      <c r="V2160">
        <v>0.97089999999999999</v>
      </c>
      <c r="W2160">
        <v>0.93720000000000003</v>
      </c>
      <c r="X2160">
        <v>0.92600000000000005</v>
      </c>
      <c r="Y2160">
        <v>0.99780000000000002</v>
      </c>
      <c r="Z2160">
        <v>0.9839</v>
      </c>
      <c r="AA2160">
        <v>0.95350000000000001</v>
      </c>
      <c r="AB2160">
        <v>0.95860000000000001</v>
      </c>
      <c r="AC2160">
        <v>0.93259999999999998</v>
      </c>
      <c r="AD2160">
        <v>0.9466</v>
      </c>
      <c r="AE2160">
        <v>0.92030000000000001</v>
      </c>
      <c r="AF2160">
        <v>0.97670000000000001</v>
      </c>
      <c r="AG2160">
        <v>0.97609999999999997</v>
      </c>
      <c r="AH2160">
        <v>0.9677</v>
      </c>
      <c r="AI2160">
        <v>0.93840000000000001</v>
      </c>
      <c r="AJ2160">
        <v>0.96609999999999996</v>
      </c>
      <c r="AK2160">
        <v>0.86809999999999998</v>
      </c>
      <c r="AL2160">
        <v>0.93279999999999996</v>
      </c>
      <c r="AM2160">
        <v>1.0019</v>
      </c>
      <c r="AN2160">
        <v>0.96189999999999998</v>
      </c>
      <c r="AO2160">
        <v>0.99580000000000002</v>
      </c>
      <c r="AP2160">
        <v>0.95650000000000002</v>
      </c>
      <c r="AQ2160">
        <v>0.97870000000000001</v>
      </c>
      <c r="AR2160">
        <v>0.92810000000000004</v>
      </c>
      <c r="AS2160">
        <v>0.99719999999999998</v>
      </c>
      <c r="AT2160">
        <v>0.92859999999999998</v>
      </c>
      <c r="AU2160">
        <v>0.8871</v>
      </c>
      <c r="AV2160">
        <v>0.82799999999999996</v>
      </c>
      <c r="AW2160">
        <v>0.79449999999999998</v>
      </c>
      <c r="AX2160">
        <v>0.76490000000000002</v>
      </c>
      <c r="AY2160">
        <v>0.76119999999999999</v>
      </c>
      <c r="AZ2160">
        <v>0.84040000000000004</v>
      </c>
      <c r="BA2160">
        <v>0.87150000000000005</v>
      </c>
      <c r="BB2160">
        <v>0.9012</v>
      </c>
      <c r="BC2160">
        <v>0.88719999999999999</v>
      </c>
      <c r="BD2160">
        <v>0.8851</v>
      </c>
      <c r="BE2160">
        <v>0.89670000000000005</v>
      </c>
    </row>
    <row r="2161" spans="1:57" x14ac:dyDescent="0.4">
      <c r="A2161" t="s">
        <v>0</v>
      </c>
      <c r="B2161">
        <v>8</v>
      </c>
      <c r="C2161">
        <v>9.0200000000000002E-2</v>
      </c>
      <c r="D2161">
        <v>5.5899999999999998E-2</v>
      </c>
      <c r="E2161">
        <v>0.19289999999999999</v>
      </c>
      <c r="F2161">
        <v>0.29160000000000003</v>
      </c>
      <c r="G2161">
        <v>0.52810000000000001</v>
      </c>
      <c r="H2161">
        <v>1.5064</v>
      </c>
      <c r="I2161">
        <v>1.4794</v>
      </c>
      <c r="J2161">
        <v>2.0141</v>
      </c>
      <c r="K2161">
        <v>0.90759999999999996</v>
      </c>
      <c r="L2161">
        <v>0.74719999999999998</v>
      </c>
      <c r="M2161">
        <v>0.64649999999999996</v>
      </c>
      <c r="N2161">
        <v>0.58740000000000003</v>
      </c>
      <c r="O2161">
        <v>0.53400000000000003</v>
      </c>
      <c r="P2161">
        <v>0.47320000000000001</v>
      </c>
      <c r="Q2161">
        <v>0.46629999999999999</v>
      </c>
      <c r="R2161">
        <v>0.4698</v>
      </c>
      <c r="S2161">
        <v>0.4481</v>
      </c>
      <c r="T2161">
        <v>0.41170000000000001</v>
      </c>
      <c r="U2161">
        <v>0.40450000000000003</v>
      </c>
      <c r="V2161">
        <v>0.34789999999999999</v>
      </c>
      <c r="W2161">
        <v>0.37159999999999999</v>
      </c>
      <c r="X2161">
        <v>0.36430000000000001</v>
      </c>
      <c r="Y2161">
        <v>0.3508</v>
      </c>
      <c r="Z2161">
        <v>0.39429999999999998</v>
      </c>
      <c r="AA2161">
        <v>0.38450000000000001</v>
      </c>
      <c r="AB2161">
        <v>0.37459999999999999</v>
      </c>
      <c r="AC2161">
        <v>0.37119999999999997</v>
      </c>
      <c r="AD2161">
        <v>0.35920000000000002</v>
      </c>
      <c r="AE2161">
        <v>0.35899999999999999</v>
      </c>
      <c r="AF2161">
        <v>0.38400000000000001</v>
      </c>
      <c r="AG2161">
        <v>0.37190000000000001</v>
      </c>
      <c r="AH2161">
        <v>0.35880000000000001</v>
      </c>
      <c r="AI2161">
        <v>0.372</v>
      </c>
      <c r="AJ2161">
        <v>0.34029999999999999</v>
      </c>
      <c r="AK2161">
        <v>0.37569999999999998</v>
      </c>
      <c r="AL2161">
        <v>0.34300000000000003</v>
      </c>
      <c r="AM2161">
        <v>0.36820000000000003</v>
      </c>
      <c r="AN2161">
        <v>0.3644</v>
      </c>
      <c r="AO2161">
        <v>0.37259999999999999</v>
      </c>
      <c r="AP2161">
        <v>0.39329999999999998</v>
      </c>
      <c r="AQ2161">
        <v>0.36770000000000003</v>
      </c>
      <c r="AR2161">
        <v>0.3735</v>
      </c>
      <c r="AS2161">
        <v>0.36680000000000001</v>
      </c>
      <c r="AT2161">
        <v>0.36459999999999998</v>
      </c>
      <c r="AU2161">
        <v>0.34189999999999998</v>
      </c>
      <c r="AV2161">
        <v>0.32469999999999999</v>
      </c>
      <c r="AW2161">
        <v>0.3236</v>
      </c>
      <c r="AX2161">
        <v>0.3049</v>
      </c>
      <c r="AY2161">
        <v>0.29749999999999999</v>
      </c>
      <c r="AZ2161">
        <v>0.29349999999999998</v>
      </c>
      <c r="BA2161">
        <v>0.3261</v>
      </c>
      <c r="BB2161">
        <v>0.34389999999999998</v>
      </c>
      <c r="BC2161">
        <v>0.34279999999999999</v>
      </c>
      <c r="BD2161">
        <v>0.33829999999999999</v>
      </c>
      <c r="BE2161">
        <v>0.33929999999999999</v>
      </c>
    </row>
    <row r="2162" spans="1:57" x14ac:dyDescent="0.4">
      <c r="A2162" t="s">
        <v>0</v>
      </c>
      <c r="B2162">
        <v>9</v>
      </c>
      <c r="C2162">
        <v>6.3E-3</v>
      </c>
      <c r="D2162">
        <v>4.0500000000000001E-2</v>
      </c>
      <c r="E2162">
        <v>2.8500000000000001E-2</v>
      </c>
      <c r="F2162">
        <v>9.9000000000000005E-2</v>
      </c>
      <c r="G2162">
        <v>0.14630000000000001</v>
      </c>
      <c r="H2162">
        <v>0.25030000000000002</v>
      </c>
      <c r="I2162">
        <v>0.70009999999999994</v>
      </c>
      <c r="J2162">
        <v>0.65949999999999998</v>
      </c>
      <c r="K2162">
        <v>0.8679</v>
      </c>
      <c r="L2162">
        <v>0.39779999999999999</v>
      </c>
      <c r="M2162">
        <v>0.30609999999999998</v>
      </c>
      <c r="N2162">
        <v>0.27050000000000002</v>
      </c>
      <c r="O2162">
        <v>0.252</v>
      </c>
      <c r="P2162">
        <v>0.22550000000000001</v>
      </c>
      <c r="Q2162">
        <v>0.18809999999999999</v>
      </c>
      <c r="R2162">
        <v>0.189</v>
      </c>
      <c r="S2162">
        <v>0.19070000000000001</v>
      </c>
      <c r="T2162">
        <v>0.1729</v>
      </c>
      <c r="U2162">
        <v>0.15989999999999999</v>
      </c>
      <c r="V2162">
        <v>0.15559999999999999</v>
      </c>
      <c r="W2162">
        <v>0.1391</v>
      </c>
      <c r="X2162">
        <v>0.1439</v>
      </c>
      <c r="Y2162">
        <v>0.1381</v>
      </c>
      <c r="Z2162">
        <v>0.13780000000000001</v>
      </c>
      <c r="AA2162">
        <v>0.1507</v>
      </c>
      <c r="AB2162">
        <v>0.1598</v>
      </c>
      <c r="AC2162">
        <v>0.1484</v>
      </c>
      <c r="AD2162">
        <v>0.15060000000000001</v>
      </c>
      <c r="AE2162">
        <v>0.13969999999999999</v>
      </c>
      <c r="AF2162">
        <v>0.1419</v>
      </c>
      <c r="AG2162">
        <v>0.1416</v>
      </c>
      <c r="AH2162">
        <v>0.1452</v>
      </c>
      <c r="AI2162">
        <v>0.13980000000000001</v>
      </c>
      <c r="AJ2162">
        <v>0.14849999999999999</v>
      </c>
      <c r="AK2162">
        <v>0.13600000000000001</v>
      </c>
      <c r="AL2162">
        <v>0.15179999999999999</v>
      </c>
      <c r="AM2162">
        <v>0.1371</v>
      </c>
      <c r="AN2162">
        <v>0.14050000000000001</v>
      </c>
      <c r="AO2162">
        <v>0.14269999999999999</v>
      </c>
      <c r="AP2162">
        <v>0.14050000000000001</v>
      </c>
      <c r="AQ2162">
        <v>0.15329999999999999</v>
      </c>
      <c r="AR2162">
        <v>0.14829999999999999</v>
      </c>
      <c r="AS2162">
        <v>0.1464</v>
      </c>
      <c r="AT2162">
        <v>0.1409</v>
      </c>
      <c r="AU2162">
        <v>0.13700000000000001</v>
      </c>
      <c r="AV2162">
        <v>0.1293</v>
      </c>
      <c r="AW2162">
        <v>0.1179</v>
      </c>
      <c r="AX2162">
        <v>0.1192</v>
      </c>
      <c r="AY2162">
        <v>0.11940000000000001</v>
      </c>
      <c r="AZ2162">
        <v>0.1084</v>
      </c>
      <c r="BA2162">
        <v>0.1145</v>
      </c>
      <c r="BB2162">
        <v>0.1235</v>
      </c>
      <c r="BC2162">
        <v>0.1338</v>
      </c>
      <c r="BD2162">
        <v>0.13370000000000001</v>
      </c>
      <c r="BE2162">
        <v>0.13150000000000001</v>
      </c>
    </row>
    <row r="2163" spans="1:57" x14ac:dyDescent="0.4">
      <c r="A2163" t="s">
        <v>0</v>
      </c>
      <c r="B2163">
        <v>10</v>
      </c>
      <c r="C2163">
        <v>3.2000000000000002E-3</v>
      </c>
      <c r="D2163">
        <v>3.0000000000000001E-3</v>
      </c>
      <c r="E2163">
        <v>2.0299999999999999E-2</v>
      </c>
      <c r="F2163">
        <v>1.47E-2</v>
      </c>
      <c r="G2163">
        <v>5.0500000000000003E-2</v>
      </c>
      <c r="H2163">
        <v>7.0400000000000004E-2</v>
      </c>
      <c r="I2163">
        <v>0.1174</v>
      </c>
      <c r="J2163">
        <v>0.32369999999999999</v>
      </c>
      <c r="K2163">
        <v>0.29680000000000001</v>
      </c>
      <c r="L2163">
        <v>0.38629999999999998</v>
      </c>
      <c r="M2163">
        <v>0.1678</v>
      </c>
      <c r="N2163">
        <v>0.1366</v>
      </c>
      <c r="O2163">
        <v>0.10920000000000001</v>
      </c>
      <c r="P2163">
        <v>0.10580000000000001</v>
      </c>
      <c r="Q2163">
        <v>9.0200000000000002E-2</v>
      </c>
      <c r="R2163">
        <v>7.5499999999999998E-2</v>
      </c>
      <c r="S2163">
        <v>7.7700000000000005E-2</v>
      </c>
      <c r="T2163">
        <v>7.8899999999999998E-2</v>
      </c>
      <c r="U2163">
        <v>6.8699999999999997E-2</v>
      </c>
      <c r="V2163">
        <v>6.5699999999999995E-2</v>
      </c>
      <c r="W2163">
        <v>6.0900000000000003E-2</v>
      </c>
      <c r="X2163">
        <v>5.74E-2</v>
      </c>
      <c r="Y2163">
        <v>5.8299999999999998E-2</v>
      </c>
      <c r="Z2163">
        <v>5.5599999999999997E-2</v>
      </c>
      <c r="AA2163">
        <v>5.62E-2</v>
      </c>
      <c r="AB2163">
        <v>6.1899999999999997E-2</v>
      </c>
      <c r="AC2163">
        <v>6.5199999999999994E-2</v>
      </c>
      <c r="AD2163">
        <v>6.0400000000000002E-2</v>
      </c>
      <c r="AE2163">
        <v>5.9799999999999999E-2</v>
      </c>
      <c r="AF2163">
        <v>5.4600000000000003E-2</v>
      </c>
      <c r="AG2163">
        <v>5.7799999999999997E-2</v>
      </c>
      <c r="AH2163">
        <v>5.8400000000000001E-2</v>
      </c>
      <c r="AI2163">
        <v>5.8000000000000003E-2</v>
      </c>
      <c r="AJ2163">
        <v>5.5800000000000002E-2</v>
      </c>
      <c r="AK2163">
        <v>5.96E-2</v>
      </c>
      <c r="AL2163">
        <v>5.3999999999999999E-2</v>
      </c>
      <c r="AM2163">
        <v>5.8799999999999998E-2</v>
      </c>
      <c r="AN2163">
        <v>5.6300000000000003E-2</v>
      </c>
      <c r="AO2163">
        <v>5.5899999999999998E-2</v>
      </c>
      <c r="AP2163">
        <v>5.8400000000000001E-2</v>
      </c>
      <c r="AQ2163">
        <v>5.67E-2</v>
      </c>
      <c r="AR2163">
        <v>6.13E-2</v>
      </c>
      <c r="AS2163">
        <v>5.7000000000000002E-2</v>
      </c>
      <c r="AT2163">
        <v>5.5E-2</v>
      </c>
      <c r="AU2163">
        <v>5.5E-2</v>
      </c>
      <c r="AV2163">
        <v>5.3400000000000003E-2</v>
      </c>
      <c r="AW2163">
        <v>5.1999999999999998E-2</v>
      </c>
      <c r="AX2163">
        <v>4.8099999999999997E-2</v>
      </c>
      <c r="AY2163">
        <v>4.5600000000000002E-2</v>
      </c>
      <c r="AZ2163">
        <v>4.4600000000000001E-2</v>
      </c>
      <c r="BA2163">
        <v>4.4400000000000002E-2</v>
      </c>
      <c r="BB2163">
        <v>4.4499999999999998E-2</v>
      </c>
      <c r="BC2163">
        <v>4.7699999999999999E-2</v>
      </c>
      <c r="BD2163">
        <v>5.2200000000000003E-2</v>
      </c>
      <c r="BE2163">
        <v>5.21E-2</v>
      </c>
    </row>
    <row r="2164" spans="1:57" x14ac:dyDescent="0.4">
      <c r="A2164" t="s">
        <v>0</v>
      </c>
      <c r="B2164">
        <v>11</v>
      </c>
      <c r="C2164">
        <v>8.9999999999999998E-4</v>
      </c>
      <c r="D2164">
        <v>1.5E-3</v>
      </c>
      <c r="E2164">
        <v>1.5E-3</v>
      </c>
      <c r="F2164">
        <v>1.0200000000000001E-2</v>
      </c>
      <c r="G2164">
        <v>7.6E-3</v>
      </c>
      <c r="H2164">
        <v>2.47E-2</v>
      </c>
      <c r="I2164">
        <v>3.3700000000000001E-2</v>
      </c>
      <c r="J2164">
        <v>5.5599999999999997E-2</v>
      </c>
      <c r="K2164">
        <v>0.14949999999999999</v>
      </c>
      <c r="L2164">
        <v>0.1331</v>
      </c>
      <c r="M2164">
        <v>0.17380000000000001</v>
      </c>
      <c r="N2164">
        <v>7.3899999999999993E-2</v>
      </c>
      <c r="O2164">
        <v>5.8000000000000003E-2</v>
      </c>
      <c r="P2164">
        <v>4.4900000000000002E-2</v>
      </c>
      <c r="Q2164">
        <v>4.5499999999999999E-2</v>
      </c>
      <c r="R2164">
        <v>3.5299999999999998E-2</v>
      </c>
      <c r="S2164">
        <v>3.27E-2</v>
      </c>
      <c r="T2164">
        <v>3.1199999999999999E-2</v>
      </c>
      <c r="U2164">
        <v>3.0700000000000002E-2</v>
      </c>
      <c r="V2164">
        <v>2.7E-2</v>
      </c>
      <c r="W2164">
        <v>2.5700000000000001E-2</v>
      </c>
      <c r="X2164">
        <v>2.4799999999999999E-2</v>
      </c>
      <c r="Y2164">
        <v>2.2800000000000001E-2</v>
      </c>
      <c r="Z2164">
        <v>2.3800000000000002E-2</v>
      </c>
      <c r="AA2164">
        <v>2.1999999999999999E-2</v>
      </c>
      <c r="AB2164">
        <v>2.1700000000000001E-2</v>
      </c>
      <c r="AC2164">
        <v>2.5100000000000001E-2</v>
      </c>
      <c r="AD2164">
        <v>2.6599999999999999E-2</v>
      </c>
      <c r="AE2164">
        <v>2.4500000000000001E-2</v>
      </c>
      <c r="AF2164">
        <v>2.3199999999999998E-2</v>
      </c>
      <c r="AG2164">
        <v>2.1899999999999999E-2</v>
      </c>
      <c r="AH2164">
        <v>2.29E-2</v>
      </c>
      <c r="AI2164">
        <v>2.41E-2</v>
      </c>
      <c r="AJ2164">
        <v>2.3E-2</v>
      </c>
      <c r="AK2164">
        <v>2.12E-2</v>
      </c>
      <c r="AL2164">
        <v>2.46E-2</v>
      </c>
      <c r="AM2164">
        <v>2.18E-2</v>
      </c>
      <c r="AN2164">
        <v>2.24E-2</v>
      </c>
      <c r="AO2164">
        <v>2.24E-2</v>
      </c>
      <c r="AP2164">
        <v>2.35E-2</v>
      </c>
      <c r="AQ2164">
        <v>2.24E-2</v>
      </c>
      <c r="AR2164">
        <v>2.3400000000000001E-2</v>
      </c>
      <c r="AS2164">
        <v>2.3599999999999999E-2</v>
      </c>
      <c r="AT2164">
        <v>2.3300000000000001E-2</v>
      </c>
      <c r="AU2164">
        <v>2.1899999999999999E-2</v>
      </c>
      <c r="AV2164">
        <v>2.0400000000000001E-2</v>
      </c>
      <c r="AW2164">
        <v>1.95E-2</v>
      </c>
      <c r="AX2164">
        <v>2.1100000000000001E-2</v>
      </c>
      <c r="AY2164">
        <v>1.89E-2</v>
      </c>
      <c r="AZ2164">
        <v>1.8100000000000002E-2</v>
      </c>
      <c r="BA2164">
        <v>1.8100000000000002E-2</v>
      </c>
      <c r="BB2164">
        <v>1.8100000000000002E-2</v>
      </c>
      <c r="BC2164">
        <v>1.77E-2</v>
      </c>
      <c r="BD2164">
        <v>1.8200000000000001E-2</v>
      </c>
      <c r="BE2164">
        <v>2.12E-2</v>
      </c>
    </row>
    <row r="2165" spans="1:57" x14ac:dyDescent="0.4">
      <c r="A2165" t="s">
        <v>0</v>
      </c>
      <c r="B2165">
        <v>12</v>
      </c>
      <c r="C2165">
        <v>1E-4</v>
      </c>
      <c r="D2165">
        <v>4.0000000000000002E-4</v>
      </c>
      <c r="E2165">
        <v>8.0000000000000004E-4</v>
      </c>
      <c r="F2165">
        <v>8.0000000000000004E-4</v>
      </c>
      <c r="G2165">
        <v>5.1999999999999998E-3</v>
      </c>
      <c r="H2165">
        <v>3.8E-3</v>
      </c>
      <c r="I2165">
        <v>1.1900000000000001E-2</v>
      </c>
      <c r="J2165">
        <v>1.5800000000000002E-2</v>
      </c>
      <c r="K2165">
        <v>2.5999999999999999E-2</v>
      </c>
      <c r="L2165">
        <v>6.9000000000000006E-2</v>
      </c>
      <c r="M2165">
        <v>6.0499999999999998E-2</v>
      </c>
      <c r="N2165">
        <v>7.7299999999999994E-2</v>
      </c>
      <c r="O2165">
        <v>3.2099999999999997E-2</v>
      </c>
      <c r="P2165">
        <v>2.4500000000000001E-2</v>
      </c>
      <c r="Q2165">
        <v>1.8700000000000001E-2</v>
      </c>
      <c r="R2165">
        <v>1.9099999999999999E-2</v>
      </c>
      <c r="S2165">
        <v>1.4999999999999999E-2</v>
      </c>
      <c r="T2165">
        <v>1.3599999999999999E-2</v>
      </c>
      <c r="U2165">
        <v>1.2800000000000001E-2</v>
      </c>
      <c r="V2165">
        <v>1.2800000000000001E-2</v>
      </c>
      <c r="W2165">
        <v>1.14E-2</v>
      </c>
      <c r="X2165">
        <v>1.0699999999999999E-2</v>
      </c>
      <c r="Y2165">
        <v>1.06E-2</v>
      </c>
      <c r="Z2165">
        <v>9.2999999999999992E-3</v>
      </c>
      <c r="AA2165">
        <v>1.01E-2</v>
      </c>
      <c r="AB2165">
        <v>9.1999999999999998E-3</v>
      </c>
      <c r="AC2165">
        <v>9.4999999999999998E-3</v>
      </c>
      <c r="AD2165">
        <v>0.01</v>
      </c>
      <c r="AE2165">
        <v>1.09E-2</v>
      </c>
      <c r="AF2165">
        <v>0.01</v>
      </c>
      <c r="AG2165">
        <v>9.4000000000000004E-3</v>
      </c>
      <c r="AH2165">
        <v>8.6E-3</v>
      </c>
      <c r="AI2165">
        <v>9.7999999999999997E-3</v>
      </c>
      <c r="AJ2165">
        <v>9.2999999999999992E-3</v>
      </c>
      <c r="AK2165">
        <v>9.2999999999999992E-3</v>
      </c>
      <c r="AL2165">
        <v>8.6999999999999994E-3</v>
      </c>
      <c r="AM2165">
        <v>9.9000000000000008E-3</v>
      </c>
      <c r="AN2165">
        <v>9.1000000000000004E-3</v>
      </c>
      <c r="AO2165">
        <v>9.7999999999999997E-3</v>
      </c>
      <c r="AP2165">
        <v>9.4999999999999998E-3</v>
      </c>
      <c r="AQ2165">
        <v>9.4000000000000004E-3</v>
      </c>
      <c r="AR2165">
        <v>9.1000000000000004E-3</v>
      </c>
      <c r="AS2165">
        <v>9.1999999999999998E-3</v>
      </c>
      <c r="AT2165">
        <v>9.5999999999999992E-3</v>
      </c>
      <c r="AU2165">
        <v>8.3999999999999995E-3</v>
      </c>
      <c r="AV2165">
        <v>8.6999999999999994E-3</v>
      </c>
      <c r="AW2165">
        <v>8.3999999999999995E-3</v>
      </c>
      <c r="AX2165">
        <v>7.7999999999999996E-3</v>
      </c>
      <c r="AY2165">
        <v>8.6E-3</v>
      </c>
      <c r="AZ2165">
        <v>7.7000000000000002E-3</v>
      </c>
      <c r="BA2165">
        <v>7.7000000000000002E-3</v>
      </c>
      <c r="BB2165">
        <v>7.3000000000000001E-3</v>
      </c>
      <c r="BC2165">
        <v>6.7999999999999996E-3</v>
      </c>
      <c r="BD2165">
        <v>7.1000000000000004E-3</v>
      </c>
      <c r="BE2165">
        <v>7.6E-3</v>
      </c>
    </row>
    <row r="2166" spans="1:57" x14ac:dyDescent="0.4">
      <c r="A2166" t="s">
        <v>0</v>
      </c>
      <c r="B2166">
        <v>13</v>
      </c>
      <c r="C2166">
        <v>0</v>
      </c>
      <c r="D2166">
        <v>0</v>
      </c>
      <c r="E2166">
        <v>2.0000000000000001E-4</v>
      </c>
      <c r="F2166">
        <v>4.0000000000000002E-4</v>
      </c>
      <c r="G2166">
        <v>4.0000000000000002E-4</v>
      </c>
      <c r="H2166">
        <v>2.5999999999999999E-3</v>
      </c>
      <c r="I2166">
        <v>1.9E-3</v>
      </c>
      <c r="J2166">
        <v>5.5999999999999999E-3</v>
      </c>
      <c r="K2166">
        <v>7.3000000000000001E-3</v>
      </c>
      <c r="L2166">
        <v>1.1900000000000001E-2</v>
      </c>
      <c r="M2166">
        <v>3.0200000000000001E-2</v>
      </c>
      <c r="N2166">
        <v>2.6100000000000002E-2</v>
      </c>
      <c r="O2166">
        <v>3.3700000000000001E-2</v>
      </c>
      <c r="P2166">
        <v>1.38E-2</v>
      </c>
      <c r="Q2166">
        <v>1.04E-2</v>
      </c>
      <c r="R2166">
        <v>8.0999999999999996E-3</v>
      </c>
      <c r="S2166">
        <v>7.7000000000000002E-3</v>
      </c>
      <c r="T2166">
        <v>6.4999999999999997E-3</v>
      </c>
      <c r="U2166">
        <v>5.7999999999999996E-3</v>
      </c>
      <c r="V2166">
        <v>5.5999999999999999E-3</v>
      </c>
      <c r="W2166">
        <v>5.3E-3</v>
      </c>
      <c r="X2166">
        <v>4.7999999999999996E-3</v>
      </c>
      <c r="Y2166">
        <v>4.3E-3</v>
      </c>
      <c r="Z2166">
        <v>4.1999999999999997E-3</v>
      </c>
      <c r="AA2166">
        <v>3.8E-3</v>
      </c>
      <c r="AB2166">
        <v>4.3E-3</v>
      </c>
      <c r="AC2166">
        <v>3.8E-3</v>
      </c>
      <c r="AD2166">
        <v>3.8E-3</v>
      </c>
      <c r="AE2166">
        <v>4.0000000000000001E-3</v>
      </c>
      <c r="AF2166">
        <v>4.7000000000000002E-3</v>
      </c>
      <c r="AG2166">
        <v>4.0000000000000001E-3</v>
      </c>
      <c r="AH2166">
        <v>3.8999999999999998E-3</v>
      </c>
      <c r="AI2166">
        <v>3.5999999999999999E-3</v>
      </c>
      <c r="AJ2166">
        <v>3.8999999999999998E-3</v>
      </c>
      <c r="AK2166">
        <v>3.5999999999999999E-3</v>
      </c>
      <c r="AL2166">
        <v>4.1000000000000003E-3</v>
      </c>
      <c r="AM2166">
        <v>3.5999999999999999E-3</v>
      </c>
      <c r="AN2166">
        <v>4.1000000000000003E-3</v>
      </c>
      <c r="AO2166">
        <v>3.8E-3</v>
      </c>
      <c r="AP2166">
        <v>4.1000000000000003E-3</v>
      </c>
      <c r="AQ2166">
        <v>4.0000000000000001E-3</v>
      </c>
      <c r="AR2166">
        <v>3.8999999999999998E-3</v>
      </c>
      <c r="AS2166">
        <v>3.8E-3</v>
      </c>
      <c r="AT2166">
        <v>3.7000000000000002E-3</v>
      </c>
      <c r="AU2166">
        <v>3.7000000000000002E-3</v>
      </c>
      <c r="AV2166">
        <v>3.3999999999999998E-3</v>
      </c>
      <c r="AW2166">
        <v>3.3999999999999998E-3</v>
      </c>
      <c r="AX2166">
        <v>3.3999999999999998E-3</v>
      </c>
      <c r="AY2166">
        <v>3.2000000000000002E-3</v>
      </c>
      <c r="AZ2166">
        <v>3.3999999999999998E-3</v>
      </c>
      <c r="BA2166">
        <v>3.2000000000000002E-3</v>
      </c>
      <c r="BB2166">
        <v>3.0000000000000001E-3</v>
      </c>
      <c r="BC2166">
        <v>2.8E-3</v>
      </c>
      <c r="BD2166">
        <v>2.7000000000000001E-3</v>
      </c>
      <c r="BE2166">
        <v>3.0000000000000001E-3</v>
      </c>
    </row>
    <row r="2167" spans="1:57" x14ac:dyDescent="0.4">
      <c r="A2167" t="s">
        <v>0</v>
      </c>
      <c r="B2167">
        <v>14</v>
      </c>
      <c r="C2167">
        <v>0</v>
      </c>
      <c r="D2167">
        <v>0</v>
      </c>
      <c r="E2167">
        <v>0</v>
      </c>
      <c r="F2167">
        <v>1E-4</v>
      </c>
      <c r="G2167">
        <v>2.0000000000000001E-4</v>
      </c>
      <c r="H2167">
        <v>2.0000000000000001E-4</v>
      </c>
      <c r="I2167">
        <v>1.2999999999999999E-3</v>
      </c>
      <c r="J2167">
        <v>8.9999999999999998E-4</v>
      </c>
      <c r="K2167">
        <v>2.7000000000000001E-3</v>
      </c>
      <c r="L2167">
        <v>3.3E-3</v>
      </c>
      <c r="M2167">
        <v>5.4000000000000003E-3</v>
      </c>
      <c r="N2167">
        <v>1.3299999999999999E-2</v>
      </c>
      <c r="O2167">
        <v>1.1299999999999999E-2</v>
      </c>
      <c r="P2167">
        <v>1.4500000000000001E-2</v>
      </c>
      <c r="Q2167">
        <v>5.7000000000000002E-3</v>
      </c>
      <c r="R2167">
        <v>4.4000000000000003E-3</v>
      </c>
      <c r="S2167">
        <v>3.5999999999999999E-3</v>
      </c>
      <c r="T2167">
        <v>3.2000000000000002E-3</v>
      </c>
      <c r="U2167">
        <v>2.8E-3</v>
      </c>
      <c r="V2167">
        <v>2.3999999999999998E-3</v>
      </c>
      <c r="W2167">
        <v>2.3999999999999998E-3</v>
      </c>
      <c r="X2167">
        <v>2.3E-3</v>
      </c>
      <c r="Y2167">
        <v>1.9E-3</v>
      </c>
      <c r="Z2167">
        <v>1.8E-3</v>
      </c>
      <c r="AA2167">
        <v>1.6999999999999999E-3</v>
      </c>
      <c r="AB2167">
        <v>1.6000000000000001E-3</v>
      </c>
      <c r="AC2167">
        <v>1.6999999999999999E-3</v>
      </c>
      <c r="AD2167">
        <v>1.6000000000000001E-3</v>
      </c>
      <c r="AE2167">
        <v>1.6000000000000001E-3</v>
      </c>
      <c r="AF2167">
        <v>1.6000000000000001E-3</v>
      </c>
      <c r="AG2167">
        <v>1.9E-3</v>
      </c>
      <c r="AH2167">
        <v>1.6000000000000001E-3</v>
      </c>
      <c r="AI2167">
        <v>1.6000000000000001E-3</v>
      </c>
      <c r="AJ2167">
        <v>1.4E-3</v>
      </c>
      <c r="AK2167">
        <v>1.6000000000000001E-3</v>
      </c>
      <c r="AL2167">
        <v>1.5E-3</v>
      </c>
      <c r="AM2167">
        <v>1.6999999999999999E-3</v>
      </c>
      <c r="AN2167">
        <v>1.6000000000000001E-3</v>
      </c>
      <c r="AO2167">
        <v>1.6000000000000001E-3</v>
      </c>
      <c r="AP2167">
        <v>1.5E-3</v>
      </c>
      <c r="AQ2167">
        <v>1.6000000000000001E-3</v>
      </c>
      <c r="AR2167">
        <v>1.6999999999999999E-3</v>
      </c>
      <c r="AS2167">
        <v>1.6999999999999999E-3</v>
      </c>
      <c r="AT2167">
        <v>1.6000000000000001E-3</v>
      </c>
      <c r="AU2167">
        <v>1.4E-3</v>
      </c>
      <c r="AV2167">
        <v>1.4E-3</v>
      </c>
      <c r="AW2167">
        <v>1.4E-3</v>
      </c>
      <c r="AX2167">
        <v>1.4E-3</v>
      </c>
      <c r="AY2167">
        <v>1.2999999999999999E-3</v>
      </c>
      <c r="AZ2167">
        <v>1.4E-3</v>
      </c>
      <c r="BA2167">
        <v>1.4E-3</v>
      </c>
      <c r="BB2167">
        <v>1.1999999999999999E-3</v>
      </c>
      <c r="BC2167">
        <v>1.1999999999999999E-3</v>
      </c>
      <c r="BD2167">
        <v>1.1000000000000001E-3</v>
      </c>
      <c r="BE2167">
        <v>1.1000000000000001E-3</v>
      </c>
    </row>
    <row r="2168" spans="1:57" x14ac:dyDescent="0.4">
      <c r="A2168" t="s">
        <v>0</v>
      </c>
      <c r="B2168">
        <v>15</v>
      </c>
      <c r="C2168">
        <v>0</v>
      </c>
      <c r="D2168">
        <v>0</v>
      </c>
      <c r="E2168">
        <v>0</v>
      </c>
      <c r="F2168">
        <v>0</v>
      </c>
      <c r="G2168">
        <v>1E-4</v>
      </c>
      <c r="H2168">
        <v>1E-4</v>
      </c>
      <c r="I2168">
        <v>2.0000000000000001E-4</v>
      </c>
      <c r="J2168">
        <v>6.9999999999999999E-4</v>
      </c>
      <c r="K2168">
        <v>8.0000000000000004E-4</v>
      </c>
      <c r="L2168">
        <v>1.6000000000000001E-3</v>
      </c>
      <c r="M2168">
        <v>2.2000000000000001E-3</v>
      </c>
      <c r="N2168">
        <v>3.5000000000000001E-3</v>
      </c>
      <c r="O2168">
        <v>7.3000000000000001E-3</v>
      </c>
      <c r="P2168">
        <v>8.2000000000000007E-3</v>
      </c>
      <c r="Q2168">
        <v>9.5999999999999992E-3</v>
      </c>
      <c r="R2168">
        <v>6.7999999999999996E-3</v>
      </c>
      <c r="S2168">
        <v>5.1999999999999998E-3</v>
      </c>
      <c r="T2168">
        <v>4.0000000000000001E-3</v>
      </c>
      <c r="U2168">
        <v>3.2000000000000002E-3</v>
      </c>
      <c r="V2168">
        <v>2.8999999999999998E-3</v>
      </c>
      <c r="W2168">
        <v>2.3E-3</v>
      </c>
      <c r="X2168">
        <v>2.2000000000000001E-3</v>
      </c>
      <c r="Y2168">
        <v>1.9E-3</v>
      </c>
      <c r="Z2168">
        <v>1.6000000000000001E-3</v>
      </c>
      <c r="AA2168">
        <v>1.6999999999999999E-3</v>
      </c>
      <c r="AB2168">
        <v>1.5E-3</v>
      </c>
      <c r="AC2168">
        <v>1.4E-3</v>
      </c>
      <c r="AD2168">
        <v>1.4E-3</v>
      </c>
      <c r="AE2168">
        <v>1.4E-3</v>
      </c>
      <c r="AF2168">
        <v>1.5E-3</v>
      </c>
      <c r="AG2168">
        <v>1.4E-3</v>
      </c>
      <c r="AH2168">
        <v>1.5E-3</v>
      </c>
      <c r="AI2168">
        <v>1.4E-3</v>
      </c>
      <c r="AJ2168">
        <v>1.2999999999999999E-3</v>
      </c>
      <c r="AK2168">
        <v>1.1999999999999999E-3</v>
      </c>
      <c r="AL2168">
        <v>1.1999999999999999E-3</v>
      </c>
      <c r="AM2168">
        <v>1.1999999999999999E-3</v>
      </c>
      <c r="AN2168">
        <v>1.2999999999999999E-3</v>
      </c>
      <c r="AO2168">
        <v>1.4E-3</v>
      </c>
      <c r="AP2168">
        <v>1.2999999999999999E-3</v>
      </c>
      <c r="AQ2168">
        <v>1.1999999999999999E-3</v>
      </c>
      <c r="AR2168">
        <v>1.1999999999999999E-3</v>
      </c>
      <c r="AS2168">
        <v>1.1999999999999999E-3</v>
      </c>
      <c r="AT2168">
        <v>1.2999999999999999E-3</v>
      </c>
      <c r="AU2168">
        <v>1.2999999999999999E-3</v>
      </c>
      <c r="AV2168">
        <v>1.1999999999999999E-3</v>
      </c>
      <c r="AW2168">
        <v>1.1000000000000001E-3</v>
      </c>
      <c r="AX2168">
        <v>1.1999999999999999E-3</v>
      </c>
      <c r="AY2168">
        <v>1.2999999999999999E-3</v>
      </c>
      <c r="AZ2168">
        <v>1.1000000000000001E-3</v>
      </c>
      <c r="BA2168">
        <v>1.1000000000000001E-3</v>
      </c>
      <c r="BB2168">
        <v>1.1000000000000001E-3</v>
      </c>
      <c r="BC2168">
        <v>1E-3</v>
      </c>
      <c r="BD2168">
        <v>1E-3</v>
      </c>
      <c r="BE2168">
        <v>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7"/>
  <sheetViews>
    <sheetView zoomScale="50" zoomScaleNormal="50" workbookViewId="0">
      <selection activeCell="E23" sqref="E23:Y37"/>
    </sheetView>
  </sheetViews>
  <sheetFormatPr defaultRowHeight="14.6" x14ac:dyDescent="0.4"/>
  <cols>
    <col min="2" max="28" width="10.61328125" style="7" customWidth="1"/>
    <col min="29" max="16384" width="9.23046875" style="15"/>
  </cols>
  <sheetData>
    <row r="1" spans="1:28" ht="26.15" x14ac:dyDescent="0.7">
      <c r="B1" s="4" t="s">
        <v>103</v>
      </c>
    </row>
    <row r="2" spans="1:28" ht="18" x14ac:dyDescent="0.45">
      <c r="K2" s="206"/>
      <c r="L2" s="206"/>
      <c r="M2" s="206"/>
      <c r="N2" s="206"/>
      <c r="O2" s="206"/>
      <c r="P2" s="206"/>
      <c r="Q2" s="206"/>
      <c r="R2" s="206"/>
    </row>
    <row r="3" spans="1:28" ht="16.3" customHeight="1" thickBot="1" x14ac:dyDescent="0.5">
      <c r="G3" s="214"/>
      <c r="H3" s="214"/>
      <c r="I3" s="214"/>
    </row>
    <row r="4" spans="1:28" s="137" customFormat="1" ht="27.9" customHeight="1" thickBot="1" x14ac:dyDescent="0.55000000000000004">
      <c r="A4" s="126"/>
      <c r="B4" s="199" t="s">
        <v>166</v>
      </c>
      <c r="C4" s="200"/>
      <c r="D4" s="200"/>
      <c r="E4" s="200"/>
      <c r="F4" s="200"/>
      <c r="G4" s="200"/>
      <c r="H4" s="200"/>
      <c r="I4" s="201"/>
      <c r="J4" s="127"/>
      <c r="K4" s="199" t="s">
        <v>167</v>
      </c>
      <c r="L4" s="200"/>
      <c r="M4" s="200"/>
      <c r="N4" s="200"/>
      <c r="O4" s="200"/>
      <c r="P4" s="200"/>
      <c r="Q4" s="200"/>
      <c r="R4" s="201"/>
      <c r="S4" s="127"/>
      <c r="T4" s="199" t="s">
        <v>168</v>
      </c>
      <c r="U4" s="200"/>
      <c r="V4" s="200"/>
      <c r="W4" s="200"/>
      <c r="X4" s="200"/>
      <c r="Y4" s="200"/>
      <c r="Z4" s="200"/>
      <c r="AA4" s="201"/>
      <c r="AB4" s="127"/>
    </row>
    <row r="5" spans="1:28" s="19" customFormat="1" ht="22.75" customHeight="1" thickBot="1" x14ac:dyDescent="0.5">
      <c r="A5" s="6"/>
      <c r="B5" s="202" t="s">
        <v>94</v>
      </c>
      <c r="C5" s="203"/>
      <c r="D5" s="203"/>
      <c r="E5" s="203"/>
      <c r="F5" s="203"/>
      <c r="G5" s="203"/>
      <c r="H5" s="203"/>
      <c r="I5" s="204"/>
      <c r="J5" s="49"/>
      <c r="K5" s="202" t="s">
        <v>94</v>
      </c>
      <c r="L5" s="203"/>
      <c r="M5" s="203"/>
      <c r="N5" s="203"/>
      <c r="O5" s="203"/>
      <c r="P5" s="203"/>
      <c r="Q5" s="203"/>
      <c r="R5" s="204"/>
      <c r="S5" s="48"/>
      <c r="T5" s="202" t="s">
        <v>94</v>
      </c>
      <c r="U5" s="203"/>
      <c r="V5" s="203"/>
      <c r="W5" s="203"/>
      <c r="X5" s="203"/>
      <c r="Y5" s="203"/>
      <c r="Z5" s="203"/>
      <c r="AA5" s="204"/>
      <c r="AB5" s="49"/>
    </row>
    <row r="6" spans="1:28" s="74" customFormat="1" ht="18.899999999999999" thickBot="1" x14ac:dyDescent="0.55000000000000004">
      <c r="A6" s="73"/>
      <c r="B6" s="71" t="s">
        <v>22</v>
      </c>
      <c r="C6" s="47" t="s">
        <v>93</v>
      </c>
      <c r="D6" s="47" t="s">
        <v>71</v>
      </c>
      <c r="E6" s="47" t="s">
        <v>89</v>
      </c>
      <c r="F6" s="50" t="s">
        <v>70</v>
      </c>
      <c r="G6" s="47" t="s">
        <v>90</v>
      </c>
      <c r="H6" s="47" t="s">
        <v>72</v>
      </c>
      <c r="I6" s="72" t="s">
        <v>92</v>
      </c>
      <c r="J6" s="49"/>
      <c r="K6" s="71" t="s">
        <v>22</v>
      </c>
      <c r="L6" s="47" t="s">
        <v>93</v>
      </c>
      <c r="M6" s="47" t="s">
        <v>71</v>
      </c>
      <c r="N6" s="47" t="s">
        <v>89</v>
      </c>
      <c r="O6" s="50" t="s">
        <v>70</v>
      </c>
      <c r="P6" s="47" t="s">
        <v>90</v>
      </c>
      <c r="Q6" s="47" t="s">
        <v>72</v>
      </c>
      <c r="R6" s="72" t="s">
        <v>92</v>
      </c>
      <c r="S6" s="49"/>
      <c r="T6" s="71" t="s">
        <v>22</v>
      </c>
      <c r="U6" s="47" t="s">
        <v>93</v>
      </c>
      <c r="V6" s="47" t="s">
        <v>71</v>
      </c>
      <c r="W6" s="47" t="s">
        <v>89</v>
      </c>
      <c r="X6" s="50" t="s">
        <v>70</v>
      </c>
      <c r="Y6" s="47" t="s">
        <v>90</v>
      </c>
      <c r="Z6" s="47" t="s">
        <v>72</v>
      </c>
      <c r="AA6" s="72" t="s">
        <v>92</v>
      </c>
      <c r="AB6" s="49"/>
    </row>
    <row r="7" spans="1:28" s="19" customFormat="1" ht="18" x14ac:dyDescent="0.45">
      <c r="A7" s="6"/>
      <c r="B7" s="75">
        <v>2021</v>
      </c>
      <c r="C7" s="30">
        <v>1539.8</v>
      </c>
      <c r="D7" s="30">
        <v>1539.8</v>
      </c>
      <c r="E7" s="30">
        <v>1539.8</v>
      </c>
      <c r="F7" s="30">
        <v>1539.8</v>
      </c>
      <c r="G7" s="30">
        <v>1539.8</v>
      </c>
      <c r="H7" s="30">
        <v>1539.8</v>
      </c>
      <c r="I7" s="56">
        <v>1539.8</v>
      </c>
      <c r="J7" s="49"/>
      <c r="K7" s="75">
        <v>2021</v>
      </c>
      <c r="L7" s="30">
        <v>1539.8</v>
      </c>
      <c r="M7" s="30">
        <v>1539.8</v>
      </c>
      <c r="N7" s="30">
        <v>1539.8</v>
      </c>
      <c r="O7" s="30">
        <v>1539.8</v>
      </c>
      <c r="P7" s="30">
        <v>1539.8</v>
      </c>
      <c r="Q7" s="30">
        <v>1539.8</v>
      </c>
      <c r="R7" s="56">
        <v>1539.8</v>
      </c>
      <c r="S7" s="49"/>
      <c r="T7" s="75">
        <v>2021</v>
      </c>
      <c r="U7" s="30">
        <v>1539.8</v>
      </c>
      <c r="V7" s="30">
        <v>1539.8</v>
      </c>
      <c r="W7" s="30">
        <v>1539.8</v>
      </c>
      <c r="X7" s="30">
        <v>1539.8</v>
      </c>
      <c r="Y7" s="30">
        <v>1539.8</v>
      </c>
      <c r="Z7" s="30">
        <v>1539.8</v>
      </c>
      <c r="AA7" s="56">
        <v>1539.8</v>
      </c>
      <c r="AB7" s="49"/>
    </row>
    <row r="8" spans="1:28" s="19" customFormat="1" ht="18" x14ac:dyDescent="0.45">
      <c r="A8" s="6"/>
      <c r="B8" s="75">
        <v>2022</v>
      </c>
      <c r="C8" s="30">
        <v>1473.9</v>
      </c>
      <c r="D8" s="30">
        <v>1473.9</v>
      </c>
      <c r="E8" s="30">
        <v>1473.9</v>
      </c>
      <c r="F8" s="30">
        <v>1473.9</v>
      </c>
      <c r="G8" s="30">
        <v>1473.9</v>
      </c>
      <c r="H8" s="30">
        <v>1473.9</v>
      </c>
      <c r="I8" s="56">
        <v>1473.9</v>
      </c>
      <c r="J8" s="49"/>
      <c r="K8" s="75">
        <v>2022</v>
      </c>
      <c r="L8" s="30">
        <v>1473.9</v>
      </c>
      <c r="M8" s="30">
        <v>1473.9</v>
      </c>
      <c r="N8" s="30">
        <v>1473.9</v>
      </c>
      <c r="O8" s="30">
        <v>1473.9</v>
      </c>
      <c r="P8" s="30">
        <v>1473.9</v>
      </c>
      <c r="Q8" s="30">
        <v>1473.9</v>
      </c>
      <c r="R8" s="56">
        <v>1473.9</v>
      </c>
      <c r="S8" s="49"/>
      <c r="T8" s="75">
        <v>2022</v>
      </c>
      <c r="U8" s="30">
        <v>1473.9</v>
      </c>
      <c r="V8" s="30">
        <v>1473.9</v>
      </c>
      <c r="W8" s="30">
        <v>1473.9</v>
      </c>
      <c r="X8" s="30">
        <v>1473.9</v>
      </c>
      <c r="Y8" s="30">
        <v>1473.9</v>
      </c>
      <c r="Z8" s="30">
        <v>1473.9</v>
      </c>
      <c r="AA8" s="56">
        <v>1473.9</v>
      </c>
      <c r="AB8" s="49"/>
    </row>
    <row r="9" spans="1:28" s="19" customFormat="1" ht="18" x14ac:dyDescent="0.45">
      <c r="A9" s="6"/>
      <c r="B9" s="75">
        <v>2023</v>
      </c>
      <c r="C9" s="30">
        <v>1685.4</v>
      </c>
      <c r="D9" s="30">
        <v>1685.4</v>
      </c>
      <c r="E9" s="30">
        <v>1685.4</v>
      </c>
      <c r="F9" s="30">
        <v>1685.4</v>
      </c>
      <c r="G9" s="30">
        <v>1685.4</v>
      </c>
      <c r="H9" s="30">
        <v>1685.4</v>
      </c>
      <c r="I9" s="56">
        <v>1685.4</v>
      </c>
      <c r="J9" s="49"/>
      <c r="K9" s="75">
        <v>2023</v>
      </c>
      <c r="L9" s="30">
        <v>1685.4</v>
      </c>
      <c r="M9" s="30">
        <v>1685.4</v>
      </c>
      <c r="N9" s="30">
        <v>1685.4</v>
      </c>
      <c r="O9" s="30">
        <v>1685.4</v>
      </c>
      <c r="P9" s="30">
        <v>1685.4</v>
      </c>
      <c r="Q9" s="30">
        <v>1685.4</v>
      </c>
      <c r="R9" s="56">
        <v>1685.4</v>
      </c>
      <c r="S9" s="49"/>
      <c r="T9" s="75">
        <v>2023</v>
      </c>
      <c r="U9" s="30">
        <v>1685.4</v>
      </c>
      <c r="V9" s="30">
        <v>1685.4</v>
      </c>
      <c r="W9" s="30">
        <v>1685.4</v>
      </c>
      <c r="X9" s="30">
        <v>1685.4</v>
      </c>
      <c r="Y9" s="30">
        <v>1685.4</v>
      </c>
      <c r="Z9" s="30">
        <v>1685.4</v>
      </c>
      <c r="AA9" s="56">
        <v>1685.4</v>
      </c>
      <c r="AB9" s="49"/>
    </row>
    <row r="10" spans="1:28" s="19" customFormat="1" ht="18" x14ac:dyDescent="0.45">
      <c r="A10" s="6"/>
      <c r="B10" s="75">
        <v>2024</v>
      </c>
      <c r="C10" s="30">
        <v>2156.6999999999998</v>
      </c>
      <c r="D10" s="30">
        <v>2156.6999999999998</v>
      </c>
      <c r="E10" s="30">
        <v>2156.6999999999998</v>
      </c>
      <c r="F10" s="30">
        <v>2156.6999999999998</v>
      </c>
      <c r="G10" s="30">
        <v>2156.6999999999998</v>
      </c>
      <c r="H10" s="30">
        <v>2156.6999999999998</v>
      </c>
      <c r="I10" s="56">
        <v>2156.6999999999998</v>
      </c>
      <c r="J10" s="49"/>
      <c r="K10" s="75">
        <v>2024</v>
      </c>
      <c r="L10" s="30">
        <v>2156.6999999999998</v>
      </c>
      <c r="M10" s="30">
        <v>2156.6999999999998</v>
      </c>
      <c r="N10" s="30">
        <v>2156.6999999999998</v>
      </c>
      <c r="O10" s="30">
        <v>2156.6999999999998</v>
      </c>
      <c r="P10" s="30">
        <v>2156.6999999999998</v>
      </c>
      <c r="Q10" s="30">
        <v>2156.6999999999998</v>
      </c>
      <c r="R10" s="56">
        <v>2156.6999999999998</v>
      </c>
      <c r="S10" s="49"/>
      <c r="T10" s="75">
        <v>2024</v>
      </c>
      <c r="U10" s="30">
        <v>2156.6999999999998</v>
      </c>
      <c r="V10" s="30">
        <v>2156.6999999999998</v>
      </c>
      <c r="W10" s="30">
        <v>2156.6999999999998</v>
      </c>
      <c r="X10" s="30">
        <v>2156.6999999999998</v>
      </c>
      <c r="Y10" s="30">
        <v>2156.6999999999998</v>
      </c>
      <c r="Z10" s="30">
        <v>2156.6999999999998</v>
      </c>
      <c r="AA10" s="56">
        <v>2156.6999999999998</v>
      </c>
      <c r="AB10" s="49"/>
    </row>
    <row r="11" spans="1:28" s="19" customFormat="1" ht="18" x14ac:dyDescent="0.45">
      <c r="A11" s="6"/>
      <c r="B11" s="75">
        <v>2025</v>
      </c>
      <c r="C11" s="30">
        <v>2400</v>
      </c>
      <c r="D11" s="30">
        <v>2400</v>
      </c>
      <c r="E11" s="30">
        <v>2400</v>
      </c>
      <c r="F11" s="30">
        <v>2400</v>
      </c>
      <c r="G11" s="30">
        <v>2400</v>
      </c>
      <c r="H11" s="30">
        <v>2400</v>
      </c>
      <c r="I11" s="56">
        <v>2400</v>
      </c>
      <c r="J11" s="49"/>
      <c r="K11" s="75">
        <v>2025</v>
      </c>
      <c r="L11" s="30">
        <v>3225</v>
      </c>
      <c r="M11" s="30">
        <v>3225</v>
      </c>
      <c r="N11" s="30">
        <v>3225</v>
      </c>
      <c r="O11" s="30">
        <v>3225</v>
      </c>
      <c r="P11" s="30">
        <v>3225</v>
      </c>
      <c r="Q11" s="30">
        <v>3225</v>
      </c>
      <c r="R11" s="56">
        <v>3225</v>
      </c>
      <c r="S11" s="49"/>
      <c r="T11" s="75">
        <v>2025</v>
      </c>
      <c r="U11" s="30">
        <v>3225</v>
      </c>
      <c r="V11" s="30">
        <v>3225</v>
      </c>
      <c r="W11" s="30">
        <v>3225</v>
      </c>
      <c r="X11" s="30">
        <v>3225</v>
      </c>
      <c r="Y11" s="30">
        <v>3225</v>
      </c>
      <c r="Z11" s="30">
        <v>3225</v>
      </c>
      <c r="AA11" s="56">
        <v>3225</v>
      </c>
      <c r="AB11" s="49"/>
    </row>
    <row r="12" spans="1:28" s="19" customFormat="1" ht="18" x14ac:dyDescent="0.45">
      <c r="A12" s="6"/>
      <c r="B12" s="75">
        <v>2026</v>
      </c>
      <c r="C12" s="30">
        <v>2400</v>
      </c>
      <c r="D12" s="30">
        <v>2400</v>
      </c>
      <c r="E12" s="30">
        <v>2400</v>
      </c>
      <c r="F12" s="30">
        <v>2400</v>
      </c>
      <c r="G12" s="30">
        <v>2400</v>
      </c>
      <c r="H12" s="30">
        <v>2400</v>
      </c>
      <c r="I12" s="56">
        <v>2400</v>
      </c>
      <c r="J12" s="49"/>
      <c r="K12" s="75">
        <v>2026</v>
      </c>
      <c r="L12" s="30">
        <v>2400</v>
      </c>
      <c r="M12" s="30">
        <v>2400</v>
      </c>
      <c r="N12" s="30">
        <v>2400</v>
      </c>
      <c r="O12" s="30">
        <v>2400</v>
      </c>
      <c r="P12" s="30">
        <v>2400</v>
      </c>
      <c r="Q12" s="30">
        <v>2400</v>
      </c>
      <c r="R12" s="56">
        <v>2400</v>
      </c>
      <c r="S12" s="49"/>
      <c r="T12" s="75">
        <v>2026</v>
      </c>
      <c r="U12" s="30">
        <v>3225</v>
      </c>
      <c r="V12" s="30">
        <v>3225</v>
      </c>
      <c r="W12" s="30">
        <v>3225</v>
      </c>
      <c r="X12" s="30">
        <v>3225</v>
      </c>
      <c r="Y12" s="30">
        <v>3225</v>
      </c>
      <c r="Z12" s="30">
        <v>3225</v>
      </c>
      <c r="AA12" s="56">
        <v>3225</v>
      </c>
      <c r="AB12" s="49"/>
    </row>
    <row r="13" spans="1:28" s="19" customFormat="1" ht="18" x14ac:dyDescent="0.45">
      <c r="A13" s="6"/>
      <c r="B13" s="75">
        <v>2027</v>
      </c>
      <c r="C13" s="30">
        <v>2400</v>
      </c>
      <c r="D13" s="30">
        <v>2400</v>
      </c>
      <c r="E13" s="30">
        <v>2400</v>
      </c>
      <c r="F13" s="30">
        <v>2400</v>
      </c>
      <c r="G13" s="30">
        <v>2400</v>
      </c>
      <c r="H13" s="30">
        <v>2400</v>
      </c>
      <c r="I13" s="56">
        <v>2400</v>
      </c>
      <c r="J13" s="49"/>
      <c r="K13" s="75">
        <v>2027</v>
      </c>
      <c r="L13" s="30">
        <v>2400</v>
      </c>
      <c r="M13" s="30">
        <v>2400</v>
      </c>
      <c r="N13" s="30">
        <v>2400</v>
      </c>
      <c r="O13" s="30">
        <v>2400</v>
      </c>
      <c r="P13" s="30">
        <v>2400</v>
      </c>
      <c r="Q13" s="30">
        <v>2400</v>
      </c>
      <c r="R13" s="56">
        <v>2400</v>
      </c>
      <c r="S13" s="49"/>
      <c r="T13" s="75">
        <v>2027</v>
      </c>
      <c r="U13" s="30">
        <v>2400</v>
      </c>
      <c r="V13" s="30">
        <v>2400</v>
      </c>
      <c r="W13" s="30">
        <v>2400</v>
      </c>
      <c r="X13" s="30">
        <v>2400</v>
      </c>
      <c r="Y13" s="30">
        <v>2400</v>
      </c>
      <c r="Z13" s="30">
        <v>2400</v>
      </c>
      <c r="AA13" s="56">
        <v>2400</v>
      </c>
      <c r="AB13" s="49"/>
    </row>
    <row r="14" spans="1:28" s="19" customFormat="1" ht="18" x14ac:dyDescent="0.45">
      <c r="A14" s="6"/>
      <c r="B14" s="75">
        <v>2028</v>
      </c>
      <c r="C14" s="30">
        <v>2300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56">
        <v>2300</v>
      </c>
      <c r="J14" s="49"/>
      <c r="K14" s="75">
        <v>2028</v>
      </c>
      <c r="L14" s="30">
        <v>2200</v>
      </c>
      <c r="M14" s="30">
        <v>2200</v>
      </c>
      <c r="N14" s="30">
        <v>2200</v>
      </c>
      <c r="O14" s="30">
        <v>2200</v>
      </c>
      <c r="P14" s="30">
        <v>2200</v>
      </c>
      <c r="Q14" s="30">
        <v>2200</v>
      </c>
      <c r="R14" s="56">
        <v>2200</v>
      </c>
      <c r="S14" s="49"/>
      <c r="T14" s="75">
        <v>2028</v>
      </c>
      <c r="U14" s="30">
        <v>2150</v>
      </c>
      <c r="V14" s="30">
        <v>2150</v>
      </c>
      <c r="W14" s="30">
        <v>2150</v>
      </c>
      <c r="X14" s="30">
        <v>2150</v>
      </c>
      <c r="Y14" s="30">
        <v>2150</v>
      </c>
      <c r="Z14" s="30">
        <v>2150</v>
      </c>
      <c r="AA14" s="56">
        <v>2150</v>
      </c>
      <c r="AB14" s="49"/>
    </row>
    <row r="15" spans="1:28" s="19" customFormat="1" ht="18" x14ac:dyDescent="0.45">
      <c r="A15" s="6"/>
      <c r="B15" s="75">
        <v>2029</v>
      </c>
      <c r="C15" s="30">
        <v>2300</v>
      </c>
      <c r="D15" s="30">
        <v>2300</v>
      </c>
      <c r="E15" s="30">
        <v>2300</v>
      </c>
      <c r="F15" s="30">
        <v>2300</v>
      </c>
      <c r="G15" s="30">
        <v>2300</v>
      </c>
      <c r="H15" s="30">
        <v>2300</v>
      </c>
      <c r="I15" s="56">
        <v>2300</v>
      </c>
      <c r="J15" s="49"/>
      <c r="K15" s="75">
        <v>2029</v>
      </c>
      <c r="L15" s="30">
        <v>2200</v>
      </c>
      <c r="M15" s="30">
        <v>2200</v>
      </c>
      <c r="N15" s="30">
        <v>2200</v>
      </c>
      <c r="O15" s="30">
        <v>2200</v>
      </c>
      <c r="P15" s="30">
        <v>2200</v>
      </c>
      <c r="Q15" s="30">
        <v>2200</v>
      </c>
      <c r="R15" s="56">
        <v>2200</v>
      </c>
      <c r="S15" s="49"/>
      <c r="T15" s="75">
        <v>2029</v>
      </c>
      <c r="U15" s="30">
        <v>2150</v>
      </c>
      <c r="V15" s="30">
        <v>2150</v>
      </c>
      <c r="W15" s="30">
        <v>2150</v>
      </c>
      <c r="X15" s="30">
        <v>2150</v>
      </c>
      <c r="Y15" s="30">
        <v>2150</v>
      </c>
      <c r="Z15" s="30">
        <v>2150</v>
      </c>
      <c r="AA15" s="56">
        <v>2150</v>
      </c>
      <c r="AB15" s="49"/>
    </row>
    <row r="16" spans="1:28" s="19" customFormat="1" ht="18" x14ac:dyDescent="0.45">
      <c r="A16" s="6"/>
      <c r="B16" s="75">
        <v>2030</v>
      </c>
      <c r="C16" s="30">
        <v>2300</v>
      </c>
      <c r="D16" s="30">
        <v>2300</v>
      </c>
      <c r="E16" s="30">
        <v>2300</v>
      </c>
      <c r="F16" s="30">
        <v>2300</v>
      </c>
      <c r="G16" s="30">
        <v>2300</v>
      </c>
      <c r="H16" s="30">
        <v>2300</v>
      </c>
      <c r="I16" s="56">
        <v>2300</v>
      </c>
      <c r="J16" s="49"/>
      <c r="K16" s="75">
        <v>2030</v>
      </c>
      <c r="L16" s="30">
        <v>2200</v>
      </c>
      <c r="M16" s="30">
        <v>2200</v>
      </c>
      <c r="N16" s="30">
        <v>2200</v>
      </c>
      <c r="O16" s="30">
        <v>2200</v>
      </c>
      <c r="P16" s="30">
        <v>2200</v>
      </c>
      <c r="Q16" s="30">
        <v>2200</v>
      </c>
      <c r="R16" s="56">
        <v>2200</v>
      </c>
      <c r="S16" s="49"/>
      <c r="T16" s="75">
        <v>2030</v>
      </c>
      <c r="U16" s="30">
        <v>2150</v>
      </c>
      <c r="V16" s="30">
        <v>2150</v>
      </c>
      <c r="W16" s="30">
        <v>2150</v>
      </c>
      <c r="X16" s="30">
        <v>2150</v>
      </c>
      <c r="Y16" s="30">
        <v>2150</v>
      </c>
      <c r="Z16" s="30">
        <v>2150</v>
      </c>
      <c r="AA16" s="56">
        <v>2150</v>
      </c>
      <c r="AB16" s="49"/>
    </row>
    <row r="17" spans="1:28" s="19" customFormat="1" ht="18" x14ac:dyDescent="0.45">
      <c r="A17" s="6"/>
      <c r="B17" s="75">
        <v>2031</v>
      </c>
      <c r="C17" s="30">
        <v>2300</v>
      </c>
      <c r="D17" s="30">
        <v>2300</v>
      </c>
      <c r="E17" s="30">
        <v>2300</v>
      </c>
      <c r="F17" s="30">
        <v>2300</v>
      </c>
      <c r="G17" s="30">
        <v>2300</v>
      </c>
      <c r="H17" s="30">
        <v>2300</v>
      </c>
      <c r="I17" s="56">
        <v>2300</v>
      </c>
      <c r="J17" s="49"/>
      <c r="K17" s="75">
        <v>2031</v>
      </c>
      <c r="L17" s="30">
        <v>2200</v>
      </c>
      <c r="M17" s="30">
        <v>2200</v>
      </c>
      <c r="N17" s="30">
        <v>2200</v>
      </c>
      <c r="O17" s="30">
        <v>2200</v>
      </c>
      <c r="P17" s="30">
        <v>2200</v>
      </c>
      <c r="Q17" s="30">
        <v>2200</v>
      </c>
      <c r="R17" s="56">
        <v>2200</v>
      </c>
      <c r="S17" s="49"/>
      <c r="T17" s="75">
        <v>2031</v>
      </c>
      <c r="U17" s="30">
        <v>2150</v>
      </c>
      <c r="V17" s="30">
        <v>2150</v>
      </c>
      <c r="W17" s="30">
        <v>2150</v>
      </c>
      <c r="X17" s="30">
        <v>2150</v>
      </c>
      <c r="Y17" s="30">
        <v>2150</v>
      </c>
      <c r="Z17" s="30">
        <v>2150</v>
      </c>
      <c r="AA17" s="56">
        <v>2150</v>
      </c>
      <c r="AB17" s="49"/>
    </row>
    <row r="18" spans="1:28" s="19" customFormat="1" ht="18" x14ac:dyDescent="0.45">
      <c r="A18" s="6"/>
      <c r="B18" s="75">
        <v>2032</v>
      </c>
      <c r="C18" s="30">
        <v>2200</v>
      </c>
      <c r="D18" s="30">
        <v>2200</v>
      </c>
      <c r="E18" s="30">
        <v>2200</v>
      </c>
      <c r="F18" s="30">
        <v>2200</v>
      </c>
      <c r="G18" s="30">
        <v>2200</v>
      </c>
      <c r="H18" s="30">
        <v>2200</v>
      </c>
      <c r="I18" s="56">
        <v>2200</v>
      </c>
      <c r="J18" s="49"/>
      <c r="K18" s="75">
        <v>2032</v>
      </c>
      <c r="L18" s="30">
        <v>2200</v>
      </c>
      <c r="M18" s="30">
        <v>2200</v>
      </c>
      <c r="N18" s="30">
        <v>2200</v>
      </c>
      <c r="O18" s="30">
        <v>2200</v>
      </c>
      <c r="P18" s="30">
        <v>2200</v>
      </c>
      <c r="Q18" s="30">
        <v>2200</v>
      </c>
      <c r="R18" s="56">
        <v>2200</v>
      </c>
      <c r="S18" s="49"/>
      <c r="T18" s="75">
        <v>2032</v>
      </c>
      <c r="U18" s="30">
        <v>2150</v>
      </c>
      <c r="V18" s="30">
        <v>2150</v>
      </c>
      <c r="W18" s="30">
        <v>2150</v>
      </c>
      <c r="X18" s="30">
        <v>2150</v>
      </c>
      <c r="Y18" s="30">
        <v>2150</v>
      </c>
      <c r="Z18" s="30">
        <v>2150</v>
      </c>
      <c r="AA18" s="56">
        <v>2150</v>
      </c>
      <c r="AB18" s="49"/>
    </row>
    <row r="19" spans="1:28" s="19" customFormat="1" ht="18" x14ac:dyDescent="0.45">
      <c r="A19" s="6"/>
      <c r="B19" s="75">
        <v>2033</v>
      </c>
      <c r="C19" s="30">
        <v>2200</v>
      </c>
      <c r="D19" s="30">
        <v>2200</v>
      </c>
      <c r="E19" s="30">
        <v>2200</v>
      </c>
      <c r="F19" s="30">
        <v>2200</v>
      </c>
      <c r="G19" s="30">
        <v>2200</v>
      </c>
      <c r="H19" s="30">
        <v>2200</v>
      </c>
      <c r="I19" s="56">
        <v>2200</v>
      </c>
      <c r="J19" s="49"/>
      <c r="K19" s="75">
        <v>2033</v>
      </c>
      <c r="L19" s="30">
        <v>2200</v>
      </c>
      <c r="M19" s="30">
        <v>2200</v>
      </c>
      <c r="N19" s="30">
        <v>2200</v>
      </c>
      <c r="O19" s="30">
        <v>2200</v>
      </c>
      <c r="P19" s="30">
        <v>2200</v>
      </c>
      <c r="Q19" s="30">
        <v>2200</v>
      </c>
      <c r="R19" s="56">
        <v>2200</v>
      </c>
      <c r="S19" s="49"/>
      <c r="T19" s="75">
        <v>2033</v>
      </c>
      <c r="U19" s="30">
        <v>2150</v>
      </c>
      <c r="V19" s="30">
        <v>2150</v>
      </c>
      <c r="W19" s="30">
        <v>2150</v>
      </c>
      <c r="X19" s="30">
        <v>2150</v>
      </c>
      <c r="Y19" s="30">
        <v>2150</v>
      </c>
      <c r="Z19" s="30">
        <v>2150</v>
      </c>
      <c r="AA19" s="56">
        <v>2150</v>
      </c>
      <c r="AB19" s="49"/>
    </row>
    <row r="20" spans="1:28" s="19" customFormat="1" ht="18.45" thickBot="1" x14ac:dyDescent="0.5">
      <c r="A20" s="6"/>
      <c r="B20" s="71">
        <v>2034</v>
      </c>
      <c r="C20" s="25">
        <v>2200</v>
      </c>
      <c r="D20" s="25">
        <v>2200</v>
      </c>
      <c r="E20" s="25">
        <v>2200</v>
      </c>
      <c r="F20" s="25">
        <v>2200</v>
      </c>
      <c r="G20" s="25">
        <v>2200</v>
      </c>
      <c r="H20" s="25">
        <v>2200</v>
      </c>
      <c r="I20" s="57">
        <v>2200</v>
      </c>
      <c r="J20" s="49"/>
      <c r="K20" s="71">
        <v>2034</v>
      </c>
      <c r="L20" s="25">
        <v>2200</v>
      </c>
      <c r="M20" s="25">
        <v>2200</v>
      </c>
      <c r="N20" s="25">
        <v>2200</v>
      </c>
      <c r="O20" s="25">
        <v>2200</v>
      </c>
      <c r="P20" s="25">
        <v>2200</v>
      </c>
      <c r="Q20" s="25">
        <v>2200</v>
      </c>
      <c r="R20" s="57">
        <v>2200</v>
      </c>
      <c r="S20" s="49"/>
      <c r="T20" s="71">
        <v>2034</v>
      </c>
      <c r="U20" s="25">
        <v>2150</v>
      </c>
      <c r="V20" s="25">
        <v>2150</v>
      </c>
      <c r="W20" s="25">
        <v>2150</v>
      </c>
      <c r="X20" s="25">
        <v>2150</v>
      </c>
      <c r="Y20" s="25">
        <v>2150</v>
      </c>
      <c r="Z20" s="25">
        <v>2150</v>
      </c>
      <c r="AA20" s="57">
        <v>2150</v>
      </c>
      <c r="AB20" s="49"/>
    </row>
    <row r="21" spans="1:28" ht="18" x14ac:dyDescent="0.45">
      <c r="B21" s="12"/>
      <c r="C21" s="9"/>
      <c r="D21" s="9"/>
      <c r="E21" s="9"/>
      <c r="F21" s="12"/>
      <c r="G21" s="9"/>
      <c r="H21" s="9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8" x14ac:dyDescent="0.45">
      <c r="B22" s="12"/>
      <c r="J22" s="8"/>
      <c r="K22" s="8"/>
      <c r="L22" s="9"/>
      <c r="M22" s="9"/>
      <c r="N22" s="9"/>
      <c r="O22" s="9"/>
      <c r="P22" s="9"/>
      <c r="Q22" s="9"/>
      <c r="R22" s="9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8" x14ac:dyDescent="0.45">
      <c r="B23" s="12"/>
      <c r="E23"/>
      <c r="F23"/>
      <c r="G23"/>
      <c r="J23" s="8"/>
      <c r="K23" s="8"/>
      <c r="L23" s="9"/>
      <c r="M23" s="9"/>
      <c r="N23"/>
      <c r="O23"/>
      <c r="P23"/>
      <c r="Q23" s="9"/>
      <c r="R23" s="9"/>
      <c r="S23" s="8"/>
      <c r="T23" s="8"/>
      <c r="U23" s="8"/>
      <c r="V23" s="8"/>
      <c r="W23"/>
      <c r="X23"/>
      <c r="Y23"/>
      <c r="Z23" s="8"/>
      <c r="AA23" s="8"/>
      <c r="AB23" s="8"/>
    </row>
    <row r="24" spans="1:28" ht="18" x14ac:dyDescent="0.45">
      <c r="B24" s="20"/>
      <c r="E24"/>
      <c r="F24"/>
      <c r="G24"/>
      <c r="J24" s="8"/>
      <c r="K24" s="8"/>
      <c r="L24" s="9"/>
      <c r="M24" s="9"/>
      <c r="N24"/>
      <c r="O24"/>
      <c r="P24"/>
      <c r="Q24" s="9"/>
      <c r="R24" s="9"/>
      <c r="S24" s="8"/>
      <c r="T24" s="8"/>
      <c r="U24" s="8"/>
      <c r="V24" s="8"/>
      <c r="W24"/>
      <c r="X24"/>
      <c r="Y24"/>
      <c r="Z24" s="8"/>
      <c r="AA24" s="8"/>
      <c r="AB24" s="8"/>
    </row>
    <row r="25" spans="1:28" ht="18" x14ac:dyDescent="0.45">
      <c r="B25" s="20"/>
      <c r="E25"/>
      <c r="F25" s="14"/>
      <c r="G25"/>
      <c r="J25" s="8"/>
      <c r="K25" s="8"/>
      <c r="L25" s="9"/>
      <c r="M25" s="9"/>
      <c r="N25"/>
      <c r="O25" s="14"/>
      <c r="P25"/>
      <c r="Q25" s="9"/>
      <c r="R25" s="9"/>
      <c r="S25" s="8"/>
      <c r="T25" s="8"/>
      <c r="U25" s="8"/>
      <c r="V25" s="8"/>
      <c r="W25"/>
      <c r="X25" s="14"/>
      <c r="Y25"/>
      <c r="Z25" s="8"/>
      <c r="AA25" s="8"/>
      <c r="AB25" s="8"/>
    </row>
    <row r="26" spans="1:28" ht="18" x14ac:dyDescent="0.45">
      <c r="B26" s="10"/>
      <c r="E26"/>
      <c r="F26" s="14"/>
      <c r="G26"/>
      <c r="L26" s="9"/>
      <c r="M26" s="9"/>
      <c r="N26"/>
      <c r="O26" s="14"/>
      <c r="P26"/>
      <c r="Q26" s="9"/>
      <c r="R26" s="9"/>
      <c r="U26" s="8"/>
      <c r="V26" s="8"/>
      <c r="W26"/>
      <c r="X26" s="14"/>
      <c r="Y26"/>
      <c r="Z26" s="8"/>
      <c r="AA26" s="8"/>
    </row>
    <row r="27" spans="1:28" ht="18" x14ac:dyDescent="0.45">
      <c r="B27" s="10"/>
      <c r="E27"/>
      <c r="F27" s="14"/>
      <c r="G27"/>
      <c r="L27" s="9"/>
      <c r="M27" s="9"/>
      <c r="N27"/>
      <c r="O27" s="14"/>
      <c r="P27"/>
      <c r="Q27" s="9"/>
      <c r="R27" s="9"/>
      <c r="U27" s="8"/>
      <c r="V27" s="8"/>
      <c r="W27"/>
      <c r="X27" s="14"/>
      <c r="Y27"/>
      <c r="Z27" s="8"/>
      <c r="AA27" s="8"/>
    </row>
    <row r="28" spans="1:28" ht="18" x14ac:dyDescent="0.45">
      <c r="E28"/>
      <c r="F28" s="14"/>
      <c r="G28"/>
      <c r="L28" s="9"/>
      <c r="M28" s="9"/>
      <c r="N28"/>
      <c r="O28" s="14"/>
      <c r="P28"/>
      <c r="Q28" s="9"/>
      <c r="R28" s="9"/>
      <c r="U28" s="8"/>
      <c r="V28" s="8"/>
      <c r="W28"/>
      <c r="X28" s="14"/>
      <c r="Y28"/>
      <c r="Z28" s="8"/>
      <c r="AA28" s="8"/>
    </row>
    <row r="29" spans="1:28" ht="18" x14ac:dyDescent="0.45">
      <c r="E29"/>
      <c r="F29" s="14"/>
      <c r="G29"/>
      <c r="L29" s="9"/>
      <c r="M29" s="9"/>
      <c r="N29"/>
      <c r="O29" s="14"/>
      <c r="P29"/>
      <c r="Q29" s="9"/>
      <c r="R29" s="9"/>
      <c r="U29" s="8"/>
      <c r="V29" s="8"/>
      <c r="W29"/>
      <c r="X29" s="14"/>
      <c r="Y29"/>
      <c r="Z29" s="8"/>
      <c r="AA29" s="8"/>
    </row>
    <row r="30" spans="1:28" ht="18" x14ac:dyDescent="0.45">
      <c r="E30"/>
      <c r="F30" s="14"/>
      <c r="G30"/>
      <c r="L30" s="9"/>
      <c r="M30" s="9"/>
      <c r="N30"/>
      <c r="O30" s="14"/>
      <c r="P30"/>
      <c r="Q30" s="9"/>
      <c r="R30" s="9"/>
      <c r="U30" s="8"/>
      <c r="V30" s="8"/>
      <c r="W30"/>
      <c r="X30" s="14"/>
      <c r="Y30"/>
      <c r="Z30" s="8"/>
      <c r="AA30" s="8"/>
    </row>
    <row r="31" spans="1:28" ht="18" x14ac:dyDescent="0.45">
      <c r="E31"/>
      <c r="F31" s="14"/>
      <c r="G31"/>
      <c r="L31" s="9"/>
      <c r="M31" s="9"/>
      <c r="N31"/>
      <c r="O31" s="14"/>
      <c r="P31"/>
      <c r="Q31" s="9"/>
      <c r="R31" s="9"/>
      <c r="U31" s="8"/>
      <c r="V31" s="8"/>
      <c r="W31"/>
      <c r="X31" s="14"/>
      <c r="Y31"/>
      <c r="Z31" s="8"/>
      <c r="AA31" s="8"/>
    </row>
    <row r="32" spans="1:28" ht="18" x14ac:dyDescent="0.45">
      <c r="E32"/>
      <c r="F32" s="14"/>
      <c r="G32"/>
      <c r="L32" s="9"/>
      <c r="M32" s="9"/>
      <c r="N32"/>
      <c r="O32" s="14"/>
      <c r="P32"/>
      <c r="Q32" s="9"/>
      <c r="R32" s="9"/>
      <c r="U32" s="8"/>
      <c r="V32" s="8"/>
      <c r="W32"/>
      <c r="X32" s="14"/>
      <c r="Y32"/>
      <c r="Z32" s="8"/>
      <c r="AA32" s="8"/>
    </row>
    <row r="33" spans="5:27" ht="18" x14ac:dyDescent="0.45">
      <c r="E33"/>
      <c r="F33" s="14"/>
      <c r="G33"/>
      <c r="L33" s="9"/>
      <c r="M33" s="9"/>
      <c r="N33"/>
      <c r="O33" s="14"/>
      <c r="P33"/>
      <c r="Q33" s="9"/>
      <c r="R33" s="9"/>
      <c r="U33" s="8"/>
      <c r="V33" s="8"/>
      <c r="W33"/>
      <c r="X33" s="14"/>
      <c r="Y33"/>
      <c r="Z33" s="8"/>
      <c r="AA33" s="8"/>
    </row>
    <row r="34" spans="5:27" ht="18" x14ac:dyDescent="0.45">
      <c r="E34"/>
      <c r="F34" s="14"/>
      <c r="G34"/>
      <c r="L34" s="9"/>
      <c r="M34" s="9"/>
      <c r="N34"/>
      <c r="O34" s="14"/>
      <c r="P34"/>
      <c r="Q34" s="9"/>
      <c r="R34" s="9"/>
      <c r="U34" s="8"/>
      <c r="V34" s="8"/>
      <c r="W34"/>
      <c r="X34" s="14"/>
      <c r="Y34"/>
      <c r="Z34" s="8"/>
      <c r="AA34" s="8"/>
    </row>
    <row r="35" spans="5:27" ht="18" x14ac:dyDescent="0.45">
      <c r="E35"/>
      <c r="F35" s="14"/>
      <c r="G35"/>
      <c r="L35" s="9"/>
      <c r="M35" s="9"/>
      <c r="N35"/>
      <c r="O35" s="14"/>
      <c r="P35"/>
      <c r="Q35" s="9"/>
      <c r="R35" s="9"/>
      <c r="U35" s="8"/>
      <c r="V35" s="8"/>
      <c r="W35"/>
      <c r="X35" s="14"/>
      <c r="Y35"/>
      <c r="Z35" s="8"/>
      <c r="AA35" s="8"/>
    </row>
    <row r="36" spans="5:27" x14ac:dyDescent="0.4">
      <c r="E36"/>
      <c r="F36" s="14"/>
      <c r="G36"/>
      <c r="N36"/>
      <c r="O36" s="14"/>
      <c r="P36"/>
      <c r="W36"/>
      <c r="X36" s="14"/>
      <c r="Y36"/>
    </row>
    <row r="37" spans="5:27" x14ac:dyDescent="0.4">
      <c r="E37"/>
      <c r="F37" s="14"/>
      <c r="G37"/>
      <c r="N37"/>
      <c r="O37" s="14"/>
      <c r="P37"/>
      <c r="W37"/>
      <c r="X37" s="14"/>
      <c r="Y37"/>
    </row>
  </sheetData>
  <mergeCells count="8">
    <mergeCell ref="T4:AA4"/>
    <mergeCell ref="T5:AA5"/>
    <mergeCell ref="K2:R2"/>
    <mergeCell ref="G3:I3"/>
    <mergeCell ref="B4:I4"/>
    <mergeCell ref="B5:I5"/>
    <mergeCell ref="K4:R4"/>
    <mergeCell ref="K5:R5"/>
  </mergeCells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C4F4E-E025-48AF-AFA4-D088B40154CA}">
  <dimension ref="B1:AJ25"/>
  <sheetViews>
    <sheetView topLeftCell="A3" zoomScale="50" zoomScaleNormal="50" workbookViewId="0">
      <selection activeCell="AA10" sqref="AA10:AH19"/>
    </sheetView>
  </sheetViews>
  <sheetFormatPr defaultRowHeight="14.6" x14ac:dyDescent="0.4"/>
  <cols>
    <col min="1" max="1" width="9.23046875" style="15"/>
    <col min="2" max="2" width="11" style="7" customWidth="1"/>
    <col min="3" max="12" width="10.69140625" style="7" customWidth="1"/>
    <col min="13" max="13" width="7.69140625" style="7" customWidth="1"/>
    <col min="14" max="14" width="11" style="7" customWidth="1"/>
    <col min="15" max="24" width="10.69140625" style="7" customWidth="1"/>
    <col min="25" max="25" width="9.23046875" style="15"/>
    <col min="26" max="26" width="10.3046875" style="15" customWidth="1"/>
    <col min="27" max="34" width="10.69140625" style="15" customWidth="1"/>
    <col min="35" max="36" width="9.53515625" style="15" customWidth="1"/>
    <col min="37" max="16384" width="9.23046875" style="15"/>
  </cols>
  <sheetData>
    <row r="1" spans="2:36" ht="26.15" x14ac:dyDescent="0.7">
      <c r="B1" s="4" t="s">
        <v>108</v>
      </c>
      <c r="N1" s="4" t="s">
        <v>109</v>
      </c>
      <c r="Z1" s="4" t="s">
        <v>110</v>
      </c>
    </row>
    <row r="2" spans="2:36" ht="15.45" x14ac:dyDescent="0.4">
      <c r="B2" s="34"/>
      <c r="N2" s="34"/>
    </row>
    <row r="3" spans="2:36" ht="15.9" thickBot="1" x14ac:dyDescent="0.45">
      <c r="B3" s="34"/>
      <c r="K3" s="51"/>
      <c r="N3" s="34"/>
    </row>
    <row r="4" spans="2:36" ht="36" customHeight="1" thickBot="1" x14ac:dyDescent="0.45">
      <c r="B4" s="208" t="s">
        <v>94</v>
      </c>
      <c r="C4" s="209"/>
      <c r="D4" s="209"/>
      <c r="E4" s="209"/>
      <c r="F4" s="209"/>
      <c r="G4" s="209"/>
      <c r="H4" s="209"/>
      <c r="I4" s="209"/>
      <c r="J4" s="209"/>
      <c r="K4" s="209"/>
      <c r="L4" s="210"/>
      <c r="N4" s="208" t="s">
        <v>74</v>
      </c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62"/>
      <c r="Z4" s="208" t="s">
        <v>73</v>
      </c>
      <c r="AA4" s="209"/>
      <c r="AB4" s="209"/>
      <c r="AC4" s="209"/>
      <c r="AD4" s="209"/>
      <c r="AE4" s="209"/>
      <c r="AF4" s="209"/>
      <c r="AG4" s="209"/>
      <c r="AH4" s="209"/>
      <c r="AI4" s="209"/>
      <c r="AJ4" s="210"/>
    </row>
    <row r="5" spans="2:36" s="38" customFormat="1" ht="139.75" customHeight="1" thickBot="1" x14ac:dyDescent="0.5">
      <c r="B5" s="130" t="s">
        <v>22</v>
      </c>
      <c r="C5" s="131" t="s">
        <v>99</v>
      </c>
      <c r="D5" s="134" t="s">
        <v>143</v>
      </c>
      <c r="E5" s="134" t="s">
        <v>100</v>
      </c>
      <c r="F5" s="134" t="s">
        <v>144</v>
      </c>
      <c r="G5" s="134" t="s">
        <v>145</v>
      </c>
      <c r="H5" s="134" t="s">
        <v>146</v>
      </c>
      <c r="I5" s="134" t="s">
        <v>147</v>
      </c>
      <c r="J5" s="135" t="s">
        <v>148</v>
      </c>
      <c r="K5" s="134" t="s">
        <v>101</v>
      </c>
      <c r="L5" s="135" t="s">
        <v>102</v>
      </c>
      <c r="M5" s="133"/>
      <c r="N5" s="130" t="s">
        <v>22</v>
      </c>
      <c r="O5" s="131" t="s">
        <v>99</v>
      </c>
      <c r="P5" s="134" t="s">
        <v>143</v>
      </c>
      <c r="Q5" s="134" t="s">
        <v>100</v>
      </c>
      <c r="R5" s="134" t="s">
        <v>144</v>
      </c>
      <c r="S5" s="134" t="s">
        <v>145</v>
      </c>
      <c r="T5" s="134" t="s">
        <v>146</v>
      </c>
      <c r="U5" s="134" t="s">
        <v>147</v>
      </c>
      <c r="V5" s="135" t="s">
        <v>148</v>
      </c>
      <c r="W5" s="136" t="s">
        <v>101</v>
      </c>
      <c r="X5" s="140" t="s">
        <v>102</v>
      </c>
      <c r="Z5" s="130" t="s">
        <v>22</v>
      </c>
      <c r="AA5" s="131" t="s">
        <v>99</v>
      </c>
      <c r="AB5" s="134" t="s">
        <v>143</v>
      </c>
      <c r="AC5" s="134" t="s">
        <v>100</v>
      </c>
      <c r="AD5" s="134" t="s">
        <v>144</v>
      </c>
      <c r="AE5" s="134" t="s">
        <v>145</v>
      </c>
      <c r="AF5" s="134" t="s">
        <v>146</v>
      </c>
      <c r="AG5" s="134" t="s">
        <v>147</v>
      </c>
      <c r="AH5" s="135" t="s">
        <v>148</v>
      </c>
      <c r="AI5" s="136" t="s">
        <v>101</v>
      </c>
      <c r="AJ5" s="140" t="s">
        <v>102</v>
      </c>
    </row>
    <row r="6" spans="2:36" ht="18" x14ac:dyDescent="0.45">
      <c r="B6" s="55">
        <v>2021</v>
      </c>
      <c r="C6" s="110">
        <v>2912.1</v>
      </c>
      <c r="D6" s="111">
        <v>2911.4</v>
      </c>
      <c r="E6" s="111">
        <v>2911.4</v>
      </c>
      <c r="F6" s="111">
        <v>2913</v>
      </c>
      <c r="G6" s="111">
        <v>2913.9</v>
      </c>
      <c r="H6" s="111">
        <v>2913.3</v>
      </c>
      <c r="I6" s="111">
        <v>2829.6</v>
      </c>
      <c r="J6" s="112">
        <v>2733.1</v>
      </c>
      <c r="K6" s="111">
        <v>2912</v>
      </c>
      <c r="L6" s="112">
        <v>2226.7999999999997</v>
      </c>
      <c r="M6" s="8"/>
      <c r="N6" s="55">
        <v>2021</v>
      </c>
      <c r="O6" s="110">
        <v>2229</v>
      </c>
      <c r="P6" s="111">
        <v>2227.3000000000002</v>
      </c>
      <c r="Q6" s="111">
        <v>2227.3000000000002</v>
      </c>
      <c r="R6" s="111">
        <v>2227.5</v>
      </c>
      <c r="S6" s="111">
        <v>2227.6999999999998</v>
      </c>
      <c r="T6" s="111">
        <v>2229</v>
      </c>
      <c r="U6" s="111">
        <v>2226.7000000000003</v>
      </c>
      <c r="V6" s="112">
        <v>2227.5</v>
      </c>
      <c r="W6" s="111">
        <v>2227.9</v>
      </c>
      <c r="X6" s="112">
        <v>2913</v>
      </c>
      <c r="Z6" s="55">
        <v>2021</v>
      </c>
      <c r="AA6" s="118">
        <v>0.6800219999999999</v>
      </c>
      <c r="AB6" s="119">
        <v>0.6800219999999999</v>
      </c>
      <c r="AC6" s="119">
        <v>0.6800219999999999</v>
      </c>
      <c r="AD6" s="119">
        <v>0.6800219999999999</v>
      </c>
      <c r="AE6" s="119">
        <v>0.6800219999999999</v>
      </c>
      <c r="AF6" s="119">
        <v>0.6800219999999999</v>
      </c>
      <c r="AG6" s="119">
        <v>0.6800219999999999</v>
      </c>
      <c r="AH6" s="120">
        <v>0.6800219999999999</v>
      </c>
      <c r="AI6" s="41">
        <v>0.6800219999999999</v>
      </c>
      <c r="AJ6" s="60">
        <v>0.6800219999999999</v>
      </c>
    </row>
    <row r="7" spans="2:36" ht="18" x14ac:dyDescent="0.45">
      <c r="B7" s="55">
        <v>2022</v>
      </c>
      <c r="C7" s="113">
        <v>3381.6000000000004</v>
      </c>
      <c r="D7" s="37">
        <v>3382.8</v>
      </c>
      <c r="E7" s="37">
        <v>3382.8</v>
      </c>
      <c r="F7" s="37">
        <v>3381.5</v>
      </c>
      <c r="G7" s="37">
        <v>3382.5</v>
      </c>
      <c r="H7" s="37">
        <v>3383.6</v>
      </c>
      <c r="I7" s="37">
        <v>3358.1</v>
      </c>
      <c r="J7" s="61">
        <v>3328.6</v>
      </c>
      <c r="K7" s="37">
        <v>3382.2000000000003</v>
      </c>
      <c r="L7" s="61">
        <v>2574.6999999999998</v>
      </c>
      <c r="M7" s="8"/>
      <c r="N7" s="55">
        <v>2022</v>
      </c>
      <c r="O7" s="113">
        <v>2575.8999999999996</v>
      </c>
      <c r="P7" s="37">
        <v>2576.5</v>
      </c>
      <c r="Q7" s="37">
        <v>2576.5</v>
      </c>
      <c r="R7" s="37">
        <v>2577.3000000000002</v>
      </c>
      <c r="S7" s="37">
        <v>2575.8999999999996</v>
      </c>
      <c r="T7" s="37">
        <v>2577.4</v>
      </c>
      <c r="U7" s="37">
        <v>2588.2000000000003</v>
      </c>
      <c r="V7" s="61">
        <v>2603.2999999999997</v>
      </c>
      <c r="W7" s="37">
        <v>2576</v>
      </c>
      <c r="X7" s="61">
        <v>3381.6000000000004</v>
      </c>
      <c r="Z7" s="55">
        <v>2022</v>
      </c>
      <c r="AA7" s="121">
        <v>0.6800219999999999</v>
      </c>
      <c r="AB7" s="41">
        <v>0.6800219999999999</v>
      </c>
      <c r="AC7" s="41">
        <v>0.6800219999999999</v>
      </c>
      <c r="AD7" s="41">
        <v>0.6800219999999999</v>
      </c>
      <c r="AE7" s="41">
        <v>0.6800219999999999</v>
      </c>
      <c r="AF7" s="41">
        <v>0.6800219999999999</v>
      </c>
      <c r="AG7" s="41">
        <v>0.6800219999999999</v>
      </c>
      <c r="AH7" s="60">
        <v>0.6800219999999999</v>
      </c>
      <c r="AI7" s="41">
        <v>0.6800219999999999</v>
      </c>
      <c r="AJ7" s="60">
        <v>0.6800219999999999</v>
      </c>
    </row>
    <row r="8" spans="2:36" ht="18" x14ac:dyDescent="0.45">
      <c r="B8" s="55">
        <v>2023</v>
      </c>
      <c r="C8" s="113">
        <v>3317.6</v>
      </c>
      <c r="D8" s="37">
        <v>3318.8</v>
      </c>
      <c r="E8" s="37">
        <v>3318.8</v>
      </c>
      <c r="F8" s="37">
        <v>3317.5</v>
      </c>
      <c r="G8" s="37">
        <v>3322</v>
      </c>
      <c r="H8" s="37">
        <v>3323.7000000000003</v>
      </c>
      <c r="I8" s="37">
        <v>3305.7</v>
      </c>
      <c r="J8" s="61">
        <v>3291.7999999999997</v>
      </c>
      <c r="K8" s="37">
        <v>3320.3</v>
      </c>
      <c r="L8" s="61">
        <v>2866.1</v>
      </c>
      <c r="M8" s="8"/>
      <c r="N8" s="55">
        <v>2023</v>
      </c>
      <c r="O8" s="113">
        <v>2868.9</v>
      </c>
      <c r="P8" s="37">
        <v>2867.7000000000003</v>
      </c>
      <c r="Q8" s="37">
        <v>2867.7000000000003</v>
      </c>
      <c r="R8" s="37">
        <v>2867.9</v>
      </c>
      <c r="S8" s="37">
        <v>2870.8999999999996</v>
      </c>
      <c r="T8" s="37">
        <v>2868.3</v>
      </c>
      <c r="U8" s="37">
        <v>2902.8</v>
      </c>
      <c r="V8" s="61">
        <v>2942.6</v>
      </c>
      <c r="W8" s="37">
        <v>2866.8999999999996</v>
      </c>
      <c r="X8" s="61">
        <v>3318.7000000000003</v>
      </c>
      <c r="Z8" s="55">
        <v>2023</v>
      </c>
      <c r="AA8" s="121">
        <v>0.6800219999999999</v>
      </c>
      <c r="AB8" s="41">
        <v>0.6800219999999999</v>
      </c>
      <c r="AC8" s="41">
        <v>0.6800219999999999</v>
      </c>
      <c r="AD8" s="41">
        <v>0.6800219999999999</v>
      </c>
      <c r="AE8" s="41">
        <v>0.6800219999999999</v>
      </c>
      <c r="AF8" s="41">
        <v>0.6800219999999999</v>
      </c>
      <c r="AG8" s="41">
        <v>0.6800219999999999</v>
      </c>
      <c r="AH8" s="60">
        <v>0.6800219999999999</v>
      </c>
      <c r="AI8" s="41">
        <v>0.6800219999999999</v>
      </c>
      <c r="AJ8" s="60">
        <v>0.6800219999999999</v>
      </c>
    </row>
    <row r="9" spans="2:36" ht="18" x14ac:dyDescent="0.45">
      <c r="B9" s="55">
        <v>2024</v>
      </c>
      <c r="C9" s="113">
        <v>3030.1</v>
      </c>
      <c r="D9" s="37">
        <v>3033.3</v>
      </c>
      <c r="E9" s="37">
        <v>3033.3</v>
      </c>
      <c r="F9" s="37">
        <v>3028.4</v>
      </c>
      <c r="G9" s="37">
        <v>3035.6</v>
      </c>
      <c r="H9" s="37">
        <v>3033</v>
      </c>
      <c r="I9" s="37">
        <v>3024.4</v>
      </c>
      <c r="J9" s="61">
        <v>3011.6</v>
      </c>
      <c r="K9" s="37">
        <v>3031.8999999999996</v>
      </c>
      <c r="L9" s="61">
        <v>2519.2000000000003</v>
      </c>
      <c r="M9" s="8"/>
      <c r="N9" s="55">
        <v>2024</v>
      </c>
      <c r="O9" s="113">
        <v>2520.1</v>
      </c>
      <c r="P9" s="37">
        <v>2521.1999999999998</v>
      </c>
      <c r="Q9" s="37">
        <v>2521.1999999999998</v>
      </c>
      <c r="R9" s="37">
        <v>2518.6000000000004</v>
      </c>
      <c r="S9" s="37">
        <v>2523.1</v>
      </c>
      <c r="T9" s="37">
        <v>2522.1</v>
      </c>
      <c r="U9" s="37">
        <v>2561.3000000000002</v>
      </c>
      <c r="V9" s="61">
        <v>2601.9</v>
      </c>
      <c r="W9" s="37">
        <v>2518.2000000000003</v>
      </c>
      <c r="X9" s="61">
        <v>3032.7999999999997</v>
      </c>
      <c r="Z9" s="55">
        <v>2024</v>
      </c>
      <c r="AA9" s="121">
        <v>0.6800219999999999</v>
      </c>
      <c r="AB9" s="41">
        <v>0.6800219999999999</v>
      </c>
      <c r="AC9" s="41">
        <v>0.6800219999999999</v>
      </c>
      <c r="AD9" s="41">
        <v>0.6800219999999999</v>
      </c>
      <c r="AE9" s="41">
        <v>0.6800219999999999</v>
      </c>
      <c r="AF9" s="41">
        <v>0.6800219999999999</v>
      </c>
      <c r="AG9" s="41">
        <v>0.6800219999999999</v>
      </c>
      <c r="AH9" s="60">
        <v>0.6800219999999999</v>
      </c>
      <c r="AI9" s="41">
        <v>0.6800219999999999</v>
      </c>
      <c r="AJ9" s="60">
        <v>0.6800219999999999</v>
      </c>
    </row>
    <row r="10" spans="2:36" ht="18" x14ac:dyDescent="0.45">
      <c r="B10" s="55">
        <v>2025</v>
      </c>
      <c r="C10" s="113">
        <v>1750.2</v>
      </c>
      <c r="D10" s="37">
        <v>2175</v>
      </c>
      <c r="E10" s="37">
        <v>2424.5</v>
      </c>
      <c r="F10" s="37">
        <v>2400</v>
      </c>
      <c r="G10" s="37">
        <v>2250</v>
      </c>
      <c r="H10" s="37">
        <v>2400</v>
      </c>
      <c r="I10" s="37">
        <v>2180</v>
      </c>
      <c r="J10" s="61">
        <v>2185</v>
      </c>
      <c r="K10" s="37">
        <v>2863.9</v>
      </c>
      <c r="L10" s="61">
        <v>2391.1</v>
      </c>
      <c r="M10" s="8"/>
      <c r="N10" s="55">
        <v>2025</v>
      </c>
      <c r="O10" s="113">
        <v>2711.9</v>
      </c>
      <c r="P10" s="37">
        <v>2564.8000000000002</v>
      </c>
      <c r="Q10" s="37">
        <v>2487</v>
      </c>
      <c r="R10" s="37">
        <v>2482.5</v>
      </c>
      <c r="S10" s="37">
        <v>2544.2999999999997</v>
      </c>
      <c r="T10" s="37">
        <v>2492</v>
      </c>
      <c r="U10" s="37">
        <v>2604.4</v>
      </c>
      <c r="V10" s="61">
        <v>2644.1</v>
      </c>
      <c r="W10" s="37">
        <v>2331.4</v>
      </c>
      <c r="X10" s="61">
        <v>2700</v>
      </c>
      <c r="Z10" s="55">
        <v>2025</v>
      </c>
      <c r="AA10" s="121">
        <v>0.37302299999999999</v>
      </c>
      <c r="AB10" s="41">
        <v>0.48283199999999998</v>
      </c>
      <c r="AC10" s="41">
        <v>0.54998999999999998</v>
      </c>
      <c r="AD10" s="41">
        <v>0.54583199999999998</v>
      </c>
      <c r="AE10" s="41">
        <v>0.50336999999999998</v>
      </c>
      <c r="AF10" s="41">
        <v>0.50336999999999998</v>
      </c>
      <c r="AG10" s="41">
        <v>0.48491100000000004</v>
      </c>
      <c r="AH10" s="60">
        <v>0.48654900000000001</v>
      </c>
      <c r="AI10" s="41">
        <v>0.6800219999999999</v>
      </c>
      <c r="AJ10" s="60">
        <v>0.63</v>
      </c>
    </row>
    <row r="11" spans="2:36" ht="18" x14ac:dyDescent="0.45">
      <c r="B11" s="55">
        <f>B10+1</f>
        <v>2026</v>
      </c>
      <c r="C11" s="113">
        <v>2003.4</v>
      </c>
      <c r="D11" s="37">
        <v>2175</v>
      </c>
      <c r="E11" s="37">
        <v>2526.1</v>
      </c>
      <c r="F11" s="37">
        <v>2400</v>
      </c>
      <c r="G11" s="37">
        <v>2250</v>
      </c>
      <c r="H11" s="37">
        <v>2400</v>
      </c>
      <c r="I11" s="37">
        <v>2180</v>
      </c>
      <c r="J11" s="61">
        <v>2185</v>
      </c>
      <c r="K11" s="37">
        <v>2804.5</v>
      </c>
      <c r="L11" s="61">
        <v>2395.6</v>
      </c>
      <c r="M11" s="8"/>
      <c r="N11" s="55">
        <f>N10+1</f>
        <v>2026</v>
      </c>
      <c r="O11" s="113">
        <v>3227.9</v>
      </c>
      <c r="P11" s="37">
        <v>2892.5</v>
      </c>
      <c r="Q11" s="37">
        <v>2623.7</v>
      </c>
      <c r="R11" s="37">
        <v>2672.2999999999997</v>
      </c>
      <c r="S11" s="37">
        <v>2820.2</v>
      </c>
      <c r="T11" s="37">
        <v>2681.1</v>
      </c>
      <c r="U11" s="37">
        <v>2929.2</v>
      </c>
      <c r="V11" s="61">
        <v>2963.8</v>
      </c>
      <c r="W11" s="37">
        <v>2266.1999999999998</v>
      </c>
      <c r="X11" s="61">
        <v>2703.6</v>
      </c>
      <c r="Z11" s="55">
        <f>Z10+1</f>
        <v>2026</v>
      </c>
      <c r="AA11" s="121">
        <v>0.37302299999999999</v>
      </c>
      <c r="AB11" s="41">
        <v>0.43847999999999998</v>
      </c>
      <c r="AC11" s="41">
        <v>0.54998999999999998</v>
      </c>
      <c r="AD11" s="41">
        <v>0.51603300000000007</v>
      </c>
      <c r="AE11" s="41">
        <v>0.46317599999999998</v>
      </c>
      <c r="AF11" s="41">
        <v>0.46317599999999998</v>
      </c>
      <c r="AG11" s="41">
        <v>0.44144099999999997</v>
      </c>
      <c r="AH11" s="60">
        <v>0.44370900000000002</v>
      </c>
      <c r="AI11" s="41">
        <v>0.6800219999999999</v>
      </c>
      <c r="AJ11" s="60">
        <v>0.63</v>
      </c>
    </row>
    <row r="12" spans="2:36" ht="18" x14ac:dyDescent="0.45">
      <c r="B12" s="63">
        <f t="shared" ref="B12:B19" si="0">B11+1</f>
        <v>2027</v>
      </c>
      <c r="C12" s="113">
        <v>2161.7000000000003</v>
      </c>
      <c r="D12" s="37">
        <v>2175</v>
      </c>
      <c r="E12" s="37">
        <v>2588.6999999999998</v>
      </c>
      <c r="F12" s="37">
        <v>2400</v>
      </c>
      <c r="G12" s="37">
        <v>2250</v>
      </c>
      <c r="H12" s="37">
        <v>2400</v>
      </c>
      <c r="I12" s="37">
        <v>2180</v>
      </c>
      <c r="J12" s="61">
        <v>2185</v>
      </c>
      <c r="K12" s="37">
        <v>2781.5</v>
      </c>
      <c r="L12" s="61">
        <v>2409.5</v>
      </c>
      <c r="M12" s="8"/>
      <c r="N12" s="63">
        <f t="shared" ref="N12:N19" si="1">N11+1</f>
        <v>2027</v>
      </c>
      <c r="O12" s="113">
        <v>3563.8</v>
      </c>
      <c r="P12" s="37">
        <v>3215.5</v>
      </c>
      <c r="Q12" s="37">
        <v>2711.5</v>
      </c>
      <c r="R12" s="37">
        <v>2858.9</v>
      </c>
      <c r="S12" s="37">
        <v>3099.2000000000003</v>
      </c>
      <c r="T12" s="37">
        <v>2873.1</v>
      </c>
      <c r="U12" s="37">
        <v>3237.2999999999997</v>
      </c>
      <c r="V12" s="61">
        <v>3272.7</v>
      </c>
      <c r="W12" s="37">
        <v>2239</v>
      </c>
      <c r="X12" s="61">
        <v>2716.2999999999997</v>
      </c>
      <c r="Z12" s="63">
        <f t="shared" ref="Z12:Z19" si="2">Z11+1</f>
        <v>2027</v>
      </c>
      <c r="AA12" s="121">
        <v>0.37302299999999999</v>
      </c>
      <c r="AB12" s="41">
        <v>0.402507</v>
      </c>
      <c r="AC12" s="41">
        <v>0.54998999999999998</v>
      </c>
      <c r="AD12" s="41">
        <v>0.48925799999999997</v>
      </c>
      <c r="AE12" s="41">
        <v>0.42966000000000004</v>
      </c>
      <c r="AF12" s="41">
        <v>0.42966000000000004</v>
      </c>
      <c r="AG12" s="41">
        <v>0.40641300000000002</v>
      </c>
      <c r="AH12" s="60">
        <v>0.40937400000000002</v>
      </c>
      <c r="AI12" s="41">
        <v>0.6800219999999999</v>
      </c>
      <c r="AJ12" s="60">
        <v>0.63</v>
      </c>
    </row>
    <row r="13" spans="2:36" ht="18" x14ac:dyDescent="0.45">
      <c r="B13" s="55">
        <f t="shared" si="0"/>
        <v>2028</v>
      </c>
      <c r="C13" s="113">
        <v>2248.6999999999998</v>
      </c>
      <c r="D13" s="37">
        <v>2175</v>
      </c>
      <c r="E13" s="37">
        <v>1880.2</v>
      </c>
      <c r="F13" s="37">
        <v>2150</v>
      </c>
      <c r="G13" s="37">
        <v>2175</v>
      </c>
      <c r="H13" s="37">
        <v>2200</v>
      </c>
      <c r="I13" s="37">
        <v>2180</v>
      </c>
      <c r="J13" s="61">
        <v>2185</v>
      </c>
      <c r="K13" s="37">
        <v>2772</v>
      </c>
      <c r="L13" s="61">
        <v>2416.7000000000003</v>
      </c>
      <c r="M13" s="8"/>
      <c r="N13" s="55">
        <f t="shared" si="1"/>
        <v>2028</v>
      </c>
      <c r="O13" s="113">
        <v>3747.5</v>
      </c>
      <c r="P13" s="37">
        <v>3480.6</v>
      </c>
      <c r="Q13" s="37">
        <v>3009</v>
      </c>
      <c r="R13" s="37">
        <v>3100.9</v>
      </c>
      <c r="S13" s="37">
        <v>3353.6000000000004</v>
      </c>
      <c r="T13" s="37">
        <v>3097.3</v>
      </c>
      <c r="U13" s="37">
        <v>3486.4</v>
      </c>
      <c r="V13" s="61">
        <v>3516.7999999999997</v>
      </c>
      <c r="W13" s="37">
        <v>2231.7999999999997</v>
      </c>
      <c r="X13" s="61">
        <v>2724.5</v>
      </c>
      <c r="Z13" s="55">
        <f t="shared" si="2"/>
        <v>2028</v>
      </c>
      <c r="AA13" s="121">
        <v>0.37302299999999999</v>
      </c>
      <c r="AB13" s="41">
        <v>0.37655100000000002</v>
      </c>
      <c r="AC13" s="41">
        <v>0.36999900000000002</v>
      </c>
      <c r="AD13" s="41">
        <v>0.41012999999999999</v>
      </c>
      <c r="AE13" s="41">
        <v>0.38927699999999998</v>
      </c>
      <c r="AF13" s="41">
        <v>0.38927699999999998</v>
      </c>
      <c r="AG13" s="41">
        <v>0.38152800000000003</v>
      </c>
      <c r="AH13" s="60">
        <v>0.38442599999999999</v>
      </c>
      <c r="AI13" s="41">
        <v>0.6800219999999999</v>
      </c>
      <c r="AJ13" s="60">
        <v>0.63</v>
      </c>
    </row>
    <row r="14" spans="2:36" ht="18" x14ac:dyDescent="0.45">
      <c r="B14" s="55">
        <f t="shared" si="0"/>
        <v>2029</v>
      </c>
      <c r="C14" s="113">
        <v>2291</v>
      </c>
      <c r="D14" s="37">
        <v>2175</v>
      </c>
      <c r="E14" s="37">
        <v>2080.5</v>
      </c>
      <c r="F14" s="37">
        <v>2150</v>
      </c>
      <c r="G14" s="37">
        <v>2175</v>
      </c>
      <c r="H14" s="37">
        <v>2200</v>
      </c>
      <c r="I14" s="37">
        <v>2180</v>
      </c>
      <c r="J14" s="61">
        <v>2185</v>
      </c>
      <c r="K14" s="37">
        <v>2770.6</v>
      </c>
      <c r="L14" s="61">
        <v>2418.2000000000003</v>
      </c>
      <c r="M14" s="8"/>
      <c r="N14" s="55">
        <f t="shared" si="1"/>
        <v>2029</v>
      </c>
      <c r="O14" s="113">
        <v>3845</v>
      </c>
      <c r="P14" s="37">
        <v>3694.1000000000004</v>
      </c>
      <c r="Q14" s="37">
        <v>3425.8</v>
      </c>
      <c r="R14" s="37">
        <v>3379</v>
      </c>
      <c r="S14" s="37">
        <v>3574.1</v>
      </c>
      <c r="T14" s="37">
        <v>3343.3</v>
      </c>
      <c r="U14" s="37">
        <v>3684.7</v>
      </c>
      <c r="V14" s="61">
        <v>3714.6</v>
      </c>
      <c r="W14" s="37">
        <v>2229.9</v>
      </c>
      <c r="X14" s="61">
        <v>2723.8</v>
      </c>
      <c r="Z14" s="55">
        <f t="shared" si="2"/>
        <v>2029</v>
      </c>
      <c r="AA14" s="121">
        <v>0.37302299999999999</v>
      </c>
      <c r="AB14" s="41">
        <v>0.35821799999999998</v>
      </c>
      <c r="AC14" s="41">
        <v>0.36999900000000002</v>
      </c>
      <c r="AD14" s="41">
        <v>0.38165399999999999</v>
      </c>
      <c r="AE14" s="41">
        <v>0.36804600000000004</v>
      </c>
      <c r="AF14" s="41">
        <v>0.36804600000000004</v>
      </c>
      <c r="AG14" s="41">
        <v>0.36369900000000005</v>
      </c>
      <c r="AH14" s="60">
        <v>0.36691200000000002</v>
      </c>
      <c r="AI14" s="41">
        <v>0.6800219999999999</v>
      </c>
      <c r="AJ14" s="60">
        <v>0.63</v>
      </c>
    </row>
    <row r="15" spans="2:36" s="38" customFormat="1" ht="18" x14ac:dyDescent="0.45">
      <c r="B15" s="55">
        <f t="shared" si="0"/>
        <v>2030</v>
      </c>
      <c r="C15" s="113">
        <v>2309.6</v>
      </c>
      <c r="D15" s="37">
        <v>2175</v>
      </c>
      <c r="E15" s="37">
        <v>2199.9</v>
      </c>
      <c r="F15" s="37">
        <v>2150</v>
      </c>
      <c r="G15" s="37">
        <v>2175</v>
      </c>
      <c r="H15" s="37">
        <v>2200</v>
      </c>
      <c r="I15" s="37">
        <v>2180</v>
      </c>
      <c r="J15" s="61">
        <v>2185</v>
      </c>
      <c r="K15" s="37">
        <v>2769</v>
      </c>
      <c r="L15" s="61">
        <v>2418.8999999999996</v>
      </c>
      <c r="M15" s="8"/>
      <c r="N15" s="55">
        <f t="shared" si="1"/>
        <v>2030</v>
      </c>
      <c r="O15" s="113">
        <v>3884</v>
      </c>
      <c r="P15" s="37">
        <v>3855.6</v>
      </c>
      <c r="Q15" s="37">
        <v>3686.1000000000004</v>
      </c>
      <c r="R15" s="37">
        <v>3622.3999999999996</v>
      </c>
      <c r="S15" s="37">
        <v>3753.5</v>
      </c>
      <c r="T15" s="37">
        <v>3548.1</v>
      </c>
      <c r="U15" s="37">
        <v>3830.1</v>
      </c>
      <c r="V15" s="61">
        <v>3863.7000000000003</v>
      </c>
      <c r="W15" s="37">
        <v>2228.4</v>
      </c>
      <c r="X15" s="61">
        <v>2720.2999999999997</v>
      </c>
      <c r="Z15" s="55">
        <f t="shared" si="2"/>
        <v>2030</v>
      </c>
      <c r="AA15" s="121">
        <v>0.37302299999999999</v>
      </c>
      <c r="AB15" s="41">
        <v>0.345051</v>
      </c>
      <c r="AC15" s="41">
        <v>0.36999900000000002</v>
      </c>
      <c r="AD15" s="41">
        <v>0.35947800000000002</v>
      </c>
      <c r="AE15" s="41">
        <v>0.35273699999999997</v>
      </c>
      <c r="AF15" s="41">
        <v>0.35273699999999997</v>
      </c>
      <c r="AG15" s="41">
        <v>0.351414</v>
      </c>
      <c r="AH15" s="60">
        <v>0.354186</v>
      </c>
      <c r="AI15" s="41">
        <v>0.6800219999999999</v>
      </c>
      <c r="AJ15" s="60">
        <v>0.63</v>
      </c>
    </row>
    <row r="16" spans="2:36" ht="18" x14ac:dyDescent="0.45">
      <c r="B16" s="55">
        <f t="shared" si="0"/>
        <v>2031</v>
      </c>
      <c r="C16" s="113">
        <v>2318.1</v>
      </c>
      <c r="D16" s="37">
        <v>2175</v>
      </c>
      <c r="E16" s="37">
        <v>2261.1</v>
      </c>
      <c r="F16" s="37">
        <v>2150</v>
      </c>
      <c r="G16" s="37">
        <v>2175</v>
      </c>
      <c r="H16" s="37">
        <v>2200</v>
      </c>
      <c r="I16" s="37">
        <v>2180</v>
      </c>
      <c r="J16" s="61">
        <v>2185</v>
      </c>
      <c r="K16" s="37">
        <v>2765</v>
      </c>
      <c r="L16" s="61">
        <v>2414.8999999999996</v>
      </c>
      <c r="M16" s="8"/>
      <c r="N16" s="55">
        <f t="shared" si="1"/>
        <v>2031</v>
      </c>
      <c r="O16" s="113">
        <v>3903.4</v>
      </c>
      <c r="P16" s="37">
        <v>3976.1000000000004</v>
      </c>
      <c r="Q16" s="37">
        <v>3819.4</v>
      </c>
      <c r="R16" s="37">
        <v>3815.3</v>
      </c>
      <c r="S16" s="37">
        <v>3903.5</v>
      </c>
      <c r="T16" s="37">
        <v>3717.2999999999997</v>
      </c>
      <c r="U16" s="37">
        <v>3952.6</v>
      </c>
      <c r="V16" s="61">
        <v>3971.8</v>
      </c>
      <c r="W16" s="37">
        <v>2230.6</v>
      </c>
      <c r="X16" s="61">
        <v>2719.3</v>
      </c>
      <c r="Z16" s="55">
        <f t="shared" si="2"/>
        <v>2031</v>
      </c>
      <c r="AA16" s="121">
        <v>0.37302299999999999</v>
      </c>
      <c r="AB16" s="41">
        <v>0.33604200000000001</v>
      </c>
      <c r="AC16" s="41">
        <v>0.36999900000000002</v>
      </c>
      <c r="AD16" s="41">
        <v>0.34467300000000001</v>
      </c>
      <c r="AE16" s="41">
        <v>0.34120800000000001</v>
      </c>
      <c r="AF16" s="41">
        <v>0.34120800000000001</v>
      </c>
      <c r="AG16" s="41">
        <v>0.34196399999999999</v>
      </c>
      <c r="AH16" s="60">
        <v>0.34587000000000001</v>
      </c>
      <c r="AI16" s="41">
        <v>0.6800219999999999</v>
      </c>
      <c r="AJ16" s="60">
        <v>0.63</v>
      </c>
    </row>
    <row r="17" spans="2:36" ht="18" x14ac:dyDescent="0.45">
      <c r="B17" s="55">
        <f t="shared" si="0"/>
        <v>2032</v>
      </c>
      <c r="C17" s="113">
        <v>2320.6999999999998</v>
      </c>
      <c r="D17" s="37">
        <v>2175</v>
      </c>
      <c r="E17" s="37">
        <v>2291.1000000000004</v>
      </c>
      <c r="F17" s="37">
        <v>2150</v>
      </c>
      <c r="G17" s="37">
        <v>2175</v>
      </c>
      <c r="H17" s="37">
        <v>2100</v>
      </c>
      <c r="I17" s="37">
        <v>2180</v>
      </c>
      <c r="J17" s="61">
        <v>2185</v>
      </c>
      <c r="K17" s="37">
        <v>2766.2</v>
      </c>
      <c r="L17" s="61">
        <v>2415</v>
      </c>
      <c r="M17" s="8"/>
      <c r="N17" s="55">
        <f t="shared" si="1"/>
        <v>2032</v>
      </c>
      <c r="O17" s="113">
        <v>3912.6</v>
      </c>
      <c r="P17" s="37">
        <v>4071.5000000000005</v>
      </c>
      <c r="Q17" s="37">
        <v>3883.9</v>
      </c>
      <c r="R17" s="37">
        <v>3966</v>
      </c>
      <c r="S17" s="37">
        <v>4018.0999999999995</v>
      </c>
      <c r="T17" s="37">
        <v>3888.7999999999997</v>
      </c>
      <c r="U17" s="37">
        <v>4040.4999999999995</v>
      </c>
      <c r="V17" s="61">
        <v>4058.5000000000005</v>
      </c>
      <c r="W17" s="37">
        <v>2225.1</v>
      </c>
      <c r="X17" s="61">
        <v>2720.7</v>
      </c>
      <c r="Z17" s="55">
        <f t="shared" si="2"/>
        <v>2032</v>
      </c>
      <c r="AA17" s="121">
        <v>0.37302299999999999</v>
      </c>
      <c r="AB17" s="41">
        <v>0.32904899999999998</v>
      </c>
      <c r="AC17" s="41">
        <v>0.36999900000000002</v>
      </c>
      <c r="AD17" s="41">
        <v>0.33282899999999999</v>
      </c>
      <c r="AE17" s="41">
        <v>0.33314400000000005</v>
      </c>
      <c r="AF17" s="41">
        <v>0.33314400000000005</v>
      </c>
      <c r="AG17" s="41">
        <v>0.33528600000000003</v>
      </c>
      <c r="AH17" s="60">
        <v>0.33919199999999999</v>
      </c>
      <c r="AI17" s="41">
        <v>0.6800219999999999</v>
      </c>
      <c r="AJ17" s="60">
        <v>0.63</v>
      </c>
    </row>
    <row r="18" spans="2:36" ht="18" x14ac:dyDescent="0.45">
      <c r="B18" s="55">
        <f t="shared" si="0"/>
        <v>2033</v>
      </c>
      <c r="C18" s="113">
        <v>2322.7000000000003</v>
      </c>
      <c r="D18" s="37">
        <v>2175</v>
      </c>
      <c r="E18" s="37">
        <v>2305.2999999999997</v>
      </c>
      <c r="F18" s="37">
        <v>2150</v>
      </c>
      <c r="G18" s="37">
        <v>2175</v>
      </c>
      <c r="H18" s="37">
        <v>2100</v>
      </c>
      <c r="I18" s="37">
        <v>2180</v>
      </c>
      <c r="J18" s="61">
        <v>2185</v>
      </c>
      <c r="K18" s="37">
        <v>2766.6</v>
      </c>
      <c r="L18" s="61">
        <v>2416.4</v>
      </c>
      <c r="M18" s="8"/>
      <c r="N18" s="55">
        <f t="shared" si="1"/>
        <v>2033</v>
      </c>
      <c r="O18" s="113">
        <v>3919.2</v>
      </c>
      <c r="P18" s="37">
        <v>4157.8</v>
      </c>
      <c r="Q18" s="37">
        <v>3918.2999999999997</v>
      </c>
      <c r="R18" s="37">
        <v>4083.7000000000003</v>
      </c>
      <c r="S18" s="37">
        <v>4106.2000000000007</v>
      </c>
      <c r="T18" s="37">
        <v>4035.5</v>
      </c>
      <c r="U18" s="37">
        <v>4118.4000000000005</v>
      </c>
      <c r="V18" s="61">
        <v>4138.6000000000004</v>
      </c>
      <c r="W18" s="37">
        <v>2225.2999999999997</v>
      </c>
      <c r="X18" s="61">
        <v>2720.2999999999997</v>
      </c>
      <c r="Z18" s="55">
        <f t="shared" si="2"/>
        <v>2033</v>
      </c>
      <c r="AA18" s="121">
        <v>0.37302299999999999</v>
      </c>
      <c r="AB18" s="41">
        <v>0.32369400000000004</v>
      </c>
      <c r="AC18" s="41">
        <v>0.36999900000000002</v>
      </c>
      <c r="AD18" s="41">
        <v>0.32482799999999995</v>
      </c>
      <c r="AE18" s="41">
        <v>0.32697000000000004</v>
      </c>
      <c r="AF18" s="41">
        <v>0.32697000000000004</v>
      </c>
      <c r="AG18" s="41">
        <v>0.33005700000000004</v>
      </c>
      <c r="AH18" s="60">
        <v>0.33408900000000002</v>
      </c>
      <c r="AI18" s="41">
        <v>0.6800219999999999</v>
      </c>
      <c r="AJ18" s="60">
        <v>0.63</v>
      </c>
    </row>
    <row r="19" spans="2:36" ht="18.45" thickBot="1" x14ac:dyDescent="0.5">
      <c r="B19" s="53">
        <f t="shared" si="0"/>
        <v>2034</v>
      </c>
      <c r="C19" s="113">
        <v>2322.1999999999998</v>
      </c>
      <c r="D19" s="37">
        <v>2175</v>
      </c>
      <c r="E19" s="37">
        <v>2314.2999999999997</v>
      </c>
      <c r="F19" s="32">
        <v>2150</v>
      </c>
      <c r="G19" s="32">
        <v>2175</v>
      </c>
      <c r="H19" s="32">
        <v>2100</v>
      </c>
      <c r="I19" s="32">
        <v>2180</v>
      </c>
      <c r="J19" s="64">
        <v>2185</v>
      </c>
      <c r="K19" s="32">
        <v>2771.7000000000003</v>
      </c>
      <c r="L19" s="64">
        <v>2416.1000000000004</v>
      </c>
      <c r="M19" s="8"/>
      <c r="N19" s="53">
        <f t="shared" si="1"/>
        <v>2034</v>
      </c>
      <c r="O19" s="113">
        <v>3919.6</v>
      </c>
      <c r="P19" s="37">
        <v>4214.5999999999995</v>
      </c>
      <c r="Q19" s="37">
        <v>3927.5</v>
      </c>
      <c r="R19" s="32">
        <v>4180.5</v>
      </c>
      <c r="S19" s="32">
        <v>4179.5999999999995</v>
      </c>
      <c r="T19" s="32">
        <v>4176.1000000000004</v>
      </c>
      <c r="U19" s="32">
        <v>4185.5</v>
      </c>
      <c r="V19" s="64">
        <v>4190.1000000000004</v>
      </c>
      <c r="W19" s="32">
        <v>2228.6999999999998</v>
      </c>
      <c r="X19" s="64">
        <v>2722.1000000000004</v>
      </c>
      <c r="Z19" s="53">
        <f t="shared" si="2"/>
        <v>2034</v>
      </c>
      <c r="AA19" s="121">
        <v>0.37302299999999999</v>
      </c>
      <c r="AB19" s="41">
        <v>0.31985100000000005</v>
      </c>
      <c r="AC19" s="41">
        <v>0.36999900000000002</v>
      </c>
      <c r="AD19" s="33">
        <v>0.31859100000000001</v>
      </c>
      <c r="AE19" s="33">
        <v>0.32218199999999997</v>
      </c>
      <c r="AF19" s="33">
        <v>0.32218199999999997</v>
      </c>
      <c r="AG19" s="33">
        <v>0.32602499999999995</v>
      </c>
      <c r="AH19" s="69">
        <v>0.33075000000000004</v>
      </c>
      <c r="AI19" s="33">
        <v>0.6800219999999999</v>
      </c>
      <c r="AJ19" s="69">
        <v>0.63</v>
      </c>
    </row>
    <row r="20" spans="2:36" ht="33.450000000000003" customHeight="1" thickBot="1" x14ac:dyDescent="0.5">
      <c r="B20" s="65" t="s">
        <v>97</v>
      </c>
      <c r="C20" s="114">
        <f>AVERAGE(C10:C19)</f>
        <v>2204.8300000000004</v>
      </c>
      <c r="D20" s="35">
        <f t="shared" ref="D20:L20" si="3">AVERAGE(D10:D19)</f>
        <v>2175</v>
      </c>
      <c r="E20" s="35">
        <f t="shared" si="3"/>
        <v>2287.1699999999996</v>
      </c>
      <c r="F20" s="35">
        <f t="shared" si="3"/>
        <v>2225</v>
      </c>
      <c r="G20" s="35">
        <f t="shared" si="3"/>
        <v>2197.5</v>
      </c>
      <c r="H20" s="35">
        <f t="shared" si="3"/>
        <v>2230</v>
      </c>
      <c r="I20" s="35">
        <f t="shared" ref="I20:J20" si="4">AVERAGE(I10:I19)</f>
        <v>2180</v>
      </c>
      <c r="J20" s="66">
        <f t="shared" si="4"/>
        <v>2185</v>
      </c>
      <c r="K20" s="35">
        <f t="shared" si="3"/>
        <v>2783.1</v>
      </c>
      <c r="L20" s="66">
        <f t="shared" si="3"/>
        <v>2411.2400000000002</v>
      </c>
      <c r="M20" s="8"/>
      <c r="N20" s="65" t="s">
        <v>97</v>
      </c>
      <c r="O20" s="114">
        <f>AVERAGE(O10:O19)</f>
        <v>3663.4900000000002</v>
      </c>
      <c r="P20" s="35">
        <f t="shared" ref="P20:X20" si="5">AVERAGE(P10:P19)</f>
        <v>3612.31</v>
      </c>
      <c r="Q20" s="35">
        <f t="shared" si="5"/>
        <v>3349.22</v>
      </c>
      <c r="R20" s="35">
        <f t="shared" si="5"/>
        <v>3416.15</v>
      </c>
      <c r="S20" s="35">
        <f t="shared" si="5"/>
        <v>3535.2300000000005</v>
      </c>
      <c r="T20" s="35">
        <f t="shared" si="5"/>
        <v>3385.2599999999998</v>
      </c>
      <c r="U20" s="35">
        <f t="shared" ref="U20:V20" si="6">AVERAGE(U10:U19)</f>
        <v>3606.91</v>
      </c>
      <c r="V20" s="66">
        <f t="shared" si="6"/>
        <v>3633.47</v>
      </c>
      <c r="W20" s="35">
        <f t="shared" si="5"/>
        <v>2243.64</v>
      </c>
      <c r="X20" s="66">
        <f t="shared" si="5"/>
        <v>2717.09</v>
      </c>
      <c r="Z20" s="65" t="s">
        <v>97</v>
      </c>
      <c r="AA20" s="122">
        <f>AVERAGE(AA10:AA19)</f>
        <v>0.37302299999999994</v>
      </c>
      <c r="AB20" s="46">
        <f t="shared" ref="AB20:AJ20" si="7">AVERAGE(AB10:AB19)</f>
        <v>0.37122749999999999</v>
      </c>
      <c r="AC20" s="46">
        <f t="shared" si="7"/>
        <v>0.42399630000000005</v>
      </c>
      <c r="AD20" s="46">
        <f t="shared" si="7"/>
        <v>0.40233060000000009</v>
      </c>
      <c r="AE20" s="46">
        <f t="shared" si="7"/>
        <v>0.38297700000000001</v>
      </c>
      <c r="AF20" s="46">
        <f t="shared" si="7"/>
        <v>0.38297700000000001</v>
      </c>
      <c r="AG20" s="46">
        <f t="shared" si="7"/>
        <v>0.37627380000000005</v>
      </c>
      <c r="AH20" s="70">
        <f t="shared" si="7"/>
        <v>0.37950570000000006</v>
      </c>
      <c r="AI20" s="46">
        <f t="shared" si="7"/>
        <v>0.68002200000000002</v>
      </c>
      <c r="AJ20" s="70">
        <f t="shared" si="7"/>
        <v>0.63</v>
      </c>
    </row>
    <row r="21" spans="2:36" ht="36.9" customHeight="1" thickBot="1" x14ac:dyDescent="0.5">
      <c r="B21" s="65" t="s">
        <v>98</v>
      </c>
      <c r="C21" s="114">
        <f>SUM(C10:C19)</f>
        <v>22048.300000000003</v>
      </c>
      <c r="D21" s="35">
        <f t="shared" ref="D21:L21" si="8">SUM(D10:D19)</f>
        <v>21750</v>
      </c>
      <c r="E21" s="35">
        <f t="shared" si="8"/>
        <v>22871.699999999997</v>
      </c>
      <c r="F21" s="35">
        <f t="shared" si="8"/>
        <v>22250</v>
      </c>
      <c r="G21" s="35">
        <f t="shared" si="8"/>
        <v>21975</v>
      </c>
      <c r="H21" s="35">
        <f t="shared" si="8"/>
        <v>22300</v>
      </c>
      <c r="I21" s="35">
        <f t="shared" ref="I21:J21" si="9">SUM(I10:I19)</f>
        <v>21800</v>
      </c>
      <c r="J21" s="66">
        <f t="shared" si="9"/>
        <v>21850</v>
      </c>
      <c r="K21" s="35">
        <f t="shared" si="8"/>
        <v>27831</v>
      </c>
      <c r="L21" s="66">
        <f t="shared" si="8"/>
        <v>24112.400000000001</v>
      </c>
      <c r="M21" s="8"/>
      <c r="N21" s="65" t="s">
        <v>98</v>
      </c>
      <c r="O21" s="114">
        <f>SUM(O10:O19)</f>
        <v>36634.9</v>
      </c>
      <c r="P21" s="35">
        <f t="shared" ref="P21:X21" si="10">SUM(P10:P19)</f>
        <v>36123.1</v>
      </c>
      <c r="Q21" s="35">
        <f t="shared" si="10"/>
        <v>33492.199999999997</v>
      </c>
      <c r="R21" s="35">
        <f t="shared" si="10"/>
        <v>34161.5</v>
      </c>
      <c r="S21" s="35">
        <f t="shared" si="10"/>
        <v>35352.300000000003</v>
      </c>
      <c r="T21" s="35">
        <f t="shared" si="10"/>
        <v>33852.6</v>
      </c>
      <c r="U21" s="35">
        <f t="shared" ref="U21:V21" si="11">SUM(U10:U19)</f>
        <v>36069.1</v>
      </c>
      <c r="V21" s="66">
        <f t="shared" si="11"/>
        <v>36334.699999999997</v>
      </c>
      <c r="W21" s="35">
        <f t="shared" si="10"/>
        <v>22436.399999999998</v>
      </c>
      <c r="X21" s="66">
        <f t="shared" si="10"/>
        <v>27170.9</v>
      </c>
      <c r="Z21" s="39"/>
      <c r="AA21" s="37"/>
      <c r="AB21" s="37"/>
      <c r="AC21" s="37"/>
      <c r="AD21" s="37"/>
      <c r="AE21" s="37"/>
      <c r="AF21" s="37"/>
      <c r="AG21" s="37"/>
      <c r="AH21" s="37"/>
      <c r="AI21" s="37"/>
      <c r="AJ21" s="37"/>
    </row>
    <row r="22" spans="2:36" ht="67.3" customHeight="1" thickBot="1" x14ac:dyDescent="0.5">
      <c r="B22" s="65" t="s">
        <v>142</v>
      </c>
      <c r="C22" s="115">
        <f>C21/MAX($C21:$J21)</f>
        <v>0.96399917802349655</v>
      </c>
      <c r="D22" s="36">
        <f t="shared" ref="D22:L22" si="12">D21/MAX($C21:$J21)</f>
        <v>0.95095685935020147</v>
      </c>
      <c r="E22" s="36">
        <f t="shared" si="12"/>
        <v>1</v>
      </c>
      <c r="F22" s="36">
        <f t="shared" si="12"/>
        <v>0.97281793657664284</v>
      </c>
      <c r="G22" s="36">
        <f t="shared" si="12"/>
        <v>0.96079434410210007</v>
      </c>
      <c r="H22" s="36">
        <f t="shared" si="12"/>
        <v>0.975004044299287</v>
      </c>
      <c r="I22" s="36">
        <f t="shared" si="12"/>
        <v>0.95314296707284563</v>
      </c>
      <c r="J22" s="67">
        <f t="shared" si="12"/>
        <v>0.95532907479548979</v>
      </c>
      <c r="K22" s="36">
        <f t="shared" si="12"/>
        <v>1.216831280578182</v>
      </c>
      <c r="L22" s="67">
        <f t="shared" si="12"/>
        <v>1.054246077029692</v>
      </c>
      <c r="M22" s="8"/>
      <c r="N22" s="65" t="s">
        <v>142</v>
      </c>
      <c r="O22" s="116">
        <f>O21/MAX($O21:$V21)</f>
        <v>1</v>
      </c>
      <c r="P22" s="68">
        <f t="shared" ref="P22:X22" si="13">P21/MAX($O21:$V21)</f>
        <v>0.98602971483476132</v>
      </c>
      <c r="Q22" s="68">
        <f t="shared" si="13"/>
        <v>0.91421567958422145</v>
      </c>
      <c r="R22" s="68">
        <f t="shared" si="13"/>
        <v>0.93248514394743809</v>
      </c>
      <c r="S22" s="68">
        <f t="shared" si="13"/>
        <v>0.96498966832173694</v>
      </c>
      <c r="T22" s="68">
        <f t="shared" si="13"/>
        <v>0.92405329344422937</v>
      </c>
      <c r="U22" s="68">
        <f t="shared" si="13"/>
        <v>0.9845557105383117</v>
      </c>
      <c r="V22" s="117">
        <f t="shared" si="13"/>
        <v>0.99180562796677474</v>
      </c>
      <c r="W22" s="68">
        <f t="shared" si="13"/>
        <v>0.61243240734927618</v>
      </c>
      <c r="X22" s="117">
        <f t="shared" si="13"/>
        <v>0.7416670988592845</v>
      </c>
      <c r="Z22" s="39"/>
      <c r="AA22" s="40"/>
      <c r="AB22" s="40"/>
      <c r="AC22" s="40"/>
      <c r="AD22" s="40"/>
      <c r="AE22" s="40"/>
      <c r="AF22" s="40"/>
      <c r="AG22" s="40"/>
      <c r="AH22" s="40"/>
      <c r="AI22" s="40"/>
      <c r="AJ22" s="40"/>
    </row>
    <row r="23" spans="2:36" ht="23.05" customHeight="1" x14ac:dyDescent="0.45">
      <c r="M23" s="8"/>
    </row>
    <row r="24" spans="2:36" ht="18" x14ac:dyDescent="0.45">
      <c r="M24" s="8"/>
    </row>
    <row r="25" spans="2:36" ht="18" x14ac:dyDescent="0.45">
      <c r="M25" s="8"/>
    </row>
  </sheetData>
  <mergeCells count="3">
    <mergeCell ref="N4:X4"/>
    <mergeCell ref="Z4:AJ4"/>
    <mergeCell ref="B4:L4"/>
  </mergeCells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DFD7-0F4F-473A-98D5-395C76687CAC}">
  <sheetPr>
    <pageSetUpPr fitToPage="1"/>
  </sheetPr>
  <dimension ref="A1:N13"/>
  <sheetViews>
    <sheetView zoomScale="60" zoomScaleNormal="60" workbookViewId="0">
      <selection activeCell="L3" sqref="L3"/>
    </sheetView>
  </sheetViews>
  <sheetFormatPr defaultRowHeight="14.6" x14ac:dyDescent="0.4"/>
  <cols>
    <col min="1" max="1" width="10.61328125" style="7" customWidth="1"/>
    <col min="2" max="2" width="33.4609375" style="7" customWidth="1"/>
    <col min="3" max="3" width="23.84375" style="7" customWidth="1"/>
    <col min="4" max="6" width="10.69140625" style="7" customWidth="1"/>
    <col min="7" max="9" width="10.15234375" style="7" customWidth="1"/>
    <col min="10" max="10" width="9.84375" style="7" customWidth="1"/>
    <col min="12" max="12" width="8.921875" style="7" customWidth="1"/>
    <col min="13" max="13" width="8.53515625" style="7" customWidth="1"/>
    <col min="14" max="14" width="8.4609375" style="7" customWidth="1"/>
    <col min="15" max="16384" width="9.23046875" style="7"/>
  </cols>
  <sheetData>
    <row r="1" spans="1:14" ht="20.6" thickBot="1" x14ac:dyDescent="0.55000000000000004">
      <c r="A1" s="77" t="s">
        <v>119</v>
      </c>
    </row>
    <row r="2" spans="1:14" ht="112.3" customHeight="1" thickBot="1" x14ac:dyDescent="0.45">
      <c r="A2" s="81" t="s">
        <v>120</v>
      </c>
      <c r="B2" s="81" t="s">
        <v>111</v>
      </c>
      <c r="C2" s="81" t="s">
        <v>123</v>
      </c>
      <c r="D2" s="79" t="s">
        <v>139</v>
      </c>
      <c r="E2" s="80" t="s">
        <v>140</v>
      </c>
      <c r="F2" s="82" t="s">
        <v>141</v>
      </c>
      <c r="G2" s="80" t="s">
        <v>124</v>
      </c>
      <c r="H2" s="80" t="s">
        <v>125</v>
      </c>
      <c r="I2" s="80" t="s">
        <v>126</v>
      </c>
      <c r="J2" s="82" t="s">
        <v>138</v>
      </c>
      <c r="L2" s="79" t="s">
        <v>127</v>
      </c>
      <c r="M2" s="80" t="s">
        <v>128</v>
      </c>
      <c r="N2" s="82" t="s">
        <v>129</v>
      </c>
    </row>
    <row r="3" spans="1:14" s="78" customFormat="1" ht="33" customHeight="1" thickBot="1" x14ac:dyDescent="0.4">
      <c r="A3" s="83" t="s">
        <v>130</v>
      </c>
      <c r="B3" s="83" t="s">
        <v>112</v>
      </c>
      <c r="C3" s="83" t="s">
        <v>121</v>
      </c>
      <c r="D3" s="88">
        <v>0.373</v>
      </c>
      <c r="E3" s="85">
        <v>0.373</v>
      </c>
      <c r="F3" s="86">
        <v>0.373</v>
      </c>
      <c r="G3" s="109">
        <f>($D$3-$C$11)/$C$11</f>
        <v>-0.45147058823529418</v>
      </c>
      <c r="H3" s="85"/>
      <c r="I3" s="85"/>
      <c r="J3" s="87">
        <f>G3+H3+I3</f>
        <v>-0.45147058823529418</v>
      </c>
      <c r="L3" s="84">
        <f>($D$3-$C$11)/$C$11</f>
        <v>-0.45147058823529418</v>
      </c>
      <c r="M3" s="85"/>
      <c r="N3" s="86"/>
    </row>
    <row r="4" spans="1:14" s="78" customFormat="1" ht="33" customHeight="1" thickBot="1" x14ac:dyDescent="0.4">
      <c r="A4" s="102" t="s">
        <v>131</v>
      </c>
      <c r="B4" s="102" t="s">
        <v>113</v>
      </c>
      <c r="C4" s="102" t="s">
        <v>149</v>
      </c>
      <c r="D4" s="106">
        <v>2175</v>
      </c>
      <c r="E4" s="104">
        <v>2175</v>
      </c>
      <c r="F4" s="105">
        <v>2175</v>
      </c>
      <c r="G4" s="108">
        <f>($D$4-$C$12)/$C$12</f>
        <v>-0.10420098846787479</v>
      </c>
      <c r="H4" s="104"/>
      <c r="I4" s="104"/>
      <c r="J4" s="87">
        <f>G4+H4+I4</f>
        <v>-0.10420098846787479</v>
      </c>
      <c r="L4" s="103">
        <f>($D$4-$C$12)/$C$12</f>
        <v>-0.10420098846787479</v>
      </c>
      <c r="M4" s="104"/>
      <c r="N4" s="105"/>
    </row>
    <row r="5" spans="1:14" s="78" customFormat="1" ht="33" customHeight="1" thickBot="1" x14ac:dyDescent="0.4">
      <c r="A5" s="89" t="s">
        <v>132</v>
      </c>
      <c r="B5" s="89" t="s">
        <v>114</v>
      </c>
      <c r="C5" s="89" t="s">
        <v>122</v>
      </c>
      <c r="D5" s="93">
        <v>0.55000000000000004</v>
      </c>
      <c r="E5" s="91">
        <v>0.37</v>
      </c>
      <c r="F5" s="92">
        <v>0.37</v>
      </c>
      <c r="G5" s="94">
        <f>($D$5-$C$11)/$C$11</f>
        <v>-0.19117647058823528</v>
      </c>
      <c r="H5" s="94">
        <f>M5-L5</f>
        <v>-0.26470588235294124</v>
      </c>
      <c r="I5" s="91"/>
      <c r="J5" s="87">
        <f t="shared" ref="J5:J10" si="0">G5+H5+I5</f>
        <v>-0.45588235294117652</v>
      </c>
      <c r="L5" s="90">
        <f>($D$5-$C$11)/$C$11</f>
        <v>-0.19117647058823528</v>
      </c>
      <c r="M5" s="94">
        <f>(E5-$C$11)/$C$11</f>
        <v>-0.45588235294117652</v>
      </c>
      <c r="N5" s="92"/>
    </row>
    <row r="6" spans="1:14" s="78" customFormat="1" ht="33" customHeight="1" thickBot="1" x14ac:dyDescent="0.4">
      <c r="A6" s="102" t="s">
        <v>133</v>
      </c>
      <c r="B6" s="102" t="s">
        <v>115</v>
      </c>
      <c r="C6" s="102" t="s">
        <v>150</v>
      </c>
      <c r="D6" s="106">
        <v>2400</v>
      </c>
      <c r="E6" s="104">
        <v>2150</v>
      </c>
      <c r="F6" s="105">
        <v>2150</v>
      </c>
      <c r="G6" s="108">
        <f>($D$6-$C$12)/$C$12</f>
        <v>-1.1532125205930808E-2</v>
      </c>
      <c r="H6" s="108">
        <f>M6-L6</f>
        <v>-0.10296540362438221</v>
      </c>
      <c r="I6" s="104"/>
      <c r="J6" s="87">
        <f t="shared" si="0"/>
        <v>-0.11449752883031301</v>
      </c>
      <c r="L6" s="103">
        <f>($D$6-$C$12)/$C$12</f>
        <v>-1.1532125205930808E-2</v>
      </c>
      <c r="M6" s="108">
        <f>(E6-$C$12)/$C$12</f>
        <v>-0.11449752883031301</v>
      </c>
      <c r="N6" s="105"/>
    </row>
    <row r="7" spans="1:14" s="78" customFormat="1" ht="33" customHeight="1" thickBot="1" x14ac:dyDescent="0.4">
      <c r="A7" s="89" t="s">
        <v>134</v>
      </c>
      <c r="B7" s="89" t="s">
        <v>116</v>
      </c>
      <c r="C7" s="89" t="s">
        <v>154</v>
      </c>
      <c r="D7" s="93">
        <v>2250</v>
      </c>
      <c r="E7" s="91">
        <v>2175</v>
      </c>
      <c r="F7" s="92">
        <v>2175</v>
      </c>
      <c r="G7" s="94">
        <f>($D$7-$C$12)/$C$12</f>
        <v>-7.3311367380560127E-2</v>
      </c>
      <c r="H7" s="94">
        <f>M7-L7</f>
        <v>-3.0889621087314661E-2</v>
      </c>
      <c r="I7" s="91"/>
      <c r="J7" s="87">
        <f t="shared" si="0"/>
        <v>-0.10420098846787479</v>
      </c>
      <c r="L7" s="90">
        <f>($D$7-$C$12)/$C$12</f>
        <v>-7.3311367380560127E-2</v>
      </c>
      <c r="M7" s="94">
        <f>(E7-$C$12)/$C$12</f>
        <v>-0.10420098846787479</v>
      </c>
      <c r="N7" s="92"/>
    </row>
    <row r="8" spans="1:14" s="147" customFormat="1" ht="52.75" customHeight="1" thickBot="1" x14ac:dyDescent="0.4">
      <c r="A8" s="141" t="s">
        <v>135</v>
      </c>
      <c r="B8" s="141" t="s">
        <v>156</v>
      </c>
      <c r="C8" s="141" t="s">
        <v>157</v>
      </c>
      <c r="D8" s="142">
        <v>2400</v>
      </c>
      <c r="E8" s="143">
        <v>2200</v>
      </c>
      <c r="F8" s="144">
        <v>2100</v>
      </c>
      <c r="G8" s="145">
        <f>($D$8-$C$12)/$C$12</f>
        <v>-1.1532125205930808E-2</v>
      </c>
      <c r="H8" s="145">
        <f>M8-L8</f>
        <v>-8.2372322899505773E-2</v>
      </c>
      <c r="I8" s="145">
        <f>N8-H8-G8</f>
        <v>-4.1186161449752873E-2</v>
      </c>
      <c r="J8" s="146">
        <f t="shared" si="0"/>
        <v>-0.13509060955518945</v>
      </c>
      <c r="L8" s="148">
        <f>($D$8-$C$12)/$C$12</f>
        <v>-1.1532125205930808E-2</v>
      </c>
      <c r="M8" s="145">
        <f>(E8-$C$12)/$C$12</f>
        <v>-9.3904448105436578E-2</v>
      </c>
      <c r="N8" s="149">
        <f>(F8-$C$12)/$C$12</f>
        <v>-0.13509060955518945</v>
      </c>
    </row>
    <row r="9" spans="1:14" s="78" customFormat="1" ht="33" customHeight="1" thickBot="1" x14ac:dyDescent="0.4">
      <c r="A9" s="102" t="s">
        <v>136</v>
      </c>
      <c r="B9" s="102" t="s">
        <v>117</v>
      </c>
      <c r="C9" s="102" t="s">
        <v>155</v>
      </c>
      <c r="D9" s="106">
        <v>2180</v>
      </c>
      <c r="E9" s="104">
        <v>2180</v>
      </c>
      <c r="F9" s="105">
        <v>2180</v>
      </c>
      <c r="G9" s="108">
        <f>($D$9-$C$12)/$C$12</f>
        <v>-0.10214168039538715</v>
      </c>
      <c r="H9" s="104"/>
      <c r="I9" s="104"/>
      <c r="J9" s="87">
        <f t="shared" si="0"/>
        <v>-0.10214168039538715</v>
      </c>
      <c r="L9" s="103">
        <f>($D$9-$C$12)/$C$12</f>
        <v>-0.10214168039538715</v>
      </c>
      <c r="M9" s="104"/>
      <c r="N9" s="105"/>
    </row>
    <row r="10" spans="1:14" s="78" customFormat="1" ht="33" customHeight="1" thickBot="1" x14ac:dyDescent="0.4">
      <c r="A10" s="95" t="s">
        <v>137</v>
      </c>
      <c r="B10" s="95" t="s">
        <v>118</v>
      </c>
      <c r="C10" s="95" t="s">
        <v>155</v>
      </c>
      <c r="D10" s="99">
        <v>2185</v>
      </c>
      <c r="E10" s="97">
        <v>2185</v>
      </c>
      <c r="F10" s="98">
        <v>2185</v>
      </c>
      <c r="G10" s="103">
        <f>($D$10-$C$12)/$C$12</f>
        <v>-0.1000823723228995</v>
      </c>
      <c r="H10" s="104"/>
      <c r="I10" s="104"/>
      <c r="J10" s="107">
        <f t="shared" si="0"/>
        <v>-0.1000823723228995</v>
      </c>
      <c r="L10" s="96">
        <f>($D$10-$C$12)/$C$12</f>
        <v>-0.1000823723228995</v>
      </c>
      <c r="M10" s="97"/>
      <c r="N10" s="98"/>
    </row>
    <row r="11" spans="1:14" ht="15.55" customHeight="1" x14ac:dyDescent="0.4">
      <c r="B11" s="100" t="s">
        <v>151</v>
      </c>
      <c r="C11" s="101">
        <v>0.68</v>
      </c>
    </row>
    <row r="12" spans="1:14" ht="15.55" customHeight="1" x14ac:dyDescent="0.4">
      <c r="B12" s="100" t="s">
        <v>152</v>
      </c>
      <c r="C12" s="101">
        <v>2428</v>
      </c>
    </row>
    <row r="13" spans="1:14" ht="15.55" customHeight="1" x14ac:dyDescent="0.4">
      <c r="B13" s="100" t="s">
        <v>153</v>
      </c>
      <c r="C13" s="101">
        <f>C12*10</f>
        <v>24280</v>
      </c>
    </row>
  </sheetData>
  <pageMargins left="0.25" right="0.25" top="0.75" bottom="0.7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SB</vt:lpstr>
      <vt:lpstr>F</vt:lpstr>
      <vt:lpstr>Probabilities</vt:lpstr>
      <vt:lpstr>S1</vt:lpstr>
      <vt:lpstr>S2</vt:lpstr>
      <vt:lpstr>S3</vt:lpstr>
      <vt:lpstr>S4</vt:lpstr>
      <vt:lpstr>Catch</vt:lpstr>
      <vt:lpstr>Compare</vt:lpstr>
      <vt:lpstr>Scenario Table S6 Correct</vt:lpstr>
    </vt:vector>
  </TitlesOfParts>
  <Company>National Marine Fisheries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cp:lastPrinted>2024-05-16T04:01:15Z</cp:lastPrinted>
  <dcterms:created xsi:type="dcterms:W3CDTF">2020-06-16T02:40:03Z</dcterms:created>
  <dcterms:modified xsi:type="dcterms:W3CDTF">2025-04-24T03:27:40Z</dcterms:modified>
</cp:coreProperties>
</file>