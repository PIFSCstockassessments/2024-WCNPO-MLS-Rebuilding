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Scenarios\"/>
    </mc:Choice>
  </mc:AlternateContent>
  <xr:revisionPtr revIDLastSave="0" documentId="13_ncr:1_{225AF1F8-B3E7-4D89-8012-D984E5614323}" xr6:coauthVersionLast="47" xr6:coauthVersionMax="47" xr10:uidLastSave="{00000000-0000-0000-0000-000000000000}"/>
  <bookViews>
    <workbookView xWindow="1183" yWindow="634" windowWidth="13766" windowHeight="8186" xr2:uid="{00000000-000D-0000-FFFF-FFFF00000000}"/>
  </bookViews>
  <sheets>
    <sheet name="Scenario1" sheetId="1" r:id="rId1"/>
    <sheet name="Scenario2" sheetId="2" r:id="rId2"/>
    <sheet name="Scenar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C3" i="3"/>
  <c r="B7" i="3"/>
  <c r="B6" i="3"/>
  <c r="B5" i="3"/>
  <c r="B4" i="3"/>
  <c r="B3" i="3"/>
  <c r="B7" i="2"/>
  <c r="B6" i="2"/>
  <c r="B5" i="2"/>
  <c r="B4" i="2"/>
  <c r="B3" i="2"/>
</calcChain>
</file>

<file path=xl/sharedStrings.xml><?xml version="1.0" encoding="utf-8"?>
<sst xmlns="http://schemas.openxmlformats.org/spreadsheetml/2006/main" count="36" uniqueCount="14">
  <si>
    <t>Country</t>
  </si>
  <si>
    <t>2025</t>
  </si>
  <si>
    <t>2026</t>
  </si>
  <si>
    <t>2027</t>
  </si>
  <si>
    <t>Japan</t>
  </si>
  <si>
    <t>Chinese Taipei</t>
  </si>
  <si>
    <t>Korea</t>
  </si>
  <si>
    <t>United States</t>
  </si>
  <si>
    <t>China</t>
  </si>
  <si>
    <t>Other SIDS</t>
  </si>
  <si>
    <t>Total</t>
  </si>
  <si>
    <t>Scenario 1. No Carryover Catch</t>
  </si>
  <si>
    <t>Scenario 2. Carryover Catch in 2025</t>
  </si>
  <si>
    <t>Scenario 3. Carryover Catch in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</si>
</sst>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1" fillId="0" borderId="9" xfId="0" applyFont="1" applyBorder="1" applyAlignment="1">
      <alignment horizontal="center" vertical="top"/>
    </xf>
    <xf numFmtId="0" fontId="0" fillId="0" borderId="1" xfId="0" applyBorder="1"/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2" sqref="F12"/>
    </sheetView>
  </sheetViews>
  <sheetFormatPr defaultRowHeight="14.6" x14ac:dyDescent="0.4"/>
  <cols>
    <col min="1" max="1" width="14.765625" customWidth="1"/>
  </cols>
  <sheetData>
    <row r="1" spans="1:4" ht="15" thickBot="1" x14ac:dyDescent="0.45">
      <c r="A1" s="11" t="s">
        <v>11</v>
      </c>
    </row>
    <row r="2" spans="1:4" ht="15" thickBot="1" x14ac:dyDescent="0.45">
      <c r="A2" s="20" t="s">
        <v>0</v>
      </c>
      <c r="B2" s="23" t="s">
        <v>1</v>
      </c>
      <c r="C2" s="23" t="s">
        <v>2</v>
      </c>
      <c r="D2" s="21" t="s">
        <v>3</v>
      </c>
    </row>
    <row r="3" spans="1:4" x14ac:dyDescent="0.4">
      <c r="A3" s="8" t="s">
        <v>4</v>
      </c>
      <c r="B3" s="12">
        <v>1454.4</v>
      </c>
      <c r="C3" s="27">
        <v>1454.4</v>
      </c>
      <c r="D3" s="13">
        <v>1454.4</v>
      </c>
    </row>
    <row r="4" spans="1:4" x14ac:dyDescent="0.4">
      <c r="A4" s="9" t="s">
        <v>5</v>
      </c>
      <c r="B4" s="14">
        <v>358.4</v>
      </c>
      <c r="C4" s="28">
        <v>358.4</v>
      </c>
      <c r="D4" s="15">
        <v>358.4</v>
      </c>
    </row>
    <row r="5" spans="1:4" x14ac:dyDescent="0.4">
      <c r="A5" s="9" t="s">
        <v>6</v>
      </c>
      <c r="B5" s="14">
        <v>214.8</v>
      </c>
      <c r="C5" s="28">
        <v>214.8</v>
      </c>
      <c r="D5" s="15">
        <v>214.8</v>
      </c>
    </row>
    <row r="6" spans="1:4" x14ac:dyDescent="0.4">
      <c r="A6" s="9" t="s">
        <v>7</v>
      </c>
      <c r="B6" s="14">
        <v>228.4</v>
      </c>
      <c r="C6" s="28">
        <v>228.4</v>
      </c>
      <c r="D6" s="15">
        <v>228.4</v>
      </c>
    </row>
    <row r="7" spans="1:4" x14ac:dyDescent="0.4">
      <c r="A7" s="9" t="s">
        <v>8</v>
      </c>
      <c r="B7" s="14">
        <v>68.8</v>
      </c>
      <c r="C7" s="28">
        <v>68.8</v>
      </c>
      <c r="D7" s="15">
        <v>68.8</v>
      </c>
    </row>
    <row r="8" spans="1:4" ht="15" thickBot="1" x14ac:dyDescent="0.45">
      <c r="A8" s="10" t="s">
        <v>9</v>
      </c>
      <c r="B8" s="16">
        <v>75.2</v>
      </c>
      <c r="C8" s="29">
        <v>75.2</v>
      </c>
      <c r="D8" s="17">
        <v>75.2</v>
      </c>
    </row>
    <row r="9" spans="1:4" ht="15" thickBot="1" x14ac:dyDescent="0.45">
      <c r="A9" s="3" t="s">
        <v>10</v>
      </c>
      <c r="B9" s="18">
        <v>2400</v>
      </c>
      <c r="C9" s="24">
        <v>2400</v>
      </c>
      <c r="D9" s="19">
        <v>2400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3" sqref="C3:C8"/>
    </sheetView>
  </sheetViews>
  <sheetFormatPr defaultRowHeight="14.6" x14ac:dyDescent="0.4"/>
  <cols>
    <col min="1" max="1" width="14.69140625" customWidth="1"/>
    <col min="2" max="2" width="9.15234375" customWidth="1"/>
  </cols>
  <sheetData>
    <row r="1" spans="1:4" ht="15" thickBot="1" x14ac:dyDescent="0.45">
      <c r="A1" s="11" t="s">
        <v>12</v>
      </c>
    </row>
    <row r="2" spans="1:4" ht="15" thickBot="1" x14ac:dyDescent="0.45">
      <c r="A2" s="20" t="s">
        <v>0</v>
      </c>
      <c r="B2" s="22" t="s">
        <v>1</v>
      </c>
      <c r="C2" s="23" t="s">
        <v>2</v>
      </c>
      <c r="D2" s="21" t="s">
        <v>3</v>
      </c>
    </row>
    <row r="3" spans="1:4" x14ac:dyDescent="0.4">
      <c r="A3" s="6" t="s">
        <v>4</v>
      </c>
      <c r="B3" s="12">
        <f>1454.4 + 165</f>
        <v>1619.4</v>
      </c>
      <c r="C3" s="27">
        <v>1454.4</v>
      </c>
      <c r="D3" s="13">
        <v>1454.4</v>
      </c>
    </row>
    <row r="4" spans="1:4" x14ac:dyDescent="0.4">
      <c r="A4" s="1" t="s">
        <v>5</v>
      </c>
      <c r="B4" s="14">
        <f>358.4 + 165</f>
        <v>523.4</v>
      </c>
      <c r="C4" s="28">
        <v>358.4</v>
      </c>
      <c r="D4" s="15">
        <v>358.4</v>
      </c>
    </row>
    <row r="5" spans="1:4" x14ac:dyDescent="0.4">
      <c r="A5" s="1" t="s">
        <v>6</v>
      </c>
      <c r="B5" s="14">
        <f>214.8 + 165</f>
        <v>379.8</v>
      </c>
      <c r="C5" s="28">
        <v>214.8</v>
      </c>
      <c r="D5" s="15">
        <v>214.8</v>
      </c>
    </row>
    <row r="6" spans="1:4" x14ac:dyDescent="0.4">
      <c r="A6" s="1" t="s">
        <v>7</v>
      </c>
      <c r="B6" s="14">
        <f>228.4 + 165</f>
        <v>393.4</v>
      </c>
      <c r="C6" s="28">
        <v>228.4</v>
      </c>
      <c r="D6" s="15">
        <v>228.4</v>
      </c>
    </row>
    <row r="7" spans="1:4" x14ac:dyDescent="0.4">
      <c r="A7" s="1" t="s">
        <v>8</v>
      </c>
      <c r="B7" s="14">
        <f>68.8 + 165</f>
        <v>233.8</v>
      </c>
      <c r="C7" s="28">
        <v>68.8</v>
      </c>
      <c r="D7" s="15">
        <v>68.8</v>
      </c>
    </row>
    <row r="8" spans="1:4" ht="15" thickBot="1" x14ac:dyDescent="0.45">
      <c r="A8" s="3" t="s">
        <v>9</v>
      </c>
      <c r="B8" s="16">
        <v>75.2</v>
      </c>
      <c r="C8" s="29">
        <v>75.2</v>
      </c>
      <c r="D8" s="17">
        <v>75.2</v>
      </c>
    </row>
    <row r="9" spans="1:4" ht="15" thickBot="1" x14ac:dyDescent="0.45">
      <c r="A9" s="3" t="s">
        <v>10</v>
      </c>
      <c r="B9" s="16">
        <v>3225</v>
      </c>
      <c r="C9" s="24">
        <v>2400</v>
      </c>
      <c r="D9" s="17">
        <v>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3" sqref="C3:C8"/>
    </sheetView>
  </sheetViews>
  <sheetFormatPr defaultRowHeight="14.6" x14ac:dyDescent="0.4"/>
  <cols>
    <col min="1" max="1" width="14.53515625" customWidth="1"/>
  </cols>
  <sheetData>
    <row r="1" spans="1:4" ht="15" thickBot="1" x14ac:dyDescent="0.45">
      <c r="A1" s="11" t="s">
        <v>13</v>
      </c>
    </row>
    <row r="2" spans="1:4" ht="15" thickBot="1" x14ac:dyDescent="0.45">
      <c r="A2" s="20" t="s">
        <v>0</v>
      </c>
      <c r="B2" s="25" t="s">
        <v>1</v>
      </c>
      <c r="C2" s="25" t="s">
        <v>2</v>
      </c>
      <c r="D2" s="21" t="s">
        <v>3</v>
      </c>
    </row>
    <row r="3" spans="1:4" x14ac:dyDescent="0.4">
      <c r="A3" s="8" t="s">
        <v>4</v>
      </c>
      <c r="B3" s="6">
        <f>1454.4 + 165</f>
        <v>1619.4</v>
      </c>
      <c r="C3" s="8">
        <f>1454.4 + 165</f>
        <v>1619.4</v>
      </c>
      <c r="D3" s="7">
        <v>1454.4</v>
      </c>
    </row>
    <row r="4" spans="1:4" x14ac:dyDescent="0.4">
      <c r="A4" s="9" t="s">
        <v>5</v>
      </c>
      <c r="B4" s="1">
        <f>358.4 + 165</f>
        <v>523.4</v>
      </c>
      <c r="C4" s="9">
        <f>358.4 + 165</f>
        <v>523.4</v>
      </c>
      <c r="D4" s="2">
        <v>358.4</v>
      </c>
    </row>
    <row r="5" spans="1:4" x14ac:dyDescent="0.4">
      <c r="A5" s="9" t="s">
        <v>6</v>
      </c>
      <c r="B5" s="1">
        <f>214.8 + 165</f>
        <v>379.8</v>
      </c>
      <c r="C5" s="9">
        <f>214.8 + 165</f>
        <v>379.8</v>
      </c>
      <c r="D5" s="2">
        <v>214.8</v>
      </c>
    </row>
    <row r="6" spans="1:4" x14ac:dyDescent="0.4">
      <c r="A6" s="9" t="s">
        <v>7</v>
      </c>
      <c r="B6" s="1">
        <f>228.4 + 165</f>
        <v>393.4</v>
      </c>
      <c r="C6" s="9">
        <f>228.4 + 165</f>
        <v>393.4</v>
      </c>
      <c r="D6" s="2">
        <v>228.4</v>
      </c>
    </row>
    <row r="7" spans="1:4" x14ac:dyDescent="0.4">
      <c r="A7" s="9" t="s">
        <v>8</v>
      </c>
      <c r="B7" s="1">
        <f>68.8 + 165</f>
        <v>233.8</v>
      </c>
      <c r="C7" s="9">
        <f>68.8 + 165</f>
        <v>233.8</v>
      </c>
      <c r="D7" s="2">
        <v>68.8</v>
      </c>
    </row>
    <row r="8" spans="1:4" ht="15" thickBot="1" x14ac:dyDescent="0.45">
      <c r="A8" s="10" t="s">
        <v>9</v>
      </c>
      <c r="B8" s="3">
        <v>75.2</v>
      </c>
      <c r="C8" s="10">
        <v>75.2</v>
      </c>
      <c r="D8" s="5">
        <v>75.2</v>
      </c>
    </row>
    <row r="9" spans="1:4" ht="15" thickBot="1" x14ac:dyDescent="0.45">
      <c r="A9" s="10" t="s">
        <v>10</v>
      </c>
      <c r="B9" s="4">
        <v>3225</v>
      </c>
      <c r="C9" s="26">
        <v>3225</v>
      </c>
      <c r="D9" s="5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Scenario1</vt:lpstr>
      <vt:lpstr>Scenario2</vt:lpstr>
      <vt:lpstr>Scenario3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 Brodziak</cp:lastModifiedBy>
  <dcterms:created xsi:type="dcterms:W3CDTF">2025-01-22T03:30:58Z</dcterms:created>
  <dcterms:modified xsi:type="dcterms:W3CDTF">2025-04-15T00:06:05Z</dcterms:modified>
</cp:coreProperties>
</file>